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15" yWindow="45" windowWidth="19320" windowHeight="8685" tabRatio="411"/>
  </bookViews>
  <sheets>
    <sheet name="Listening" sheetId="1" r:id="rId1"/>
    <sheet name="Normal" sheetId="4" r:id="rId2"/>
    <sheet name="Data" sheetId="2" r:id="rId3"/>
    <sheet name="CONCATENAR" sheetId="7" r:id="rId4"/>
    <sheet name="Ayuda" sheetId="6" r:id="rId5"/>
  </sheets>
  <functionGroups builtInGroupCount="17"/>
  <definedNames>
    <definedName name="_xlnm._FilterDatabase" localSheetId="0" hidden="1">Listening!$C$122:$F$131</definedName>
    <definedName name="_xlnm._FilterDatabase" localSheetId="1" hidden="1">Normal!$C$3:$F$12</definedName>
  </definedNames>
  <calcPr calcId="145621"/>
</workbook>
</file>

<file path=xl/calcChain.xml><?xml version="1.0" encoding="utf-8"?>
<calcChain xmlns="http://schemas.openxmlformats.org/spreadsheetml/2006/main">
  <c r="H2" i="7" l="1"/>
  <c r="H3" i="7"/>
  <c r="H4" i="7"/>
  <c r="H5" i="7"/>
  <c r="H6" i="7"/>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1" i="7"/>
  <c r="C1" i="7"/>
  <c r="C2" i="7"/>
  <c r="C3" i="7"/>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N844" i="1" l="1"/>
  <c r="O844" i="1"/>
  <c r="P844" i="1"/>
  <c r="Q844" i="1"/>
  <c r="N845" i="1"/>
  <c r="O845" i="1"/>
  <c r="P845" i="1"/>
  <c r="Q845" i="1"/>
  <c r="N846" i="1"/>
  <c r="O846" i="1"/>
  <c r="P846" i="1"/>
  <c r="Q846" i="1"/>
  <c r="N847" i="1"/>
  <c r="O847" i="1"/>
  <c r="P847" i="1"/>
  <c r="Q847" i="1"/>
  <c r="N848" i="1"/>
  <c r="O848" i="1"/>
  <c r="P848" i="1"/>
  <c r="Q848" i="1"/>
  <c r="N849" i="1"/>
  <c r="O849" i="1"/>
  <c r="P849" i="1"/>
  <c r="Q849" i="1"/>
  <c r="N850" i="1"/>
  <c r="O850" i="1"/>
  <c r="P850" i="1"/>
  <c r="Q850" i="1"/>
  <c r="N851" i="1"/>
  <c r="O851" i="1"/>
  <c r="P851" i="1"/>
  <c r="Q851" i="1"/>
  <c r="N852" i="1"/>
  <c r="O852" i="1"/>
  <c r="P852" i="1"/>
  <c r="Q852" i="1"/>
  <c r="N853" i="1"/>
  <c r="O853" i="1"/>
  <c r="P853" i="1"/>
  <c r="Q853" i="1"/>
  <c r="N854" i="1"/>
  <c r="O854" i="1"/>
  <c r="P854" i="1"/>
  <c r="Q854" i="1"/>
  <c r="N855" i="1"/>
  <c r="O855" i="1"/>
  <c r="P855" i="1"/>
  <c r="Q855" i="1"/>
  <c r="N856" i="1"/>
  <c r="O856" i="1"/>
  <c r="P856" i="1"/>
  <c r="Q856" i="1"/>
  <c r="N857" i="1"/>
  <c r="O857" i="1"/>
  <c r="P857" i="1"/>
  <c r="Q857" i="1"/>
  <c r="N858" i="1"/>
  <c r="O858" i="1"/>
  <c r="P858" i="1"/>
  <c r="Q858" i="1"/>
  <c r="N859" i="1"/>
  <c r="O859" i="1"/>
  <c r="P859" i="1"/>
  <c r="Q859" i="1"/>
  <c r="N860" i="1"/>
  <c r="O860" i="1"/>
  <c r="P860" i="1"/>
  <c r="Q860" i="1"/>
  <c r="N861" i="1"/>
  <c r="O861" i="1"/>
  <c r="P861" i="1"/>
  <c r="Q861" i="1"/>
  <c r="N862" i="1"/>
  <c r="O862" i="1"/>
  <c r="P862" i="1"/>
  <c r="Q862" i="1"/>
  <c r="N863" i="1"/>
  <c r="O863" i="1"/>
  <c r="P863" i="1"/>
  <c r="Q863" i="1"/>
  <c r="N864" i="1"/>
  <c r="O864" i="1"/>
  <c r="P864" i="1"/>
  <c r="Q864" i="1"/>
  <c r="N865" i="1"/>
  <c r="O865" i="1"/>
  <c r="P865" i="1"/>
  <c r="Q865" i="1"/>
  <c r="N866" i="1"/>
  <c r="O866" i="1"/>
  <c r="P866" i="1"/>
  <c r="Q866" i="1"/>
  <c r="N867" i="1"/>
  <c r="O867" i="1"/>
  <c r="P867" i="1"/>
  <c r="Q867" i="1"/>
  <c r="N868" i="1"/>
  <c r="O868" i="1"/>
  <c r="P868" i="1"/>
  <c r="Q868" i="1"/>
  <c r="N869" i="1"/>
  <c r="O869" i="1"/>
  <c r="P869" i="1"/>
  <c r="Q869" i="1"/>
  <c r="N870" i="1"/>
  <c r="O870" i="1"/>
  <c r="P870" i="1"/>
  <c r="Q870" i="1"/>
  <c r="N871" i="1"/>
  <c r="O871" i="1"/>
  <c r="P871" i="1"/>
  <c r="Q871" i="1"/>
  <c r="N872" i="1"/>
  <c r="O872" i="1"/>
  <c r="P872" i="1"/>
  <c r="Q872" i="1"/>
  <c r="N873" i="1"/>
  <c r="O873" i="1"/>
  <c r="P873" i="1"/>
  <c r="Q873" i="1"/>
  <c r="N874" i="1"/>
  <c r="O874" i="1"/>
  <c r="P874" i="1"/>
  <c r="Q874" i="1"/>
  <c r="N875" i="1"/>
  <c r="O875" i="1"/>
  <c r="P875" i="1"/>
  <c r="Q875" i="1"/>
  <c r="N876" i="1"/>
  <c r="O876" i="1"/>
  <c r="P876" i="1"/>
  <c r="Q876" i="1"/>
  <c r="N877" i="1"/>
  <c r="O877" i="1"/>
  <c r="P877" i="1"/>
  <c r="Q877" i="1"/>
  <c r="N878" i="1"/>
  <c r="O878" i="1"/>
  <c r="P878" i="1"/>
  <c r="Q878" i="1"/>
  <c r="N879" i="1"/>
  <c r="O879" i="1"/>
  <c r="P879" i="1"/>
  <c r="Q879" i="1"/>
  <c r="N880" i="1"/>
  <c r="O880" i="1"/>
  <c r="P880" i="1"/>
  <c r="Q880" i="1"/>
  <c r="N881" i="1"/>
  <c r="O881" i="1"/>
  <c r="P881" i="1"/>
  <c r="Q881" i="1"/>
  <c r="N882" i="1"/>
  <c r="O882" i="1"/>
  <c r="P882" i="1"/>
  <c r="Q882" i="1"/>
  <c r="Q843" i="1"/>
  <c r="P843" i="1"/>
  <c r="O843" i="1"/>
  <c r="N843" i="1"/>
  <c r="Y151" i="4" l="1"/>
  <c r="X151" i="4"/>
  <c r="W151" i="4"/>
  <c r="V151" i="4"/>
  <c r="T151" i="4"/>
  <c r="S151" i="4"/>
  <c r="R151" i="4"/>
  <c r="Q151" i="4"/>
  <c r="Y150" i="4"/>
  <c r="X150" i="4"/>
  <c r="W150" i="4"/>
  <c r="V150" i="4"/>
  <c r="T150" i="4"/>
  <c r="S150" i="4"/>
  <c r="R150" i="4"/>
  <c r="Q150" i="4"/>
  <c r="Y149" i="4"/>
  <c r="X149" i="4"/>
  <c r="W149" i="4"/>
  <c r="V149" i="4"/>
  <c r="T149" i="4"/>
  <c r="S149" i="4"/>
  <c r="R149" i="4"/>
  <c r="Q149" i="4"/>
  <c r="Y148" i="4"/>
  <c r="X148" i="4"/>
  <c r="W148" i="4"/>
  <c r="V148" i="4"/>
  <c r="T148" i="4"/>
  <c r="S148" i="4"/>
  <c r="R148" i="4"/>
  <c r="Q148" i="4"/>
  <c r="Y147" i="4"/>
  <c r="X147" i="4"/>
  <c r="W147" i="4"/>
  <c r="V147" i="4"/>
  <c r="T147" i="4"/>
  <c r="S147" i="4"/>
  <c r="R147" i="4"/>
  <c r="Q147" i="4"/>
  <c r="Y146" i="4"/>
  <c r="X146" i="4"/>
  <c r="W146" i="4"/>
  <c r="V146" i="4"/>
  <c r="T146" i="4"/>
  <c r="S146" i="4"/>
  <c r="R146" i="4"/>
  <c r="Q146" i="4"/>
  <c r="Y145" i="4"/>
  <c r="X145" i="4"/>
  <c r="W145" i="4"/>
  <c r="V145" i="4"/>
  <c r="T145" i="4"/>
  <c r="S145" i="4"/>
  <c r="R145" i="4"/>
  <c r="Q145" i="4"/>
  <c r="Y144" i="4"/>
  <c r="X144" i="4"/>
  <c r="W144" i="4"/>
  <c r="V144" i="4"/>
  <c r="T144" i="4"/>
  <c r="S144" i="4"/>
  <c r="R144" i="4"/>
  <c r="Q144" i="4"/>
  <c r="Y143" i="4"/>
  <c r="X143" i="4"/>
  <c r="W143" i="4"/>
  <c r="V143" i="4"/>
  <c r="T143" i="4"/>
  <c r="S143" i="4"/>
  <c r="R143" i="4"/>
  <c r="Q143" i="4"/>
  <c r="Y142" i="4"/>
  <c r="X142" i="4"/>
  <c r="W142" i="4"/>
  <c r="V142" i="4"/>
  <c r="T142" i="4"/>
  <c r="S142" i="4"/>
  <c r="R142" i="4"/>
  <c r="Q142" i="4"/>
  <c r="Y141" i="4"/>
  <c r="X141" i="4"/>
  <c r="W141" i="4"/>
  <c r="V141" i="4"/>
  <c r="T141" i="4"/>
  <c r="S141" i="4"/>
  <c r="R141" i="4"/>
  <c r="Q141" i="4"/>
  <c r="Y140" i="4"/>
  <c r="X140" i="4"/>
  <c r="W140" i="4"/>
  <c r="V140" i="4"/>
  <c r="T140" i="4"/>
  <c r="S140" i="4"/>
  <c r="R140" i="4"/>
  <c r="Q140" i="4"/>
  <c r="Y139" i="4"/>
  <c r="X139" i="4"/>
  <c r="W139" i="4"/>
  <c r="V139" i="4"/>
  <c r="T139" i="4"/>
  <c r="S139" i="4"/>
  <c r="R139" i="4"/>
  <c r="Q139" i="4"/>
  <c r="Y138" i="4"/>
  <c r="X138" i="4"/>
  <c r="W138" i="4"/>
  <c r="V138" i="4"/>
  <c r="T138" i="4"/>
  <c r="S138" i="4"/>
  <c r="R138" i="4"/>
  <c r="Q138" i="4"/>
  <c r="Y137" i="4"/>
  <c r="X137" i="4"/>
  <c r="W137" i="4"/>
  <c r="V137" i="4"/>
  <c r="T137" i="4"/>
  <c r="S137" i="4"/>
  <c r="R137" i="4"/>
  <c r="Q137" i="4"/>
  <c r="Y136" i="4"/>
  <c r="X136" i="4"/>
  <c r="W136" i="4"/>
  <c r="V136" i="4"/>
  <c r="T136" i="4"/>
  <c r="S136" i="4"/>
  <c r="R136" i="4"/>
  <c r="Q136" i="4"/>
  <c r="Y135" i="4"/>
  <c r="X135" i="4"/>
  <c r="W135" i="4"/>
  <c r="V135" i="4"/>
  <c r="T135" i="4"/>
  <c r="S135" i="4"/>
  <c r="R135" i="4"/>
  <c r="Q135" i="4"/>
  <c r="Y134" i="4"/>
  <c r="X134" i="4"/>
  <c r="W134" i="4"/>
  <c r="V134" i="4"/>
  <c r="T134" i="4"/>
  <c r="S134" i="4"/>
  <c r="R134" i="4"/>
  <c r="Q134" i="4"/>
  <c r="Y133" i="4"/>
  <c r="X133" i="4"/>
  <c r="W133" i="4"/>
  <c r="V133" i="4"/>
  <c r="T133" i="4"/>
  <c r="S133" i="4"/>
  <c r="R133" i="4"/>
  <c r="Q133" i="4"/>
  <c r="Y132" i="4"/>
  <c r="X132" i="4"/>
  <c r="W132" i="4"/>
  <c r="V132" i="4"/>
  <c r="T132" i="4"/>
  <c r="S132" i="4"/>
  <c r="R132" i="4"/>
  <c r="Q132" i="4"/>
  <c r="Q94" i="4" l="1"/>
  <c r="R94" i="4"/>
  <c r="S94" i="4"/>
  <c r="T94" i="4"/>
  <c r="V94" i="4"/>
  <c r="W94" i="4"/>
  <c r="X94" i="4"/>
  <c r="Y94" i="4"/>
  <c r="Q95" i="4"/>
  <c r="R95" i="4"/>
  <c r="S95" i="4"/>
  <c r="T95" i="4"/>
  <c r="V95" i="4"/>
  <c r="W95" i="4"/>
  <c r="X95" i="4"/>
  <c r="Y95" i="4"/>
  <c r="Q96" i="4"/>
  <c r="R96" i="4"/>
  <c r="S96" i="4"/>
  <c r="T96" i="4"/>
  <c r="V96" i="4"/>
  <c r="W96" i="4"/>
  <c r="X96" i="4"/>
  <c r="Y96" i="4"/>
  <c r="Q97" i="4"/>
  <c r="R97" i="4"/>
  <c r="S97" i="4"/>
  <c r="T97" i="4"/>
  <c r="V97" i="4"/>
  <c r="W97" i="4"/>
  <c r="X97" i="4"/>
  <c r="Y97" i="4"/>
  <c r="Q98" i="4"/>
  <c r="R98" i="4"/>
  <c r="S98" i="4"/>
  <c r="T98" i="4"/>
  <c r="V98" i="4"/>
  <c r="W98" i="4"/>
  <c r="X98" i="4"/>
  <c r="Y98" i="4"/>
  <c r="Q99" i="4"/>
  <c r="R99" i="4"/>
  <c r="S99" i="4"/>
  <c r="T99" i="4"/>
  <c r="V99" i="4"/>
  <c r="W99" i="4"/>
  <c r="X99" i="4"/>
  <c r="Y99" i="4"/>
  <c r="Q100" i="4"/>
  <c r="R100" i="4"/>
  <c r="S100" i="4"/>
  <c r="T100" i="4"/>
  <c r="V100" i="4"/>
  <c r="W100" i="4"/>
  <c r="X100" i="4"/>
  <c r="Y100" i="4"/>
  <c r="Q101" i="4"/>
  <c r="R101" i="4"/>
  <c r="S101" i="4"/>
  <c r="T101" i="4"/>
  <c r="V101" i="4"/>
  <c r="W101" i="4"/>
  <c r="X101" i="4"/>
  <c r="Y101" i="4"/>
  <c r="Q102" i="4"/>
  <c r="R102" i="4"/>
  <c r="S102" i="4"/>
  <c r="T102" i="4"/>
  <c r="V102" i="4"/>
  <c r="W102" i="4"/>
  <c r="X102" i="4"/>
  <c r="Y102" i="4"/>
  <c r="Q103" i="4"/>
  <c r="R103" i="4"/>
  <c r="S103" i="4"/>
  <c r="T103" i="4"/>
  <c r="V103" i="4"/>
  <c r="W103" i="4"/>
  <c r="X103" i="4"/>
  <c r="Y103" i="4"/>
  <c r="Q104" i="4"/>
  <c r="R104" i="4"/>
  <c r="S104" i="4"/>
  <c r="T104" i="4"/>
  <c r="V104" i="4"/>
  <c r="W104" i="4"/>
  <c r="X104" i="4"/>
  <c r="Y104" i="4"/>
  <c r="Q105" i="4"/>
  <c r="R105" i="4"/>
  <c r="S105" i="4"/>
  <c r="T105" i="4"/>
  <c r="V105" i="4"/>
  <c r="W105" i="4"/>
  <c r="X105" i="4"/>
  <c r="Y105" i="4"/>
  <c r="Q106" i="4"/>
  <c r="R106" i="4"/>
  <c r="S106" i="4"/>
  <c r="T106" i="4"/>
  <c r="V106" i="4"/>
  <c r="W106" i="4"/>
  <c r="X106" i="4"/>
  <c r="Y106" i="4"/>
  <c r="Q107" i="4"/>
  <c r="R107" i="4"/>
  <c r="S107" i="4"/>
  <c r="T107" i="4"/>
  <c r="V107" i="4"/>
  <c r="W107" i="4"/>
  <c r="X107" i="4"/>
  <c r="Y107" i="4"/>
  <c r="Q108" i="4"/>
  <c r="R108" i="4"/>
  <c r="S108" i="4"/>
  <c r="T108" i="4"/>
  <c r="V108" i="4"/>
  <c r="W108" i="4"/>
  <c r="X108" i="4"/>
  <c r="Y108" i="4"/>
  <c r="Q109" i="4"/>
  <c r="R109" i="4"/>
  <c r="S109" i="4"/>
  <c r="T109" i="4"/>
  <c r="V109" i="4"/>
  <c r="W109" i="4"/>
  <c r="X109" i="4"/>
  <c r="Y109" i="4"/>
  <c r="Q110" i="4"/>
  <c r="R110" i="4"/>
  <c r="S110" i="4"/>
  <c r="T110" i="4"/>
  <c r="V110" i="4"/>
  <c r="W110" i="4"/>
  <c r="X110" i="4"/>
  <c r="Y110" i="4"/>
  <c r="Q111" i="4"/>
  <c r="R111" i="4"/>
  <c r="S111" i="4"/>
  <c r="T111" i="4"/>
  <c r="V111" i="4"/>
  <c r="W111" i="4"/>
  <c r="X111" i="4"/>
  <c r="Y111" i="4"/>
  <c r="Y93" i="4"/>
  <c r="X93" i="4"/>
  <c r="W93" i="4"/>
  <c r="V93" i="4"/>
  <c r="T93" i="4"/>
  <c r="S93" i="4"/>
  <c r="R93" i="4"/>
  <c r="Q93" i="4"/>
  <c r="Q112" i="4"/>
  <c r="V128" i="4"/>
  <c r="W128" i="4"/>
  <c r="X128" i="4"/>
  <c r="Y128" i="4"/>
  <c r="V129" i="4"/>
  <c r="W129" i="4"/>
  <c r="X129" i="4"/>
  <c r="Y129" i="4"/>
  <c r="V130" i="4"/>
  <c r="W130" i="4"/>
  <c r="X130" i="4"/>
  <c r="Y130" i="4"/>
  <c r="V131" i="4"/>
  <c r="W131" i="4"/>
  <c r="X131" i="4"/>
  <c r="Y131" i="4"/>
  <c r="Q113" i="4"/>
  <c r="R113" i="4"/>
  <c r="S113" i="4"/>
  <c r="T113" i="4"/>
  <c r="Q114" i="4"/>
  <c r="R114" i="4"/>
  <c r="S114" i="4"/>
  <c r="T114" i="4"/>
  <c r="Q115" i="4"/>
  <c r="R115" i="4"/>
  <c r="S115" i="4"/>
  <c r="T115" i="4"/>
  <c r="Q116" i="4"/>
  <c r="R116" i="4"/>
  <c r="S116" i="4"/>
  <c r="T116" i="4"/>
  <c r="Q117" i="4"/>
  <c r="R117" i="4"/>
  <c r="S117" i="4"/>
  <c r="T117" i="4"/>
  <c r="Q118" i="4"/>
  <c r="R118" i="4"/>
  <c r="S118" i="4"/>
  <c r="T118" i="4"/>
  <c r="Q119" i="4"/>
  <c r="R119" i="4"/>
  <c r="S119" i="4"/>
  <c r="T119" i="4"/>
  <c r="Q120" i="4"/>
  <c r="R120" i="4"/>
  <c r="S120" i="4"/>
  <c r="T120" i="4"/>
  <c r="Q121" i="4"/>
  <c r="R121" i="4"/>
  <c r="S121" i="4"/>
  <c r="T121" i="4"/>
  <c r="Q122" i="4"/>
  <c r="R122" i="4"/>
  <c r="S122" i="4"/>
  <c r="T122" i="4"/>
  <c r="Q123" i="4"/>
  <c r="R123" i="4"/>
  <c r="S123" i="4"/>
  <c r="T123" i="4"/>
  <c r="Q124" i="4"/>
  <c r="R124" i="4"/>
  <c r="S124" i="4"/>
  <c r="T124" i="4"/>
  <c r="Q125" i="4"/>
  <c r="R125" i="4"/>
  <c r="S125" i="4"/>
  <c r="T125" i="4"/>
  <c r="Q126" i="4"/>
  <c r="R126" i="4"/>
  <c r="S126" i="4"/>
  <c r="T126" i="4"/>
  <c r="Q127" i="4"/>
  <c r="R127" i="4"/>
  <c r="S127" i="4"/>
  <c r="T127" i="4"/>
  <c r="Q128" i="4"/>
  <c r="R128" i="4"/>
  <c r="S128" i="4"/>
  <c r="T128" i="4"/>
  <c r="Q129" i="4"/>
  <c r="R129" i="4"/>
  <c r="S129" i="4"/>
  <c r="T129" i="4"/>
  <c r="Q130" i="4"/>
  <c r="R130" i="4"/>
  <c r="S130" i="4"/>
  <c r="T130" i="4"/>
  <c r="Q131" i="4"/>
  <c r="R131" i="4"/>
  <c r="S131" i="4"/>
  <c r="T131" i="4"/>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42" i="1"/>
  <c r="N203" i="1"/>
  <c r="O203" i="1"/>
  <c r="P203" i="1"/>
  <c r="Q203" i="1"/>
  <c r="N204" i="1"/>
  <c r="O204" i="1"/>
  <c r="P204" i="1"/>
  <c r="Q204" i="1"/>
  <c r="N205" i="1"/>
  <c r="O205" i="1"/>
  <c r="P205" i="1"/>
  <c r="Q205" i="1"/>
  <c r="N206" i="1"/>
  <c r="O206" i="1"/>
  <c r="P206" i="1"/>
  <c r="Q206" i="1"/>
  <c r="N207" i="1"/>
  <c r="O207" i="1"/>
  <c r="P207" i="1"/>
  <c r="Q207" i="1"/>
  <c r="N208" i="1"/>
  <c r="O208" i="1"/>
  <c r="P208" i="1"/>
  <c r="Q208" i="1"/>
  <c r="N209" i="1"/>
  <c r="O209" i="1"/>
  <c r="P209" i="1"/>
  <c r="Q209" i="1"/>
  <c r="N210" i="1"/>
  <c r="O210" i="1"/>
  <c r="P210" i="1"/>
  <c r="Q210" i="1"/>
  <c r="N211" i="1"/>
  <c r="O211" i="1"/>
  <c r="P211" i="1"/>
  <c r="Q211" i="1"/>
  <c r="N212" i="1"/>
  <c r="O212" i="1"/>
  <c r="P212" i="1"/>
  <c r="Q212" i="1"/>
  <c r="N213" i="1"/>
  <c r="O213" i="1"/>
  <c r="P213" i="1"/>
  <c r="Q213" i="1"/>
  <c r="N214" i="1"/>
  <c r="O214" i="1"/>
  <c r="P214" i="1"/>
  <c r="Q214" i="1"/>
  <c r="N215" i="1"/>
  <c r="O215" i="1"/>
  <c r="P215" i="1"/>
  <c r="Q215" i="1"/>
  <c r="N216" i="1"/>
  <c r="O216" i="1"/>
  <c r="P216" i="1"/>
  <c r="Q216" i="1"/>
  <c r="N217" i="1"/>
  <c r="O217" i="1"/>
  <c r="P217" i="1"/>
  <c r="Q217" i="1"/>
  <c r="N218" i="1"/>
  <c r="O218" i="1"/>
  <c r="P218" i="1"/>
  <c r="Q218" i="1"/>
  <c r="N219" i="1"/>
  <c r="O219" i="1"/>
  <c r="P219" i="1"/>
  <c r="Q219" i="1"/>
  <c r="N220" i="1"/>
  <c r="O220" i="1"/>
  <c r="P220" i="1"/>
  <c r="Q220" i="1"/>
  <c r="N221" i="1"/>
  <c r="O221" i="1"/>
  <c r="P221" i="1"/>
  <c r="Q221" i="1"/>
  <c r="N222" i="1"/>
  <c r="O222" i="1"/>
  <c r="P222" i="1"/>
  <c r="Q222" i="1"/>
  <c r="N223" i="1"/>
  <c r="O223" i="1"/>
  <c r="P223" i="1"/>
  <c r="Q223" i="1"/>
  <c r="N224" i="1"/>
  <c r="O224" i="1"/>
  <c r="P224" i="1"/>
  <c r="Q224" i="1"/>
  <c r="N225" i="1"/>
  <c r="O225" i="1"/>
  <c r="P225" i="1"/>
  <c r="Q225" i="1"/>
  <c r="N226" i="1"/>
  <c r="O226" i="1"/>
  <c r="P226" i="1"/>
  <c r="Q226" i="1"/>
  <c r="N227" i="1"/>
  <c r="O227" i="1"/>
  <c r="P227" i="1"/>
  <c r="Q227" i="1"/>
  <c r="N228" i="1"/>
  <c r="O228" i="1"/>
  <c r="P228" i="1"/>
  <c r="Q228" i="1"/>
  <c r="N229" i="1"/>
  <c r="O229" i="1"/>
  <c r="P229" i="1"/>
  <c r="Q229" i="1"/>
  <c r="N230" i="1"/>
  <c r="O230" i="1"/>
  <c r="P230" i="1"/>
  <c r="Q230" i="1"/>
  <c r="N231" i="1"/>
  <c r="O231" i="1"/>
  <c r="P231" i="1"/>
  <c r="Q231" i="1"/>
  <c r="N232" i="1"/>
  <c r="O232" i="1"/>
  <c r="P232" i="1"/>
  <c r="Q232" i="1"/>
  <c r="N233" i="1"/>
  <c r="O233" i="1"/>
  <c r="P233" i="1"/>
  <c r="Q233" i="1"/>
  <c r="N234" i="1"/>
  <c r="O234" i="1"/>
  <c r="P234" i="1"/>
  <c r="Q234" i="1"/>
  <c r="N235" i="1"/>
  <c r="O235" i="1"/>
  <c r="P235" i="1"/>
  <c r="Q235" i="1"/>
  <c r="N236" i="1"/>
  <c r="O236" i="1"/>
  <c r="P236" i="1"/>
  <c r="Q236" i="1"/>
  <c r="N237" i="1"/>
  <c r="O237" i="1"/>
  <c r="P237" i="1"/>
  <c r="Q237" i="1"/>
  <c r="N238" i="1"/>
  <c r="O238" i="1"/>
  <c r="P238" i="1"/>
  <c r="Q238" i="1"/>
  <c r="N239" i="1"/>
  <c r="O239" i="1"/>
  <c r="P239" i="1"/>
  <c r="Q239" i="1"/>
  <c r="N240" i="1"/>
  <c r="O240" i="1"/>
  <c r="P240" i="1"/>
  <c r="Q240" i="1"/>
  <c r="N241" i="1"/>
  <c r="O241" i="1"/>
  <c r="P241" i="1"/>
  <c r="Q241" i="1"/>
  <c r="Q202" i="1"/>
  <c r="P202" i="1"/>
  <c r="O202" i="1"/>
  <c r="N202" i="1"/>
  <c r="N2" i="1"/>
  <c r="Q63" i="1"/>
  <c r="Q64" i="1"/>
  <c r="Q65" i="1"/>
  <c r="Q66" i="1"/>
  <c r="Q67" i="1"/>
  <c r="Q68" i="1"/>
  <c r="Q69" i="1"/>
  <c r="Q70" i="1"/>
  <c r="Q71" i="1"/>
  <c r="Q72" i="1"/>
  <c r="Q73" i="1"/>
  <c r="Q74" i="1"/>
  <c r="Q75" i="1"/>
  <c r="Q76" i="1"/>
  <c r="Q77" i="1"/>
  <c r="Q78" i="1"/>
  <c r="Q79" i="1"/>
  <c r="Q80" i="1"/>
  <c r="Q81" i="1"/>
  <c r="Q62" i="1"/>
  <c r="P62" i="1"/>
  <c r="P63" i="1"/>
  <c r="P64" i="1"/>
  <c r="P65" i="1"/>
  <c r="P66" i="1"/>
  <c r="P67" i="1"/>
  <c r="P68" i="1"/>
  <c r="P69" i="1"/>
  <c r="P70" i="1"/>
  <c r="P71" i="1"/>
  <c r="P72" i="1"/>
  <c r="P73" i="1"/>
  <c r="P74" i="1"/>
  <c r="P75" i="1"/>
  <c r="P76" i="1"/>
  <c r="P77" i="1"/>
  <c r="P78" i="1"/>
  <c r="P79" i="1"/>
  <c r="P80" i="1"/>
  <c r="P81" i="1"/>
  <c r="O63" i="1"/>
  <c r="O64" i="1"/>
  <c r="O65" i="1"/>
  <c r="O66" i="1"/>
  <c r="O67" i="1"/>
  <c r="O68" i="1"/>
  <c r="O69" i="1"/>
  <c r="O70" i="1"/>
  <c r="O71" i="1"/>
  <c r="O72" i="1"/>
  <c r="O73" i="1"/>
  <c r="O74" i="1"/>
  <c r="O75" i="1"/>
  <c r="O76" i="1"/>
  <c r="O77" i="1"/>
  <c r="O78" i="1"/>
  <c r="O79" i="1"/>
  <c r="O80" i="1"/>
  <c r="O81" i="1"/>
  <c r="O6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O27" i="1"/>
  <c r="V113" i="4"/>
  <c r="W113" i="4"/>
  <c r="X113" i="4"/>
  <c r="Y113" i="4"/>
  <c r="V114" i="4"/>
  <c r="W114" i="4"/>
  <c r="X114" i="4"/>
  <c r="Y114" i="4"/>
  <c r="V115" i="4"/>
  <c r="W115" i="4"/>
  <c r="X115" i="4"/>
  <c r="Y115" i="4"/>
  <c r="V116" i="4"/>
  <c r="W116" i="4"/>
  <c r="X116" i="4"/>
  <c r="Y116" i="4"/>
  <c r="V117" i="4"/>
  <c r="W117" i="4"/>
  <c r="X117" i="4"/>
  <c r="Y117" i="4"/>
  <c r="V118" i="4"/>
  <c r="W118" i="4"/>
  <c r="X118" i="4"/>
  <c r="Y118" i="4"/>
  <c r="V119" i="4"/>
  <c r="W119" i="4"/>
  <c r="X119" i="4"/>
  <c r="Y119" i="4"/>
  <c r="V120" i="4"/>
  <c r="W120" i="4"/>
  <c r="X120" i="4"/>
  <c r="Y120" i="4"/>
  <c r="V121" i="4"/>
  <c r="W121" i="4"/>
  <c r="X121" i="4"/>
  <c r="Y121" i="4"/>
  <c r="V122" i="4"/>
  <c r="W122" i="4"/>
  <c r="X122" i="4"/>
  <c r="Y122" i="4"/>
  <c r="V123" i="4"/>
  <c r="W123" i="4"/>
  <c r="X123" i="4"/>
  <c r="Y123" i="4"/>
  <c r="V124" i="4"/>
  <c r="W124" i="4"/>
  <c r="X124" i="4"/>
  <c r="Y124" i="4"/>
  <c r="V125" i="4"/>
  <c r="W125" i="4"/>
  <c r="X125" i="4"/>
  <c r="Y125" i="4"/>
  <c r="V126" i="4"/>
  <c r="W126" i="4"/>
  <c r="X126" i="4"/>
  <c r="Y126" i="4"/>
  <c r="V127" i="4"/>
  <c r="W127" i="4"/>
  <c r="X127" i="4"/>
  <c r="Y127" i="4"/>
  <c r="Y112" i="4"/>
  <c r="X112" i="4"/>
  <c r="W112" i="4"/>
  <c r="V112" i="4"/>
  <c r="T112" i="4"/>
  <c r="S112" i="4"/>
  <c r="R112" i="4"/>
  <c r="Q33" i="4"/>
  <c r="R33" i="4"/>
  <c r="S33" i="4"/>
  <c r="T33" i="4"/>
  <c r="U33" i="4"/>
  <c r="V33" i="4"/>
  <c r="W33" i="4"/>
  <c r="X33" i="4"/>
  <c r="Q34" i="4"/>
  <c r="R34" i="4"/>
  <c r="S34" i="4"/>
  <c r="T34" i="4"/>
  <c r="U34" i="4"/>
  <c r="V34" i="4"/>
  <c r="W34" i="4"/>
  <c r="X34" i="4"/>
  <c r="Q35" i="4"/>
  <c r="R35" i="4"/>
  <c r="S35" i="4"/>
  <c r="T35" i="4"/>
  <c r="U35" i="4"/>
  <c r="V35" i="4"/>
  <c r="W35" i="4"/>
  <c r="X35" i="4"/>
  <c r="Q36" i="4"/>
  <c r="R36" i="4"/>
  <c r="S36" i="4"/>
  <c r="T36" i="4"/>
  <c r="U36" i="4"/>
  <c r="V36" i="4"/>
  <c r="W36" i="4"/>
  <c r="X36" i="4"/>
  <c r="X32" i="4"/>
  <c r="W32" i="4"/>
  <c r="V32" i="4"/>
  <c r="U32" i="4"/>
  <c r="T32" i="4"/>
  <c r="S32" i="4"/>
  <c r="R32" i="4"/>
  <c r="Q32" i="4"/>
  <c r="O28" i="1"/>
  <c r="P28" i="1"/>
  <c r="Q28" i="1"/>
  <c r="R28" i="1"/>
  <c r="O29" i="1"/>
  <c r="P29" i="1"/>
  <c r="Q29" i="1"/>
  <c r="R29" i="1"/>
  <c r="O30" i="1"/>
  <c r="P30" i="1"/>
  <c r="Q30" i="1"/>
  <c r="R30" i="1"/>
  <c r="O31" i="1"/>
  <c r="P31" i="1"/>
  <c r="Q31" i="1"/>
  <c r="R31" i="1"/>
  <c r="O32" i="1"/>
  <c r="P32" i="1"/>
  <c r="Q32" i="1"/>
  <c r="R32" i="1"/>
  <c r="O33" i="1"/>
  <c r="P33" i="1"/>
  <c r="Q33" i="1"/>
  <c r="R33" i="1"/>
  <c r="O34" i="1"/>
  <c r="P34" i="1"/>
  <c r="Q34" i="1"/>
  <c r="R34" i="1"/>
  <c r="O35" i="1"/>
  <c r="P35" i="1"/>
  <c r="Q35" i="1"/>
  <c r="R35" i="1"/>
  <c r="O36" i="1"/>
  <c r="P36" i="1"/>
  <c r="Q36" i="1"/>
  <c r="R36" i="1"/>
  <c r="O37" i="1"/>
  <c r="P37" i="1"/>
  <c r="Q37" i="1"/>
  <c r="R37" i="1"/>
  <c r="O38" i="1"/>
  <c r="P38" i="1"/>
  <c r="Q38" i="1"/>
  <c r="R38" i="1"/>
  <c r="O39" i="1"/>
  <c r="P39" i="1"/>
  <c r="Q39" i="1"/>
  <c r="R39" i="1"/>
  <c r="O40" i="1"/>
  <c r="P40" i="1"/>
  <c r="Q40" i="1"/>
  <c r="R40" i="1"/>
  <c r="O41" i="1"/>
  <c r="P41" i="1"/>
  <c r="Q41" i="1"/>
  <c r="R41" i="1"/>
  <c r="R27" i="1"/>
  <c r="Q27" i="1"/>
  <c r="P27" i="1"/>
  <c r="Q75" i="4"/>
  <c r="Q90" i="4"/>
  <c r="R90" i="4"/>
  <c r="S90" i="4"/>
  <c r="T90" i="4"/>
  <c r="Q91" i="4"/>
  <c r="R91" i="4"/>
  <c r="S91" i="4"/>
  <c r="T91" i="4"/>
  <c r="Q92" i="4"/>
  <c r="R92" i="4"/>
  <c r="S92" i="4"/>
  <c r="T92" i="4"/>
  <c r="T89" i="4"/>
  <c r="S89" i="4"/>
  <c r="R89" i="4"/>
  <c r="Q89" i="4"/>
  <c r="V90" i="4"/>
  <c r="W90" i="4"/>
  <c r="X90" i="4"/>
  <c r="Y90" i="4"/>
  <c r="V91" i="4"/>
  <c r="W91" i="4"/>
  <c r="X91" i="4"/>
  <c r="Y91" i="4"/>
  <c r="V92" i="4"/>
  <c r="W92" i="4"/>
  <c r="X92" i="4"/>
  <c r="Y92" i="4"/>
  <c r="Y89" i="4"/>
  <c r="X89" i="4"/>
  <c r="W89" i="4"/>
  <c r="V89" i="4"/>
  <c r="Q39" i="4"/>
  <c r="R39" i="4"/>
  <c r="S39" i="4"/>
  <c r="T39" i="4"/>
  <c r="Q40" i="4"/>
  <c r="R40" i="4"/>
  <c r="S40" i="4"/>
  <c r="T40" i="4"/>
  <c r="Q41" i="4"/>
  <c r="R41" i="4"/>
  <c r="S41" i="4"/>
  <c r="T41" i="4"/>
  <c r="Q42" i="4"/>
  <c r="R42" i="4"/>
  <c r="S42" i="4"/>
  <c r="T42" i="4"/>
  <c r="Q43" i="4"/>
  <c r="R43" i="4"/>
  <c r="S43" i="4"/>
  <c r="T43" i="4"/>
  <c r="Q44" i="4"/>
  <c r="R44" i="4"/>
  <c r="S44" i="4"/>
  <c r="T44" i="4"/>
  <c r="Q45" i="4"/>
  <c r="R45" i="4"/>
  <c r="S45" i="4"/>
  <c r="T45" i="4"/>
  <c r="Q46" i="4"/>
  <c r="R46" i="4"/>
  <c r="S46" i="4"/>
  <c r="T46" i="4"/>
  <c r="Q47" i="4"/>
  <c r="R47" i="4"/>
  <c r="S47" i="4"/>
  <c r="T47" i="4"/>
  <c r="Q48" i="4"/>
  <c r="R48" i="4"/>
  <c r="S48" i="4"/>
  <c r="T48" i="4"/>
  <c r="Q49" i="4"/>
  <c r="R49" i="4"/>
  <c r="S49" i="4"/>
  <c r="T49" i="4"/>
  <c r="Q50" i="4"/>
  <c r="R50" i="4"/>
  <c r="S50" i="4"/>
  <c r="T50" i="4"/>
  <c r="Q51" i="4"/>
  <c r="R51" i="4"/>
  <c r="S51" i="4"/>
  <c r="T51" i="4"/>
  <c r="Q52" i="4"/>
  <c r="R52" i="4"/>
  <c r="S52" i="4"/>
  <c r="T52" i="4"/>
  <c r="Q53" i="4"/>
  <c r="R53" i="4"/>
  <c r="S53" i="4"/>
  <c r="T53" i="4"/>
  <c r="S38" i="4"/>
  <c r="T38" i="4"/>
  <c r="R38" i="4"/>
  <c r="Q76" i="4"/>
  <c r="Q9" i="4"/>
  <c r="Q10" i="4"/>
  <c r="Q11" i="4"/>
  <c r="Q12" i="4"/>
  <c r="Q13" i="4"/>
  <c r="Q14" i="4"/>
  <c r="Q15" i="4"/>
  <c r="Q16" i="4"/>
  <c r="Q17" i="4"/>
  <c r="Q18" i="4"/>
  <c r="Q19" i="4"/>
  <c r="Q20" i="4"/>
  <c r="Q8" i="4"/>
  <c r="Q4" i="4"/>
  <c r="Q5" i="4"/>
  <c r="Q6" i="4"/>
  <c r="Q7" i="4"/>
  <c r="Q3" i="4"/>
  <c r="Q74" i="4" s="1"/>
  <c r="R3" i="4"/>
  <c r="Q73" i="4"/>
  <c r="Q77" i="4"/>
  <c r="Q78" i="4"/>
  <c r="Q79" i="4"/>
  <c r="Q80" i="4"/>
  <c r="Q81" i="4"/>
  <c r="Q82" i="4"/>
  <c r="Q83" i="4"/>
  <c r="Q84" i="4"/>
  <c r="Q85" i="4"/>
  <c r="Q86" i="4"/>
  <c r="Q87" i="4"/>
</calcChain>
</file>

<file path=xl/connections.xml><?xml version="1.0" encoding="utf-8"?>
<connections xmlns="http://schemas.openxmlformats.org/spreadsheetml/2006/main">
  <connection id="1" name="sites" type="4" refreshedVersion="0" background="1">
    <webPr xml="1" sourceData="1" parsePre="1" consecutive="1" url="D:\01home\web\08_javi\xml\sites.xml" htmlTables="1"/>
  </connection>
</connections>
</file>

<file path=xl/sharedStrings.xml><?xml version="1.0" encoding="utf-8"?>
<sst xmlns="http://schemas.openxmlformats.org/spreadsheetml/2006/main" count="11792" uniqueCount="8974">
  <si>
    <t>fecha</t>
  </si>
  <si>
    <t>titulo</t>
  </si>
  <si>
    <t>url</t>
  </si>
  <si>
    <t>answ1</t>
  </si>
  <si>
    <t>answ2</t>
  </si>
  <si>
    <t>repeat</t>
  </si>
  <si>
    <t>answ3</t>
  </si>
  <si>
    <t>answ4</t>
  </si>
  <si>
    <t>id_exam</t>
  </si>
  <si>
    <t>Question</t>
  </si>
  <si>
    <t>nquest</t>
  </si>
  <si>
    <t>delay</t>
  </si>
  <si>
    <t>En las sucesivas presentaciones usted encontrará preguntas de tipo test relacionadas con la conversación que debe escuchar previamente en la parte izquierda de la misma.</t>
  </si>
  <si>
    <t>Después de escuchar la conversación en inglés deberá responder a una de las preguntas de la parte derecha.</t>
  </si>
  <si>
    <t>Gracias por su colaboración. A continuación podrá &lt;strong&gt;imprimir&lt;/strong&gt; las respuestas que han sido seleccionadas, o bien imprimirlas en un archivo &lt;strong&gt;pdf&lt;/strong&gt; para su entrega al profesor correspondiente.</t>
  </si>
  <si>
    <t>nombre_examen</t>
  </si>
  <si>
    <t>listening</t>
  </si>
  <si>
    <t>Question1</t>
  </si>
  <si>
    <t>Question2</t>
  </si>
  <si>
    <t>Texto</t>
  </si>
  <si>
    <t xml:space="preserve">a) be completely negative.                                                                                                                 </t>
  </si>
  <si>
    <t xml:space="preserve">b) give a generally positive outlook while pointing out some problematic areas.                            </t>
  </si>
  <si>
    <t xml:space="preserve">c) lead the reader to the conclusion that the situation is going to improve in the near future.                                                                                                                                                        </t>
  </si>
  <si>
    <t>d) give a generally pessimistic picture while pointing out some encouraging achievements.</t>
  </si>
  <si>
    <t>EXAMEN 1/MP3/Q-10 EXAMEN 1.mp3</t>
  </si>
  <si>
    <t>EXAMEN 1/MP3/Q-11 EXAMEN 1.mp3</t>
  </si>
  <si>
    <t>EXAMEN 1/MP3/Q-12 EXAMEN 1.mp3</t>
  </si>
  <si>
    <t>EXAMEN 1/MP3/Q-13 EXAMEN 1.mp3</t>
  </si>
  <si>
    <t>EXAMEN 1/MP3/Q-14 EXAMEN 1.mp3</t>
  </si>
  <si>
    <t>EXAMEN 1/MP3/Q-15 EXAMEN 1.mp3</t>
  </si>
  <si>
    <t>EXAMEN 1/MP3/Q-16 EXAMEN 1.mp3</t>
  </si>
  <si>
    <t>EXAMEN 1/MP3/Q-17 EXAMEN 1.mp3</t>
  </si>
  <si>
    <t>EXAMEN 1/MP3/Q-18 EXAMEN 1.mp3</t>
  </si>
  <si>
    <t>EXAMEN 1/MP3/Q-19 EXAMEN 1.mp3</t>
  </si>
  <si>
    <t>EXAMEN 1/MP3/Q-20 EXAMEN 1.mp3</t>
  </si>
  <si>
    <t>EXAMEN 2</t>
  </si>
  <si>
    <t>d)  France was not aware of the occurrence of the genocide until it was too late.</t>
  </si>
  <si>
    <t xml:space="preserve">2. According to the article; </t>
  </si>
  <si>
    <t>4. The Chilean President believes the death toll may rise because;</t>
  </si>
  <si>
    <t>5. The adjective that best describes the state of the aid-workers as reported in the text would be;</t>
  </si>
  <si>
    <t xml:space="preserve">6. The local people in Jos seem to feel that the violence arose due to; </t>
  </si>
  <si>
    <t xml:space="preserve">7. From the article we know that;  </t>
  </si>
  <si>
    <t xml:space="preserve">8. By making the film, Kathryn Bigelow wanted to portray; </t>
  </si>
  <si>
    <t xml:space="preserve">9.  According to the article; </t>
  </si>
  <si>
    <t xml:space="preserve">10. It seems that in the next elections; </t>
  </si>
  <si>
    <t xml:space="preserve">11. According to Prince Charles’ famous description, books at the Birmingham Library were; </t>
  </si>
  <si>
    <t xml:space="preserve">12. The current Birmingham Central Library could be described as; </t>
  </si>
  <si>
    <t xml:space="preserve">13.We get the impression that the writer; </t>
  </si>
  <si>
    <t xml:space="preserve">14. It seems that the writer’s parents were; </t>
  </si>
  <si>
    <t xml:space="preserve">16. We can conclude that the writer; </t>
  </si>
  <si>
    <t xml:space="preserve">17. Scientists believe that the Cathedral of Holy Ascension was not destroyed in the earthquake because; </t>
  </si>
  <si>
    <t>18. The writer suggests that the Tien Shan mountain range is;</t>
  </si>
  <si>
    <t xml:space="preserve">19. When Nick Page arrived in Ethiopia, he found that; </t>
  </si>
  <si>
    <t>20. When Nick Page was recording, he claimed that he;</t>
  </si>
  <si>
    <t>EXAMEN 1</t>
  </si>
  <si>
    <t>1.</t>
  </si>
  <si>
    <t>2.</t>
  </si>
  <si>
    <t>3.</t>
  </si>
  <si>
    <t>4.</t>
  </si>
  <si>
    <t>5. What is the situation?</t>
  </si>
  <si>
    <t>6.</t>
  </si>
  <si>
    <t>7.</t>
  </si>
  <si>
    <t>8.</t>
  </si>
  <si>
    <t>9.</t>
  </si>
  <si>
    <t>10.</t>
  </si>
  <si>
    <t>11.</t>
  </si>
  <si>
    <t>12.</t>
  </si>
  <si>
    <t>13. What can be deduced from this conversation?</t>
  </si>
  <si>
    <t>14. What does the woman reply?</t>
  </si>
  <si>
    <t>15. What does the woman imply?</t>
  </si>
  <si>
    <t>16. What can be deduced from this conversation?</t>
  </si>
  <si>
    <t>17. What can be deduced from this conversation?</t>
  </si>
  <si>
    <t>18. What can be deduced from this conversation?</t>
  </si>
  <si>
    <t>19. What can be deduced from this conversation?</t>
  </si>
  <si>
    <t>20. What can be deduced from this conversation?</t>
  </si>
  <si>
    <t>21. What can be said about the film ‘the Hurt Locker’ ?</t>
  </si>
  <si>
    <t>EXAMEN 1/MP3/Q-21 EXAMEN 1.mp3</t>
  </si>
  <si>
    <t>A. It turned out to be a big money earner</t>
  </si>
  <si>
    <t>B. It did not cost much to make</t>
  </si>
  <si>
    <t>C. People flocked to see it</t>
  </si>
  <si>
    <t>D. In her speech, Bigelow criticised the Armed Forces</t>
  </si>
  <si>
    <t>22. How did the Federal Aviation Administration react to this situation?</t>
  </si>
  <si>
    <t>EXAMEN 1/MP3/Q-22 EXAMEN 1.mp3</t>
  </si>
  <si>
    <t xml:space="preserve">A. It dismissed two people </t>
  </si>
  <si>
    <t>B. It was amazed at how confident the child was</t>
  </si>
  <si>
    <t>C. It considered that the incident was exaggerated</t>
  </si>
  <si>
    <t>D. It ordered more security at the control tower</t>
  </si>
  <si>
    <t>23. What can be said about the possible location of the radioactive waste dump?</t>
  </si>
  <si>
    <t>EXAMEN 1/MP3/Q-23 EXAMEN 1.mp3</t>
  </si>
  <si>
    <t>A. All  indigenous groups are opposed to it</t>
  </si>
  <si>
    <t>B. Earthquakes in the area make it unsafe</t>
  </si>
  <si>
    <t>C. It is not far from Sydney</t>
  </si>
  <si>
    <t>D. Landowners  have protested against it</t>
  </si>
  <si>
    <t>EXAMEN 1/MP3/Q-24 EXAMEN 1.mp3</t>
  </si>
  <si>
    <t>A. The history girls are fashion models</t>
  </si>
  <si>
    <t>B. The reki-jo idolize rock stars</t>
  </si>
  <si>
    <t>C. Japanese people identify with elite swordsmen</t>
  </si>
  <si>
    <t>25. What is the reaction of sailing experts to Jessica’s achievement?</t>
  </si>
  <si>
    <t>EXAMEN 1/MP3/Q-25 EXAMEN 1.mp3</t>
  </si>
  <si>
    <t>A. They think she will set a new record</t>
  </si>
  <si>
    <t xml:space="preserve">B. They feel what she has done has no merit  </t>
  </si>
  <si>
    <t>C. In their view she hasn’t sailed far enough</t>
  </si>
  <si>
    <t>D. They think she is too timid to undertake a solo journey</t>
  </si>
  <si>
    <t>EXAMEN 1/MP3/Q-26 EXAMEN 1.mp3</t>
  </si>
  <si>
    <t>EXAMEN 1/MP3/Q-27 EXAMEN 1.mp3</t>
  </si>
  <si>
    <t>EXAMEN 1/MP3/Q-28 EXAMEN 1.mp3</t>
  </si>
  <si>
    <t>A. They contacted the families of the survivors immediately</t>
  </si>
  <si>
    <t>C. They captured millions of barrels of oil</t>
  </si>
  <si>
    <t>EXAMEN 1/MP3/Q-29 EXAMEN 1.mp3</t>
  </si>
  <si>
    <t>B. He suspected that plants were in-breeding and so healthier</t>
  </si>
  <si>
    <t xml:space="preserve">D. He  thought that cross-breeding produced more robust species </t>
  </si>
  <si>
    <t>EXAMEN 1/MP3/Q-30 EXAMEN 1.mp3</t>
  </si>
  <si>
    <t>A. They are psychologically different to other people</t>
  </si>
  <si>
    <t>31. Which of the following statements is true according to what you have heard?</t>
  </si>
  <si>
    <t>EXAMEN 1/MP3/Q-31 EXAMEN 1.mp3</t>
  </si>
  <si>
    <t>C. Khodorkovsky purchased state assets for way below market price</t>
  </si>
  <si>
    <t>D. Boris Yelstin built up the Yukos Oil company in the 1990s</t>
  </si>
  <si>
    <t>EXAMEN 1/MP3/Q-32 EXAMEN 1.mp3</t>
  </si>
  <si>
    <t>A. Americans insist on having public tap water</t>
  </si>
  <si>
    <t>B. Bottled water ends up contaminating the environment</t>
  </si>
  <si>
    <t>EXAMEN 1/MP3/Q-33 EXAMEN 1.mp3</t>
  </si>
  <si>
    <t>EXAMEN 1/MP3/Q-34 EXAMEN 1.mp3</t>
  </si>
  <si>
    <t>A. She does not like to be photographed</t>
  </si>
  <si>
    <t>C. She steered clear of the press in LA airport</t>
  </si>
  <si>
    <t>D. She needed half a million pounds for charity work</t>
  </si>
  <si>
    <t>EXAMEN 1/MP3/Q-35 EXAMEN 1.mp3</t>
  </si>
  <si>
    <t>A. Seniesa started to fight a couple of years ago</t>
  </si>
  <si>
    <t>EXAMEN 1/MP3/Q-36 EXAMEN 1.mp3</t>
  </si>
  <si>
    <t>A. Brain abnormalities are common among adolescents</t>
  </si>
  <si>
    <t>C. Binge drinking is OK  three times a month</t>
  </si>
  <si>
    <t>EXAMEN 1/MP3/Q-37 EXAMEN 1.mp3</t>
  </si>
  <si>
    <t>D. With the arrival of digital nothing in the photo is real</t>
  </si>
  <si>
    <t>EXAMEN 1/MP3/Q-38 EXAMEN 1.mp3</t>
  </si>
  <si>
    <t>A. The government cannot establish a price for the gas</t>
  </si>
  <si>
    <t>B. The dispute between the brothers has been going on for nine years</t>
  </si>
  <si>
    <t xml:space="preserve">D. The brothers have been given a time limit to draw up a new agreement </t>
  </si>
  <si>
    <t>EXAMEN 1/MP3/Q-39 EXAMEN 1.mp3</t>
  </si>
  <si>
    <t>EXAMEN 1/MP3/Q-40 EXAMEN 1.mp3</t>
  </si>
  <si>
    <t>A. Some clients tortured their financial advisor</t>
  </si>
  <si>
    <t>B. The financial advisor was on trial for the sub-prime melt-down</t>
  </si>
  <si>
    <t>C. The financial advisor was taken on a holiday for four days</t>
  </si>
  <si>
    <t>D. The pensioners had risked their money on real estate</t>
  </si>
  <si>
    <t>9. What does the man mean?</t>
  </si>
  <si>
    <t>10. What does the man mean?</t>
  </si>
  <si>
    <t>11. What does the man mean?</t>
  </si>
  <si>
    <t>13. What does the woman mean?</t>
  </si>
  <si>
    <t>14. What does the man mean?</t>
  </si>
  <si>
    <t>15. What is the man waiting for?</t>
  </si>
  <si>
    <t>16. What does the man mean?</t>
  </si>
  <si>
    <t>17. What does the woman say?</t>
  </si>
  <si>
    <t>18. What does the woman say?</t>
  </si>
  <si>
    <t>19. What does the man mean?</t>
  </si>
  <si>
    <t xml:space="preserve">20. What can be inferred from what the man says? </t>
  </si>
  <si>
    <t>EXAMEN 3</t>
  </si>
  <si>
    <t xml:space="preserve">1. </t>
  </si>
  <si>
    <t>4. What does the man mean?</t>
  </si>
  <si>
    <t>5.</t>
  </si>
  <si>
    <t>6. What does the man offer to do?</t>
  </si>
  <si>
    <t xml:space="preserve">7. What can be inferred from this conversation? </t>
  </si>
  <si>
    <t>8. What does the man mean?</t>
  </si>
  <si>
    <t>9. What can be inferred from this conversation?</t>
  </si>
  <si>
    <t>10. What does the woman mean?</t>
  </si>
  <si>
    <t>11. What does the woman mean?</t>
  </si>
  <si>
    <t>12. What does the man mean?</t>
  </si>
  <si>
    <t>13. What does the man mean?</t>
  </si>
  <si>
    <t>14. What does the second man say?</t>
  </si>
  <si>
    <t xml:space="preserve">15. What does the woman mean? </t>
  </si>
  <si>
    <t>16. What can be inferred from this conversation?</t>
  </si>
  <si>
    <t>18. What does the second man ask?</t>
  </si>
  <si>
    <t>D. O'Malley came last</t>
  </si>
  <si>
    <t>D. My car needs a mechanical check</t>
  </si>
  <si>
    <t>D. The meeting has been cancelled.</t>
  </si>
  <si>
    <t>D. Getting a credit card is difficult if you’re in the red.</t>
  </si>
  <si>
    <t>D. Mrs. Peters was asked to sell her grandfather clock for five hundred dollars.</t>
  </si>
  <si>
    <t xml:space="preserve">D. The authorities were quick to inform the population about the disease. </t>
  </si>
  <si>
    <t>C. She is related to a Welsh uncle of mine.</t>
  </si>
  <si>
    <t>C. The authorities were fast to find the source of the disease.</t>
  </si>
  <si>
    <t>C. He still arrives late to the office</t>
  </si>
  <si>
    <t>C. I need to offer a service with my car</t>
  </si>
  <si>
    <t>C. Pat and Jill are going out tonight</t>
  </si>
  <si>
    <t>C. I do not have the courage to do what he did</t>
  </si>
  <si>
    <t>C. Paul was sacked from his job</t>
  </si>
  <si>
    <t>C. The man's sister works with cows</t>
  </si>
  <si>
    <t>C. That she has been here longer</t>
  </si>
  <si>
    <t>C. His days are becoming busier and busier</t>
  </si>
  <si>
    <t>C. He found the movie hilarious</t>
  </si>
  <si>
    <t>C. If she has tested the batteries</t>
  </si>
  <si>
    <t>C. The embassy should apologise</t>
  </si>
  <si>
    <t>A. It was okay where I left my car</t>
  </si>
  <si>
    <t>A. We helped the bulldog</t>
  </si>
  <si>
    <t>A. I haven’t drunk too much coffee.</t>
  </si>
  <si>
    <t>A. Motivation and experience determine success.</t>
  </si>
  <si>
    <t>A. I’m dying to get the new Harry Potter book.</t>
  </si>
  <si>
    <t>A. Before long it will be summer.</t>
  </si>
  <si>
    <t>A. John has forgotten the man</t>
  </si>
  <si>
    <t>A. Weather permitting, the barbecue will take place.</t>
  </si>
  <si>
    <t>A. He is faced with a wide selection of hats.</t>
  </si>
  <si>
    <t xml:space="preserve">A. The woman’s offer fell short. </t>
  </si>
  <si>
    <t>A. Mike’s Porsche is red not black</t>
  </si>
  <si>
    <t>A. This war was shorter than the last.</t>
  </si>
  <si>
    <t>A. She has trouble with her eyesight</t>
  </si>
  <si>
    <t>A. He will fix the problem with the lift himself</t>
  </si>
  <si>
    <t>A. A TV programme to begin.</t>
  </si>
  <si>
    <t>A. Wars are being presented as entertainment.</t>
  </si>
  <si>
    <t>A. Her client is confessing his guilt.</t>
  </si>
  <si>
    <t xml:space="preserve">A. Strides have been made in modern warfare. </t>
  </si>
  <si>
    <t>A. He guesses their friends will be over for an hour.</t>
  </si>
  <si>
    <t>A. Journalists cover wars for financial reasons.</t>
  </si>
  <si>
    <t>B. It was not okay where I left my car</t>
  </si>
  <si>
    <t>B. The Bulldog was feeble.</t>
  </si>
  <si>
    <t>B. I would feel nervous if I didn’t drink so much coffee.</t>
  </si>
  <si>
    <t xml:space="preserve">B. Motivation doesn’t determine success. </t>
  </si>
  <si>
    <t>B. I’ll wait to get the new Harry Potter book.</t>
  </si>
  <si>
    <t>B. You can tell it will be a long summer.</t>
  </si>
  <si>
    <t>B. John will be back for the man</t>
  </si>
  <si>
    <t>B. The barbecue is taking place because of the weather.</t>
  </si>
  <si>
    <t xml:space="preserve">B. He can’t decide until he sees more hats. </t>
  </si>
  <si>
    <t>B. The woman's offer was over the top.</t>
  </si>
  <si>
    <t>B. Mike’s car is parked opposite the bookstore.</t>
  </si>
  <si>
    <t>B. The woman will be surprised when the war finishes.</t>
  </si>
  <si>
    <t>B. She doesn’t believe the couple took their flight.</t>
  </si>
  <si>
    <t>B. He will go to maintenance and report the problem</t>
  </si>
  <si>
    <t>B. His friends to watch a TV programme with him.</t>
  </si>
  <si>
    <t>B. Television confuses people’s perception of things.</t>
  </si>
  <si>
    <t>B. Her client is aiding the investigation.</t>
  </si>
  <si>
    <t>B. The enemy was able to retaliate.</t>
  </si>
  <si>
    <t>B. Their friends will stay for less than an hour.</t>
  </si>
  <si>
    <t>B. The chances of being wounded are not high.</t>
  </si>
  <si>
    <t>C. I left my car and walked</t>
  </si>
  <si>
    <t>C. The Bulldog was lying in the middle of the road.</t>
  </si>
  <si>
    <t>C. I wouldn’t be nervous if I drank coffee.</t>
  </si>
  <si>
    <t>C. Experience alone often determines success.</t>
  </si>
  <si>
    <t>C. I couldn’t wait to buy the new Harry Potter book.</t>
  </si>
  <si>
    <t>C. We will have to wait for the long days of summer.</t>
  </si>
  <si>
    <t>C. John is waiting for the man.</t>
  </si>
  <si>
    <t>C. The barbecue was called off.</t>
  </si>
  <si>
    <t>C. It’s hard to choose from so few hats.</t>
  </si>
  <si>
    <t>C. The man has decided not to sell the house.</t>
  </si>
  <si>
    <t>C. The red Porsche is unfamiliar.</t>
  </si>
  <si>
    <t>C. The latest war was long-lasting.</t>
  </si>
  <si>
    <t>C. Debbie and Jeff often fight.</t>
  </si>
  <si>
    <t>C. He’ll arrange for a new elevator to be installed</t>
  </si>
  <si>
    <t>C. A TV programme to finish.</t>
  </si>
  <si>
    <t>C. Television influences the outcome of most wars</t>
  </si>
  <si>
    <t>C. Her client is hindering the investigation.</t>
  </si>
  <si>
    <t>C. Methods of warfare remain unchanged.</t>
  </si>
  <si>
    <t>C. Their friends will turn up in barely an hour.</t>
  </si>
  <si>
    <t>C. Excitement is not the most important aspect of war journalism.</t>
  </si>
  <si>
    <t>D. I always drive on the left</t>
  </si>
  <si>
    <t>D. The Bulldog was a week old pup.</t>
  </si>
  <si>
    <t>D. I have drunk a lot of coffee.</t>
  </si>
  <si>
    <t>D. Motivation usually determines success.</t>
  </si>
  <si>
    <t>D. I have just bought the new Harry Potter book.</t>
  </si>
  <si>
    <t>D. I long for the days of summer</t>
  </si>
  <si>
    <t>D. John is holding the man up.</t>
  </si>
  <si>
    <t>D. The barbecue took place despite the weather.</t>
  </si>
  <si>
    <t>D. The hats he has seen are spoiled.</t>
  </si>
  <si>
    <t>D. The man prefers to wait for a higher offer.</t>
  </si>
  <si>
    <t>D. Mike could be in the book store.</t>
  </si>
  <si>
    <t>D. The latest war was brief.</t>
  </si>
  <si>
    <t xml:space="preserve">D. She was taken aback by their fight. </t>
  </si>
  <si>
    <t>D. He’ll phone for someone to fix the electrical problem</t>
  </si>
  <si>
    <t>D. Some friends to pay a call.</t>
  </si>
  <si>
    <t>D. Television is to blame for the outbreak of war.</t>
  </si>
  <si>
    <t xml:space="preserve">D. Her client is recording the conversation. </t>
  </si>
  <si>
    <t>D. Modern warfare has gone downhill.</t>
  </si>
  <si>
    <t>D. Things won’t start for at least an hour.</t>
  </si>
  <si>
    <t>D. Prestige is not the most important aspect of war journalism.</t>
  </si>
  <si>
    <t>En las sucesivas presentaciones usted encontrará preguntas de relacionadas con el texto redactado.</t>
  </si>
  <si>
    <t>Después de leer y comprender el texto presentado deberá responder a una de las preguntas de la parte inferior.</t>
  </si>
  <si>
    <t>Contenidos para exámen de listening</t>
  </si>
  <si>
    <t>Contenidos para exámen normal de comprensión de textos</t>
  </si>
  <si>
    <t>Poner los nombres</t>
  </si>
  <si>
    <t>Poner DNI sin letra</t>
  </si>
  <si>
    <t>33. Which of the following statements is true according to what you have heard?</t>
  </si>
  <si>
    <t>EXAMEN 4</t>
  </si>
  <si>
    <t>1. The article states that</t>
  </si>
  <si>
    <t xml:space="preserve">a) the French president has apologized to Rwanda regarding the 1994 genocide.                                                                                                                                                                       </t>
  </si>
  <si>
    <t xml:space="preserve">b) the French president does not wish to visit Rwanda.                                                                                          </t>
  </si>
  <si>
    <t xml:space="preserve">c) the behavior of France was at fault regarding the 1994 genocide .                                                                </t>
  </si>
  <si>
    <t xml:space="preserve">a) the Hutus held the Tutsis responsible for the death of President Juvènal </t>
  </si>
  <si>
    <t xml:space="preserve">b) it has been proven that President Juvènal Habyarimana was assassinated.           </t>
  </si>
  <si>
    <t>c) President Juvènal Habyarimana was known to support both Hutu and Tutsi interests</t>
  </si>
  <si>
    <t>d) the French president hopes for a reconciliation between the Hutus and theTutsis.</t>
  </si>
  <si>
    <t>Two Million Displaced as Government Scrambles to Provide Aid.                                                                                                                                                                               (No writer given.) France 24. International News.  March 1 2010.                                                                                                                                                                                     Chile’s quake toll topped 700 on Sunday as rescuers raced to find survivors. The extent of the disaster became clear in costal areas where giant waves had swept homes away, leaving an estimated two million without homes.                                                                                                                                                                              Chile’s government scrambled on Monday to offer aid to thousands of homeless people in coastal villages rocked by an 8.8-magnitude earth quake and tsunamis, as 10,000 troops moved into the worst-hit areas to control looting. The government raised the death toll to 711 from Saturday’s massive quake as scenes of devastation emerged in towns swamped by giant waves unleashed by one of the most powerful earthquakes in a century. With many people missing and some communities in the central region of the South American country still isolated by damaged or destroyed roads, President Michelle Bachelet said the death toll was certain to rise. Houses lay in ruins and cars were flattened after waves surged through fishing villages on the country’s long Pacific coast. “France 24” correspondent Cyril Vanier, reporting from the capital Santiago, said that these coastal towns near the epicentre- 115  kilometres from Concepcion, the country’s second-largest –were “almost 100% destroyed.” Vanier also spoke of “serious looting” in severely struck Concepcion and other cities, including Santiago, with people seen pillaging stores for food and other supplies.</t>
  </si>
  <si>
    <t>3. The troops were deployed to control</t>
  </si>
  <si>
    <t xml:space="preserve">a) physical assaults.                                                                                                                                                    </t>
  </si>
  <si>
    <t xml:space="preserve">b) plundering.                                                                                                                                                               </t>
  </si>
  <si>
    <t xml:space="preserve">c) evacuation of the area.                                                                                                                                                    </t>
  </si>
  <si>
    <t>d) possession of weapons.</t>
  </si>
  <si>
    <t xml:space="preserve">a) another earthquake is expected.                                                                                                                             </t>
  </si>
  <si>
    <t xml:space="preserve">b) the tsunamis are expected to continue for sometime.                                                                                      </t>
  </si>
  <si>
    <t xml:space="preserve">c) people in the more remote areas are in danger.                                                                                                  </t>
  </si>
  <si>
    <t>d) there are people still unaccounted for.</t>
  </si>
  <si>
    <t xml:space="preserve">a)  overwrought.                                                                                                                                                            </t>
  </si>
  <si>
    <t xml:space="preserve">b) tireless.                                                                                                                                                                          </t>
  </si>
  <si>
    <t xml:space="preserve">d) agitated.                                                                                                                                      </t>
  </si>
  <si>
    <t xml:space="preserve">a) theological reasons.                                                                                                                                                           </t>
  </si>
  <si>
    <t xml:space="preserve">b) a conflict of interest over land ownership.                                                                                                             </t>
  </si>
  <si>
    <t xml:space="preserve">c) a shortage of employment.                                                                                                                                          </t>
  </si>
  <si>
    <t xml:space="preserve">d) affairs of state. </t>
  </si>
  <si>
    <t>Profile: Kathryn Bigelow. (Mark Savage.)  B.B.C. News (One-Minute News.)  March 8 2010.                                                                                                                                      Kathryn Bigelow has become the first woman in the history of the Academy Awards to win the best director trophy, as her tension-filled Iraq war drama The Hurt Locker collected six prizes. It is something of a turnaround for the director, whose previous movies have totally by passed the annual awards season. The Hurt Locker follows a group of bomb-disposal technicians working in Iraq. Based on the real-life observations of writer Mark Boal, these soldiers speak of explosions as putting you in “the hurt locker.”                                                                                                                                                                                                                              Bigelow shot the movie with a cast of unknowns, “so the audience wouldn’t know who among the three main characters was going to die by virtue of their public profile,” she said.                                                                                                                                                                                                                                                                                      Her uncompromising attitude didn’t stop at the casting stage, either. Rather than using the nondescript desert plains of Arizona to stand in for Iraq, she went to Jordan and shot the film in 115 degree heat.                                                                                                                                                                                                                                    Not only that, she part-funded the movie herself-believing that a major Hollywood studio would not give her the creative control she desired.                                                                                          “Don’t give up on your dream” is Kathryn Bigelow’s advice after her win. Critics were gripped by the “convincingly blunt” action sequences and Bigelow’s “penetrating study of heroism”, but several criticized the decision not to take an ideological viewpoint on the Iraq War.  Bigelow contented the film was “not a documentary”, maintaining that her intention was to highlight the plight of soldiers in a war she felt had been “under-reported” in the U.S. media. She added that the script was informed by war correspondent Chris Hedges’ polemic War Is a Force That Gives Us Meaning-which argues that war seduces entire societies, like a powerful drug.</t>
  </si>
  <si>
    <t xml:space="preserve">a) Kathryn Bigelow has previously won several awards.                                                                                           </t>
  </si>
  <si>
    <t xml:space="preserve">b) Kathryn Bigelow’s movies have always attracted a lot of attention during the annual awards season.                                                                                                                                                                                      </t>
  </si>
  <si>
    <t>c) Kathryn Bigelow’s earlier movies didn’t make a mark during the annual awards season</t>
  </si>
  <si>
    <t>d) Kathryn Bigelow has sound knowledge of bomb disposal techniques.</t>
  </si>
  <si>
    <t xml:space="preserve">a) public response to the war in Iraq.                                                                                                                         </t>
  </si>
  <si>
    <t xml:space="preserve">b) the predicament of the soldiers in the Iraq war.                                                                                                 </t>
  </si>
  <si>
    <t xml:space="preserve">c) her ideological views of the Iraq war.                                                                                                                 </t>
  </si>
  <si>
    <t xml:space="preserve">d) the conditions in the desert in Jordan. </t>
  </si>
  <si>
    <t>Wanted; An Eco-Prophet.(Peter Preston.)  The Guardian.  March 7 2010.                                                                                                                                                                      It is an exceptionally inconvenient truth. Only one American in three believes that human beings are responsible for climate change:  a polling result 10% down on where opinion rested the year before. Worse, the number of Americans who believe that climate change is a hoax or a scientific conspiracy- not doubting, just damned blank certain- has doubled since 2008. Add in those who assert that the changes, if any, are of “no significant concern”, and you’ve got 30% of the U.S. denying, scoffing and just walking on by.                                                                                  Are the issues clearer, the people more committed, here in Britain? Call for the latest evidence from Ipsos Mori- and find that the proportion of U.K. adults who believe that global warming is “definitely” a reality has plummeted from 44% to 31% in the last 12 months. Figures like these, on both sides of the Atlantic, are getting more skeptical week by week. The real change of electoral climate is that fewer and fewer voters pay any heed to scientists and politicians.                               It isn’t hard to collate the factors that drive disillusion. Professors with a colloquial touch writing “awful” emails; a recession so tough that it blows future shock away; a cold, cold winter the Met Office didn’t forecast; scientific angst about swine flu revealed as way over the top; dodgy figures, dodgy reporting, dodgy issues way up to UN level.                                                      These are only a few of our least favourite things. Mix them together in the stew of pre-election politics, and the result is lethal inertia. Once upon a quite recent time, David Cameron seemed bent on playing a new green giant. Now he’s just another family-friendly campaigner, keen on pressing pounds sterling into sweaty palms. Environmental issues have slithered down the greasy pole of public anxiety. They won’t get much of a mention on the hustings in May: no fresh commitments, no crucial pledges. In one sense, the heat may be rising; in another, the heat is off.                                                                                                                                                           More jaw and Gore from politicians can’t cut it. They have come to seem secondhand sources, merely parroting a frail scientific thesis. That goes, alas for journalists, too- and for pressure groups issuing lurid warnings or staging angry demos. Those of us who are convinced, who believe in the necessity of action, haven’t changed our minds. But we’re not the point. The audience that matters is out there, sleeping or drifting. And rousing it will demand something different, not more of the same.</t>
  </si>
  <si>
    <t xml:space="preserve">a) The number of Americans concerned about climate change is increasing.                                                       </t>
  </si>
  <si>
    <t xml:space="preserve">b) Americans conduct regular opinion polls on the topic of climate change.                                                     </t>
  </si>
  <si>
    <t xml:space="preserve">c) Climate change has been officially denounced as a hoax in the U.S.A.                                                         </t>
  </si>
  <si>
    <t xml:space="preserve">d) The number of Americans concerned about climate change is decreasing. </t>
  </si>
  <si>
    <t xml:space="preserve">a) Environmental concerns will be a major issue.                                                                                                   </t>
  </si>
  <si>
    <t xml:space="preserve">b) David Cameron will focus on environmental issues.                                                                                        </t>
  </si>
  <si>
    <t xml:space="preserve">c) Climate change will not feature prominently.                                                                                                   </t>
  </si>
  <si>
    <t>d) Turbulent demonstrations are expected.</t>
  </si>
  <si>
    <t xml:space="preserve">The Battle of Britain’s Libraries.(Stuart Jeffries.)  The Guardian.  March 7 2010.                                                                                                                                                               ‘It will be much more than just a library. Perhaps we should call it a palazzo of human thought,” says Mike Whitby, Birmingham city council’s leader, as he reclines in his vast office. He’s talking about the new 193- million- pound Library of Birmingham, currently under construction at Centenary Square between those other two Brummie palazzi , the Repertory Theatre and the former civic centre called Baskerville House.                                                                                                                                   Cardiff, Newcastle and Swindon already have new super-libraries, while Liverpool and Manchester’s central libraries are undergoing multimillion pound renovations.                              Whitby’s office looks out on to the existing Birmingham Central Library, an inverted modernist ziggurat built in 1973-74. This is the building Prince Charles famously described as a place where books were incinerated rather than borrowed. Unlike him, I once spent long, happy hours reading here, amazed that so many books (2.5m of them, stretching over seven floors) were at the disposal of a non-princely nobody like me. Now culture minister Margaret Hodge has given the go-ahead to flatten this Grade II-listed building; demolition will be completed over the next five years. Why must it go? “It leaks, and great big chunks of concrete keep falling from it,” says Birmingham head of libraries, Brian Gambles. He keeps a souvenir chunk in his office to prove the point. “It’s ugly and unfit for purpose and would cost too much to properly renovate.”                                                                                                                                                                    Last week I spoke to Hodge in her office near Trafalgar Square. She told me that running a successful public library in the 21st century is tough. Technological advances and higher expectations of service mean that libraries must, in her glum progressivist phrase, “move with the times to stay part of the times”. “I do care passionately about libraries,” she says, “but they have to change. The footfall is down and book issues are massively down. Only 14 of 151 local authorities have libraries that offer ebooks.” </t>
  </si>
  <si>
    <t xml:space="preserve">b) taken on loan.                                                                                                                                                          </t>
  </si>
  <si>
    <t xml:space="preserve">c) pirated.                                                                                                                                                                     </t>
  </si>
  <si>
    <t>d) plagiarized.</t>
  </si>
  <si>
    <t xml:space="preserve">a) up-market.                                                                                                                                                               </t>
  </si>
  <si>
    <t xml:space="preserve">b) state-of-the-art.                                                                                                                                                           </t>
  </si>
  <si>
    <t xml:space="preserve">c) run- down.                                                                                                                                                                   </t>
  </si>
  <si>
    <t xml:space="preserve">d) abandoned.  </t>
  </si>
  <si>
    <t xml:space="preserve">a) enjoyed spending her childhood summers on university campuses.                                                               </t>
  </si>
  <si>
    <t xml:space="preserve">b) was inspired by the university cultural life.                                                                                                         </t>
  </si>
  <si>
    <t xml:space="preserve">c) didn’t attend university.                                                                                                                                            </t>
  </si>
  <si>
    <t>d) would rather spend her money on an expensive hotel.</t>
  </si>
  <si>
    <t xml:space="preserve">a) well-heeled.                                                                                                                                                                </t>
  </si>
  <si>
    <t xml:space="preserve">b) of modest means.                                                                                                                                                   </t>
  </si>
  <si>
    <t xml:space="preserve">c) affluent.                                                                                                                                                                    </t>
  </si>
  <si>
    <t>d) moneyed.</t>
  </si>
  <si>
    <t xml:space="preserve">a) students have become lazier.                                                                                                                                          </t>
  </si>
  <si>
    <t xml:space="preserve">b) students don’t have time to study.                                                                                                                          </t>
  </si>
  <si>
    <t xml:space="preserve">c) students want instantaneous results.                                                                                                                            </t>
  </si>
  <si>
    <t>d) students no longer respect the teachers.</t>
  </si>
  <si>
    <t xml:space="preserve">a) favours the application of the old-fashioned methods of teaching.                                                                 </t>
  </si>
  <si>
    <t>b) believes that playing  computer games generally has a negative effect on young people</t>
  </si>
  <si>
    <t xml:space="preserve">c) accepts the idea that children now seem to have a shorter attention span.         </t>
  </si>
  <si>
    <t>d) would welcome some new approaches to teaching methods.</t>
  </si>
  <si>
    <t xml:space="preserve">a) of its spiritual nature.                                                                                                                                                    </t>
  </si>
  <si>
    <t xml:space="preserve">b) of its location.                                                                                                                                                          </t>
  </si>
  <si>
    <t xml:space="preserve">c) it can assimilate impact.                                                                                                                                            </t>
  </si>
  <si>
    <t xml:space="preserve">d) it was empty at the time of the quake.  </t>
  </si>
  <si>
    <t xml:space="preserve">a) a potential tourist attraction.                                                                                                                                 </t>
  </si>
  <si>
    <t xml:space="preserve">b) an asset to the city .                                                                                                                                             </t>
  </si>
  <si>
    <t xml:space="preserve">c) a potential source of development.                                                                                                                     </t>
  </si>
  <si>
    <t>d) a potential hazard.</t>
  </si>
  <si>
    <t>Musical Journey Through Ethiopia.(Scott Kara)  New Zealand Herald.  March 6 2010.                                                                                                                                                       The name Nick Page might not be as well-known as Paul Simon, Damon Albarn or Ry Cooder. But the British music producer, who was best known as one of the main players in world fusion dance band Transglobal Underground from the early 90s, has a similar intrepid spirit when it comes to discovering music from around the world.                                                                                                                                                                                                                                                                          While Simon went to South Africa to record 1986’s Graceland, and Albarn travelled to Mali, with Cooder making world-wide stars of the Cuban players of Buena Vista Social Club, Page went to Ethiopia. He was drawn to Ethiopian music after listening to Ethiopiques compilations in the late 90s and early 2000s, a music series released by Frenchman Francis Falceto.                                                                                                                                                                                                                          “I got very excited because there was something fresh about it, yet it was old but felt slightly new, and it had a Middle Eastern flavour which has a lot to do with Yemen being across the water from Ethiopia. It was exciting because it wasn’t what I had come to expect from Africa.”                                                                                                    But he admits getting to the country to experience the music first hand would never have happened without his music-making mate Dan Harper, who lived in the capital Addis Ababa. Harper urged him to pay a visit and in 2006 Page made the sojourn to Addis.                                                                                                                                                  He arrived expecting a hot and humid climate. Instead it was rainy season and, to his surprise, it was a high-altitude mountain city. “It was cold,” he laughs. In fact, all my preconceptions (about Ethiopia) were destroyed within the first 24 hours. It’s very thin air there, it’s full of diesel pollution, but it’s full of eucalyptus trees and it’s very green too.”                                         When it came time to record, Page admits he had no master plan- “I made it up as I went along”- although he did envisage the resulting music would be a mix of the “golden age” of Ethiopian music from the early 60s to early 70s, some jazz, and the 70s dub and reggae style similar to that of his favourite band The Abyssinians.                                                                                                                                                                                                           Harper and Page recruited local musicians for the project, including saxophonist Feleke Hailu, and singers Tsedenia  Gebremarkos (a pop star in Ethiopia), and Sintayehau “Mimi” Zenebe (a night club owner in Addis who is also known as the Ethiopian Edith Piaf).  Page recorded at Harper’s home studio out the back of his house. He calls these rough-and- ready sessions “urban field recordings” because the songs are riddled with many environmental and background noises.</t>
  </si>
  <si>
    <t xml:space="preserve">a) his earlier notions of it were inaccurate.                                                                                                                   </t>
  </si>
  <si>
    <t xml:space="preserve">b) it matched his expectations.                                                                                                                                  </t>
  </si>
  <si>
    <t xml:space="preserve">c) the temperature was stifling.                                                                                                                                       </t>
  </si>
  <si>
    <t>d) there was a drought.</t>
  </si>
  <si>
    <t xml:space="preserve">a) recruited completely unknown musicians.                                                                                                             </t>
  </si>
  <si>
    <t xml:space="preserve">b) ran through the music thoroughly with the musicians.                                                                                     </t>
  </si>
  <si>
    <t>d) was careful to edit out background noises.</t>
  </si>
  <si>
    <t>READING COMPREHENSION TEXTS</t>
  </si>
  <si>
    <t>Departamento de Idiomas. Escuela de Guerra | INGLÉS</t>
  </si>
  <si>
    <t>A. My Uncle Percy is married to a Welsh woman.</t>
  </si>
  <si>
    <t>A. The authorities kept the disease under control</t>
  </si>
  <si>
    <t>A. The meeting has been postponed.</t>
  </si>
  <si>
    <t>A. He is on his way, but he will arrive late</t>
  </si>
  <si>
    <t>A. This time I have to drive my car</t>
  </si>
  <si>
    <t>A. I would not have the time to do what he did</t>
  </si>
  <si>
    <t>B. There’s a lot of bureaucracy when you want to enter some countries.</t>
  </si>
  <si>
    <t>B. The boss has been called away.</t>
  </si>
  <si>
    <t>B. He has never arrived late to the office</t>
  </si>
  <si>
    <t>B. This time I need to buy a new car</t>
  </si>
  <si>
    <t>B. Pat is looking after a baby tonight</t>
  </si>
  <si>
    <t>B. It has been raining since October</t>
  </si>
  <si>
    <t>B. I would not have the strength to do what he did</t>
  </si>
  <si>
    <t xml:space="preserve">B. Paul was too overqualified </t>
  </si>
  <si>
    <t>B. The man's sister works one day a week</t>
  </si>
  <si>
    <t>B. That her post could be something else</t>
  </si>
  <si>
    <t>B. It was the strangest film he has seen</t>
  </si>
  <si>
    <t>B. If she has bought new batteries</t>
  </si>
  <si>
    <t>A. The man's sister works with chickens</t>
  </si>
  <si>
    <t>A. That she is not as young as she looks</t>
  </si>
  <si>
    <t>A. He passes the dry cleaner’s on the way to work</t>
  </si>
  <si>
    <t>A. If the radio uses batteries</t>
  </si>
  <si>
    <t>B. She should look for her copy instead of bothering him</t>
  </si>
  <si>
    <t>17. What does the man mean?</t>
  </si>
  <si>
    <t>A. Paul didn't get the job</t>
  </si>
  <si>
    <t>B. The authorities' predictions about the disease were wrong.</t>
  </si>
  <si>
    <t>B. He doubts he'll be able to do what she wants</t>
  </si>
  <si>
    <t>D. She's not sure of the answer</t>
  </si>
  <si>
    <t>B. It's not safe to travel</t>
  </si>
  <si>
    <t>A.  She can't borrow the manual until he finishes with it</t>
  </si>
  <si>
    <t>A. He doesn't normally like Hugh Grant films</t>
  </si>
  <si>
    <t>D. He forgot to take the clothes to the dry cleaner's</t>
  </si>
  <si>
    <t>32. Which of the following statements is true according to what you have heard?</t>
  </si>
  <si>
    <t>C. It's okay as long as she returns it after she's finished</t>
  </si>
  <si>
    <t>A. The Andes mountain range is 7,000 miles long</t>
  </si>
  <si>
    <t>A. The president of FIFA believes human error makes soccer exciting</t>
  </si>
  <si>
    <t>A. Current conflicts show a sense of ideology</t>
  </si>
  <si>
    <t>A. He likes to wear the traditional dress of the Cofan Indians</t>
  </si>
  <si>
    <t>A. Several assassination attempts on Ted Kennedy’s life</t>
  </si>
  <si>
    <t>B. It is unclear how much the mineral resources are worth</t>
  </si>
  <si>
    <t>B. McChrystal was fired for revealing details of war policy</t>
  </si>
  <si>
    <t>B. Gene’s description of the mine is first hand</t>
  </si>
  <si>
    <t>B. Previous liberation movements wanted to change society</t>
  </si>
  <si>
    <t>B. He helps them to acquire rainforest territory</t>
  </si>
  <si>
    <t>C. People have TV sets at work so they can see the matches</t>
  </si>
  <si>
    <t>C. Westminster sold all its old parking metres on eBay</t>
  </si>
  <si>
    <t>C. The Middle East will not be discussed this time round</t>
  </si>
  <si>
    <t>C. The head symbolizes a culture that left us no evidence in writing</t>
  </si>
  <si>
    <t>C. The Kennedys  were partial to being monitored</t>
  </si>
  <si>
    <t>D. There are no coin-operated parking meters in Westminster anymore</t>
  </si>
  <si>
    <t>D. Trucks buses and cars were set alight after the drivers had been removed</t>
  </si>
  <si>
    <t>D. FIFA is willing to adopt new technologies in football</t>
  </si>
  <si>
    <t>D. Heads were discovered in Ife at the turn of the last century</t>
  </si>
  <si>
    <t>12. What does the woman infer?</t>
  </si>
  <si>
    <t>7. What can be deduced from this conversation?</t>
  </si>
  <si>
    <t>1. Choose the correct statement</t>
  </si>
  <si>
    <t>2. Choose the correct statement</t>
  </si>
  <si>
    <t>3. Choose the correct statement</t>
  </si>
  <si>
    <t>4. Choose the correct statement</t>
  </si>
  <si>
    <t>5. Choose the correct statement</t>
  </si>
  <si>
    <t>6. Choose the correct statement</t>
  </si>
  <si>
    <t>8. Choose the correct statement</t>
  </si>
  <si>
    <t>30. Which statement is correct according to what you have heard?</t>
  </si>
  <si>
    <t>37. Which statement is true according to what you have heard?</t>
  </si>
  <si>
    <t>39. Choose the correct statement</t>
  </si>
  <si>
    <t>Tiempo global</t>
  </si>
  <si>
    <t>timeOver</t>
  </si>
  <si>
    <t>Su tiempo ha terminado. Pulse finalizar e imprima sus respuestas</t>
  </si>
  <si>
    <t>Say No To Campus Life Out of Season.(Liz Hoggard.)  The Independent. (Opinion)  March 9 2010.                                                                                                                               When news broke this weekend that Cambridge is to open its doors as a B and B establishment-to raise money- the people cheered. For the first time in Cambridge’s 800-year-history, holiday makers will be able to stay the night in Corpus Christi College, Clare; Downing, et al. Until now only conference delegates and guests of college members could book accommodation. But from Easter, it was reported, anyone will be able to sample Cambridge University life from 60 pounds a night.                                                                                                                                                                                                                                                                       Imagine waking up to ancient courts and quiet cloisters once occupied by Isaac Newton, Charles Darwin, Oliver Cromwell, William Wordsworth, Stephen Hawking and Stephen Fry, runs the romantic blurb. Are they kidding?                                                                                                                                                                                 As a teenager I spent all my summer holidays staying on university campuses. York, Exeter, Stirling, I’ve seen them all. Blame my cash-strapped French teacher parents, who jumped at the chance to stay somewhere inexpensive. Plus they argued it would be a marvelous way to experience culture from the inside.                                                                                                                      I’m sure one day they’ll make a C4 film about my family. At breakfast we’d sit around the kitchen table like a parody of University Challenge (National Health glasses, bad 1970’s haircuts) as my parents tried to raise our spirits with promises of improving day trips, theatre outings, and cheese and wine evenings with the local academics. Dream on. The only people on campus at that time of year are janitors, depressed foreign students, and  the Open University. The OU, God bless them, work incredibly hard all year long, studying on top of day jobs. So given two weeks to become a hedonistic student, they literally throw off their wedding rings, and start living it up. Very puzzling for 13-year-old girls. I think my parents hoped we were getting an education in thrift. Don’t believe it. These days I fritter money on five-star hotels with crisp linen and spas and valet parking. I never want to see a bunk bed again. Forget the Dreaming Spires. Or bed and breakfast with the dons. Send your kids to Eurodisney instead. They might just learn some French.</t>
  </si>
  <si>
    <t>EXAMEN 2/MP3/Q-40 EXAMEN 2.mp3</t>
  </si>
  <si>
    <t>EXAMEN 2/MP3/Q-39 EXAMEN 2.mp3</t>
  </si>
  <si>
    <t>EXAMEN 2/MP3/Q-38 EXAMEN 2.mp3</t>
  </si>
  <si>
    <t>EXAMEN 2/MP3/Q-37 EXAMEN 2.mp3</t>
  </si>
  <si>
    <t>EXAMEN 2/MP3/Q-36 EXAMEN 2.mp3</t>
  </si>
  <si>
    <t>EXAMEN 2/MP3/Q-35 EXAMEN 2.mp3</t>
  </si>
  <si>
    <t>EXAMEN 2/MP3/Q-34 EXAMEN 2.mp3</t>
  </si>
  <si>
    <t>EXAMEN 2/MP3/Q-33 EXAMEN 2.mp3</t>
  </si>
  <si>
    <t>EXAMEN 2/MP3/Q-32 EXAMEN 2.mp3</t>
  </si>
  <si>
    <t>EXAMEN 2/MP3/Q-31 EXAMEN 2.mp3</t>
  </si>
  <si>
    <t>EXAMEN 2/MP3/Q-10 EXAMEN 2.mp3</t>
  </si>
  <si>
    <t>EXAMEN 2/MP3/Q-11 EXAMEN 2.mp3</t>
  </si>
  <si>
    <t>EXAMEN 2/MP3/Q-12 EXAMEN 2.mp3</t>
  </si>
  <si>
    <t>EXAMEN 2/MP3/Q-13 EXAMEN 2.mp3</t>
  </si>
  <si>
    <t>EXAMEN 2/MP3/Q-14 EXAMEN 2.mp3</t>
  </si>
  <si>
    <t>EXAMEN 2/MP3/Q-15 EXAMEN 2.mp3</t>
  </si>
  <si>
    <t>EXAMEN 2/MP3/Q-16 EXAMEN 2.mp3</t>
  </si>
  <si>
    <t>EXAMEN 2/MP3/Q-17 EXAMEN 2.mp3</t>
  </si>
  <si>
    <t>EXAMEN 2/MP3/Q-18 EXAMEN 2.mp3</t>
  </si>
  <si>
    <t>EXAMEN 2/MP3/Q-19 EXAMEN 2.mp3</t>
  </si>
  <si>
    <t>EXAMEN 2/MP3/Q-20 EXAMEN 2.mp3</t>
  </si>
  <si>
    <t>EXAMEN 2/MP3/Q-21 EXAMEN 2.mp3</t>
  </si>
  <si>
    <t>EXAMEN 2/MP3/Q-22 EXAMEN 2.mp3</t>
  </si>
  <si>
    <t>EXAMEN 2/MP3/Q-23 EXAMEN 2.mp3</t>
  </si>
  <si>
    <t>EXAMEN 2/MP3/Q-24 EXAMEN 2.mp3</t>
  </si>
  <si>
    <t>EXAMEN 2/MP3/Q-25 EXAMEN 2.mp3</t>
  </si>
  <si>
    <t>EXAMEN 2/MP3/Q-26 EXAMEN 2.mp3</t>
  </si>
  <si>
    <t>EXAMEN 2/MP3/Q-27 EXAMEN 2.mp3</t>
  </si>
  <si>
    <t>EXAMEN 2/MP3/Q-28 EXAMEN 2.mp3</t>
  </si>
  <si>
    <t>EXAMEN 2/MP3/Q-29 EXAMEN 2.mp3</t>
  </si>
  <si>
    <t>EXAMEN 2/MP3/Q-30 EXAMEN 2.mp3</t>
  </si>
  <si>
    <t>EXAMEN 3/MP3/Q-17 EXAMEN 3.mp3</t>
  </si>
  <si>
    <t>EXAMEN 3/MP3/Q-16 EXAMEN 3.mp3</t>
  </si>
  <si>
    <t>EXAMEN 3/MP3/Q-15 EXAMEN 3.mp3</t>
  </si>
  <si>
    <t>EXAMEN 3/MP3/Q-14 EXAMEN 3.mp3</t>
  </si>
  <si>
    <t>EXAMEN 3/MP3/Q-13 EXAMEN 3.mp3</t>
  </si>
  <si>
    <t>EXAMEN 3/MP3/Q-12 EXAMEN 3.mp3</t>
  </si>
  <si>
    <t>EXAMEN 3/MP3/Q-11 EXAMEN 3.mp3</t>
  </si>
  <si>
    <t>EXAMEN 3/MP3/Q-10 EXAMEN 3.mp3</t>
  </si>
  <si>
    <t>EXAMEN 3/MP3/Q-18 EXAMEN 3.mp3</t>
  </si>
  <si>
    <t>EXAMEN 3/MP3/Q-19 EXAMEN 3.mp3</t>
  </si>
  <si>
    <t>EXAMEN 3/MP3/Q-20 EXAMEN 3.mp3</t>
  </si>
  <si>
    <t>EXAMEN 3/MP3/Q-21 EXAMEN 3.mp3</t>
  </si>
  <si>
    <t>EXAMEN 3/MP3/Q-22 EXAMEN 3.mp3</t>
  </si>
  <si>
    <t>EXAMEN 3/MP3/Q-23 EXAMEN 3.mp3</t>
  </si>
  <si>
    <t>EXAMEN 3/MP3/Q-24 EXAMEN 3.mp3</t>
  </si>
  <si>
    <t>EXAMEN 3/MP3/Q-25 EXAMEN 3.mp3</t>
  </si>
  <si>
    <t>EXAMEN 3/MP3/Q-26 EXAMEN 3.mp3</t>
  </si>
  <si>
    <t>EXAMEN 3/MP3/Q-27 EXAMEN 3.mp3</t>
  </si>
  <si>
    <t>EXAMEN 3/MP3/Q-28 EXAMEN 3.mp3</t>
  </si>
  <si>
    <t>EXAMEN 3/MP3/Q-29 EXAMEN 3.mp3</t>
  </si>
  <si>
    <t>EXAMEN 3/MP3/Q-30 EXAMEN 3.mp3</t>
  </si>
  <si>
    <t>EXAMEN 3/MP3/Q-31 EXAMEN 3.mp3</t>
  </si>
  <si>
    <t>EXAMEN 3/MP3/Q-32 EXAMEN 3.mp3</t>
  </si>
  <si>
    <t>EXAMEN 3/MP3/Q-33 EXAMEN 3.mp3</t>
  </si>
  <si>
    <t>EXAMEN 3/MP3/Q-34 EXAMEN 3.mp3</t>
  </si>
  <si>
    <t>EXAMEN 3/MP3/Q-35 EXAMEN 3.mp3</t>
  </si>
  <si>
    <t>EXAMEN 3/MP3/Q-36 EXAMEN 3.mp3</t>
  </si>
  <si>
    <t>EXAMEN 3/MP3/Q-37 EXAMEN 3.mp3</t>
  </si>
  <si>
    <t>EXAMEN 3/MP3/Q-38 EXAMEN 3.mp3</t>
  </si>
  <si>
    <t>EXAMEN 3/MP3/Q-39 EXAMEN 3.mp3</t>
  </si>
  <si>
    <t>EXAMEN 3/MP3/Q-40 EXAMEN 3.mp3</t>
  </si>
  <si>
    <t>a) He experiences violent dreams</t>
  </si>
  <si>
    <t>d) He had already done studies on sleep disorders</t>
  </si>
  <si>
    <t>c) Pretended to be asleep while committing a crime</t>
  </si>
  <si>
    <t>d) Been released on bail after committing a crime while sleepwalking</t>
  </si>
  <si>
    <t>a) Doesn’t understand his fellow countrymen</t>
  </si>
  <si>
    <t>d) Relates more easily to foreigners than other Bolivians</t>
  </si>
  <si>
    <t>b) Penalize Bolivians who arrive late for work</t>
  </si>
  <si>
    <t>c) Change the national habit of arriving late in many different circumstances</t>
  </si>
  <si>
    <t>d) Monitor the times that people arrive at work</t>
  </si>
  <si>
    <t>a) Dispense with all the old rules of Scrabble</t>
  </si>
  <si>
    <t>d) Create an official word list for Scrabble</t>
  </si>
  <si>
    <t>c) Scrabble will become more difficult</t>
  </si>
  <si>
    <t>d) Scrabble will attract more players</t>
  </si>
  <si>
    <t>b) Scrabble will appeal more to intellectual fans</t>
  </si>
  <si>
    <t>a) Gullible</t>
  </si>
  <si>
    <t>d) Difficult to convince</t>
  </si>
  <si>
    <t>c) Replace the mayor of Jafr</t>
  </si>
  <si>
    <t>c) Will negotiate with Toshiba in 2014</t>
  </si>
  <si>
    <t>b) Is certain that the micro-reactors will begin production in 2014</t>
  </si>
  <si>
    <t>b) A scrutiny of the current justice system</t>
  </si>
  <si>
    <t>c) The appearance of a number of similar cases</t>
  </si>
  <si>
    <t>d) Complications with a lot of red tape</t>
  </si>
  <si>
    <t>a) Dictatorships are good for artistic life because of the financial support they give to the arts</t>
  </si>
  <si>
    <t>d) Corruption and violence inspire great art</t>
  </si>
  <si>
    <t>b) The highest ideals of literature and art came from the Soviet Union</t>
  </si>
  <si>
    <t>c) Abstract expressionism arose during the cold war</t>
  </si>
  <si>
    <t>d) The work of an artist is influenced by the system in which he lives</t>
  </si>
  <si>
    <t>d) The population of Japan will increase by 41%</t>
  </si>
  <si>
    <t>d) Deportation is a “collateral” issue</t>
  </si>
  <si>
    <t>b) Dealing with legal issues can prove costly for doctors</t>
  </si>
  <si>
    <t>LABRADO GOMEZ, CARLOS</t>
  </si>
  <si>
    <t>21. Which of the statements below is true about Ms Lohan?</t>
  </si>
  <si>
    <t>22. Choose the statement which is correct according to what you have heard</t>
  </si>
  <si>
    <t>23. How is the crackdown going to affect Oldham?</t>
  </si>
  <si>
    <t>24. What can be said about Rafa Nadal?</t>
  </si>
  <si>
    <t>25. What can be said about the Pakistani cricket players?</t>
  </si>
  <si>
    <t>26. What can be said about Lord Prescott?</t>
  </si>
  <si>
    <t>27. Which statement is true according to what you have heard?</t>
  </si>
  <si>
    <t>28. What can be said about the aircraft?</t>
  </si>
  <si>
    <t>29. Which of the following statements is correct?</t>
  </si>
  <si>
    <t>30. What can be said about the Immigration Minister?</t>
  </si>
  <si>
    <t>31. Choose the correct statement according to what you have heard</t>
  </si>
  <si>
    <t>33. Which of the following statements is true?</t>
  </si>
  <si>
    <t>34. Choose the statement which is correct according to what you have heard.</t>
  </si>
  <si>
    <t>35. What can be said about Manchester Central Library?</t>
  </si>
  <si>
    <t>36. Choose the correct statement?</t>
  </si>
  <si>
    <t>37. Choose the statement which is correct according to the extract</t>
  </si>
  <si>
    <t>38. What can be said about Ingrid Betancourt?</t>
  </si>
  <si>
    <t>39. According to the conversation what can be said about obesity?</t>
  </si>
  <si>
    <t>40. Which of the statements is true according to the extract?</t>
  </si>
  <si>
    <t>A. Billy wakes up early.</t>
  </si>
  <si>
    <t>A. I find it hard to live without the Internet.</t>
  </si>
  <si>
    <t>A. Your mother wants to speak to you.</t>
  </si>
  <si>
    <t>A. He gave Mary the sandwich that made her ill.</t>
  </si>
  <si>
    <t>A. The woman is not yet in possession of the file.</t>
  </si>
  <si>
    <t>A. The current mayor is to blame for the problem.</t>
  </si>
  <si>
    <t>A. She was speechless when she heard the news.</t>
  </si>
  <si>
    <t>A. The sooner they finish the assignment the better</t>
  </si>
  <si>
    <t>A. The police left the card behind.</t>
  </si>
  <si>
    <t>A. She knew taxes were going to rise.</t>
  </si>
  <si>
    <t>A. The restaurant has moved to a new location.</t>
  </si>
  <si>
    <t>A. He believes that we are in the midst of the peak.</t>
  </si>
  <si>
    <t>A. If the other man had ever stolen anything .</t>
  </si>
  <si>
    <t>A. She spent eighty four days in prison</t>
  </si>
  <si>
    <t>A. The extract considers the little-known side of food processing</t>
  </si>
  <si>
    <t xml:space="preserve">A. Police are going to be tough on everyone in the street </t>
  </si>
  <si>
    <t xml:space="preserve">A. He won despite suffering  from his knee injury during the match </t>
  </si>
  <si>
    <t>A. They robbed an art gallery</t>
  </si>
  <si>
    <t>A. Scotland Yard bugged his telephone</t>
  </si>
  <si>
    <t>A. Hamas did not take part in the talks in Washington</t>
  </si>
  <si>
    <t>A. It is very delicate</t>
  </si>
  <si>
    <t>A. People start to drink alcohol between 16  and 24</t>
  </si>
  <si>
    <t>A. He made a speech last Monday</t>
  </si>
  <si>
    <t>A. Police have established the purity of drugs on the streets</t>
  </si>
  <si>
    <t>A. In the Imagination Playground structures are not fixed</t>
  </si>
  <si>
    <t>A. Three people were sentenced to life imprisonment</t>
  </si>
  <si>
    <t xml:space="preserve">A. The Reno Cure was only for women </t>
  </si>
  <si>
    <t>A. It will be closed for five years</t>
  </si>
  <si>
    <t>A. The miners will be rescued this weekend</t>
  </si>
  <si>
    <t>A. There is a competition organised to divide up the Artic region</t>
  </si>
  <si>
    <t xml:space="preserve">A. She previously ran for  President in Columbia </t>
  </si>
  <si>
    <t>A. One in 40 people are obese since their teens</t>
  </si>
  <si>
    <t>A. Many young people rebel against dictates on marriage</t>
  </si>
  <si>
    <t>B. I could survive without the internet.</t>
  </si>
  <si>
    <t>B. You ought to give your mother a call.</t>
  </si>
  <si>
    <t>B. Families kill couples who refuse to accept arranged marriages</t>
  </si>
  <si>
    <t>B. It is linked to low self-esteem</t>
  </si>
  <si>
    <t>B. Her memoirs are only available in NY</t>
  </si>
  <si>
    <t>B. Moscow raised a flag over the territory  assigned to it</t>
  </si>
  <si>
    <t>B. A baby was born in the mine</t>
  </si>
  <si>
    <t>B. It offers its services only to Manchester residents</t>
  </si>
  <si>
    <t>B. People stayed on the ranches to avoid their partners</t>
  </si>
  <si>
    <t>B. An old legal process meant only one person was convicted</t>
  </si>
  <si>
    <t>B. A disgruntled parent complained about playgrounds in NY City</t>
  </si>
  <si>
    <t>B. Dealers have cut the price of drugs</t>
  </si>
  <si>
    <t>B. He wants stricter entry regulations for foreign students</t>
  </si>
  <si>
    <t>B. The British Medical Association has imposed a limit on alcohol consumption</t>
  </si>
  <si>
    <t>B. It has capacity for over 2 tons of bombs</t>
  </si>
  <si>
    <t>B. Israeli and Palestinian leaders have been meeting every two years</t>
  </si>
  <si>
    <t>B. He is a former Prime Minister</t>
  </si>
  <si>
    <t>B. They are accused of being involved in fraud</t>
  </si>
  <si>
    <t>B. At one point it looked as though he was in difficulty</t>
  </si>
  <si>
    <t>B. Staying away from school will be considered a serious crime</t>
  </si>
  <si>
    <t>B. The jam was tasted before the pails were sealed</t>
  </si>
  <si>
    <t xml:space="preserve">B. She has already had problems with the law </t>
  </si>
  <si>
    <t>B. War journalists must keep their wits about them.</t>
  </si>
  <si>
    <t>B. If the other man had ever been missing.</t>
  </si>
  <si>
    <t>B. He believes that the peak has passed.</t>
  </si>
  <si>
    <t xml:space="preserve">B. The new chef is less skilled than the last. </t>
  </si>
  <si>
    <t>B. The client was leading the police astray.</t>
  </si>
  <si>
    <t>B. They must have the assignment finished as soon as possible</t>
  </si>
  <si>
    <t>B. She took the news in her stride.</t>
  </si>
  <si>
    <t>B. The mayor needs to organise some more public works.</t>
  </si>
  <si>
    <t>B. The man thinks his cooking smells bad.</t>
  </si>
  <si>
    <t>B. Allow the woman to use his phone.</t>
  </si>
  <si>
    <t>B. All that school has to offer appeals to me.</t>
  </si>
  <si>
    <t>B. He and Raymond were great friends before the row.</t>
  </si>
  <si>
    <t>C. The Internet has made life a lot more complicated</t>
  </si>
  <si>
    <t>C. He and Raymond have never been great buddies.</t>
  </si>
  <si>
    <t>C. I have a variety of interests at school.</t>
  </si>
  <si>
    <t>C. Call the woman if the phone rings.</t>
  </si>
  <si>
    <t>C. He advised Mary to eat the sandwich.</t>
  </si>
  <si>
    <t>C. The woman is using sophisticated equipment.</t>
  </si>
  <si>
    <t>C. The new major is not really at fault.</t>
  </si>
  <si>
    <t>C. They were given little time to complete the assignment</t>
  </si>
  <si>
    <t>C. Chloe could retrieve the information.</t>
  </si>
  <si>
    <t>C. The police chanced upon the card.</t>
  </si>
  <si>
    <t>C. She thought taxes were on their way down.</t>
  </si>
  <si>
    <t>C. The restaurant shut down soon after they changed chefs.</t>
  </si>
  <si>
    <t>C. He believes that the peak has yet to come.</t>
  </si>
  <si>
    <t>C. The report said bodyguards were charged with the murder of the couple</t>
  </si>
  <si>
    <t>C. It is common among high achievers</t>
  </si>
  <si>
    <t>C. She was held captive for ten years</t>
  </si>
  <si>
    <t>C. Global warming will hinder exploitation of resources</t>
  </si>
  <si>
    <t>C. Work will soon start on a third tunnel</t>
  </si>
  <si>
    <t>C. Due to renovation it now offers a wide range of facilities</t>
  </si>
  <si>
    <t>C. Establishing residency was a requisite for getting a divorce</t>
  </si>
  <si>
    <t>C. Eight people were charged with a gang murder</t>
  </si>
  <si>
    <t>C. If the other man had ever been reported</t>
  </si>
  <si>
    <t>C. There are few good alternative energy sources</t>
  </si>
  <si>
    <t>C. The woman can think of several more dangerous professions.</t>
  </si>
  <si>
    <t>C. She failed a course on in adult education</t>
  </si>
  <si>
    <t>C. Flies are part and parcel of jam making</t>
  </si>
  <si>
    <t>C. Youth workers will help sweep the streets during the crackdown</t>
  </si>
  <si>
    <t>C. The reporter predicts a bright future for him</t>
  </si>
  <si>
    <t>C. They might be expelled from the ICC</t>
  </si>
  <si>
    <t>C. He is the only person whose telephone was bugged</t>
  </si>
  <si>
    <t>C. Right-wing activists are angry because Hamas refused to go to Washington</t>
  </si>
  <si>
    <t>C. It was used to attack Germany during WW II</t>
  </si>
  <si>
    <t>C. Close on 2 million people are estimated to be serious alcohol abusers</t>
  </si>
  <si>
    <t>C. He believes all of the foreign students remain in Britain after completing their studies</t>
  </si>
  <si>
    <t>C. Consumers mix drugs with poisonous substances</t>
  </si>
  <si>
    <t>C. There have never been theories about building playing spaces for kids</t>
  </si>
  <si>
    <t xml:space="preserve">D. It is a requirement for receiving welfare </t>
  </si>
  <si>
    <t>D. She has difficulty remembering what happened to her</t>
  </si>
  <si>
    <t>D. The region is rich in natural resources</t>
  </si>
  <si>
    <t>D. Engineers have been building an escape route for a year</t>
  </si>
  <si>
    <t>D. It is going to be housed elsewhere temporarily</t>
  </si>
  <si>
    <t>D. Divorce was easily available all over the United States</t>
  </si>
  <si>
    <t>D. Three got shorter prison sentences</t>
  </si>
  <si>
    <t>D. Rockwell got an architect to design the playground</t>
  </si>
  <si>
    <t xml:space="preserve">D. The active ingredient contained in the drugs is minimal </t>
  </si>
  <si>
    <t xml:space="preserve">D. He thinks foreign students should not be given visas </t>
  </si>
  <si>
    <t>D. People in the UK are well aware of  the extent of the problem</t>
  </si>
  <si>
    <t>D. It is  in a London war museum</t>
  </si>
  <si>
    <t>D. There were attacks at the meetings in Washington</t>
  </si>
  <si>
    <t>D. He has decided to take a newspaper to court</t>
  </si>
  <si>
    <t>D. The captain is still being questioned</t>
  </si>
  <si>
    <t>D. His reaction to his win was unusual</t>
  </si>
  <si>
    <t>D. Stealing among young offenders will be targeted</t>
  </si>
  <si>
    <t>D. Filling your trolley in the store, you think of food processing</t>
  </si>
  <si>
    <t>D. She was sentenced to immediate imprisonment</t>
  </si>
  <si>
    <t>D. The man believes that danger is compensated for by prestige.</t>
  </si>
  <si>
    <t>D. We need more time to find a solution.</t>
  </si>
  <si>
    <t>D. If the other man had lost anything</t>
  </si>
  <si>
    <t>D. He believes that the peak is decades away.</t>
  </si>
  <si>
    <t>D. They go to the restaurant further down the hill.</t>
  </si>
  <si>
    <t>D. They ought to have got the assignment under way earlier</t>
  </si>
  <si>
    <t xml:space="preserve">D. She was furious when she heard the news. </t>
  </si>
  <si>
    <t>D. The major is responsible for the problem.</t>
  </si>
  <si>
    <t>D. I think school is rather boring.</t>
  </si>
  <si>
    <t>D. He and Raymond never speak to each other now.</t>
  </si>
  <si>
    <t>D. Billy is still in bed.</t>
  </si>
  <si>
    <t xml:space="preserve">1.  </t>
  </si>
  <si>
    <t xml:space="preserve">2. </t>
  </si>
  <si>
    <t xml:space="preserve">3. </t>
  </si>
  <si>
    <t xml:space="preserve">4. </t>
  </si>
  <si>
    <t xml:space="preserve">5. </t>
  </si>
  <si>
    <t xml:space="preserve">6. </t>
  </si>
  <si>
    <t xml:space="preserve">7. </t>
  </si>
  <si>
    <t xml:space="preserve">8. </t>
  </si>
  <si>
    <t xml:space="preserve">9.  </t>
  </si>
  <si>
    <t>EXAMEN 4/MP3/Q-10 EXAMEN 4.mp3</t>
  </si>
  <si>
    <t>EXAMEN 4/MP3/Q-11 EXAMEN 4.mp3</t>
  </si>
  <si>
    <t>EXAMEN 4/MP3/Q-12 EXAMEN 4.mp3</t>
  </si>
  <si>
    <t>EXAMEN 4/MP3/Q-13 EXAMEN 4.mp3</t>
  </si>
  <si>
    <t>EXAMEN 4/MP3/Q-14 EXAMEN 4.mp3</t>
  </si>
  <si>
    <t>EXAMEN 4/MP3/Q-15 EXAMEN 4.mp3</t>
  </si>
  <si>
    <t>EXAMEN 4/MP3/Q-16 EXAMEN 4.mp3</t>
  </si>
  <si>
    <t>EXAMEN 4/MP3/Q-17 EXAMEN 4.mp3</t>
  </si>
  <si>
    <t>EXAMEN 4/MP3/Q-18 EXAMEN 4.mp3</t>
  </si>
  <si>
    <t>EXAMEN 4/MP3/Q-19 EXAMEN 4.mp3</t>
  </si>
  <si>
    <t>EXAMEN 4/MP3/Q-20 EXAMEN 4.mp3</t>
  </si>
  <si>
    <t>EXAMEN 4/MP3/Q-21 EXAMEN 4.mp3</t>
  </si>
  <si>
    <t>EXAMEN 4/MP3/Q-22 EXAMEN 4.mp3</t>
  </si>
  <si>
    <t>EXAMEN 4/MP3/Q-23 EXAMEN 4.mp3</t>
  </si>
  <si>
    <t>EXAMEN 4/MP3/Q-24 EXAMEN 4.mp3</t>
  </si>
  <si>
    <t>EXAMEN 4/MP3/Q-25 EXAMEN 4.mp3</t>
  </si>
  <si>
    <t>EXAMEN 4/MP3/Q-26 EXAMEN 4.mp3</t>
  </si>
  <si>
    <t>EXAMEN 4/MP3/Q-27 EXAMEN 4.mp3</t>
  </si>
  <si>
    <t>EXAMEN 4/MP3/Q-28 EXAMEN 4.mp3</t>
  </si>
  <si>
    <t>EXAMEN 4/MP3/Q-29 EXAMEN 4.mp3</t>
  </si>
  <si>
    <t>EXAMEN 4/MP3/Q-30 EXAMEN 4.mp3</t>
  </si>
  <si>
    <t>EXAMEN 4/MP3/Q-31 EXAMEN 4.mp3</t>
  </si>
  <si>
    <t>EXAMEN 4/MP3/Q-32 EXAMEN 4.mp3</t>
  </si>
  <si>
    <t>EXAMEN 4/MP3/Q-33 EXAMEN 4.mp3</t>
  </si>
  <si>
    <t>EXAMEN 4/MP3/Q-34 EXAMEN 4.mp3</t>
  </si>
  <si>
    <t>EXAMEN 4/MP3/Q-35 EXAMEN 4.mp3</t>
  </si>
  <si>
    <t>EXAMEN 4/MP3/Q-36 EXAMEN 4.mp3</t>
  </si>
  <si>
    <t>EXAMEN 4/MP3/Q-37 EXAMEN 4.mp3</t>
  </si>
  <si>
    <t>EXAMEN 4/MP3/Q-38 EXAMEN 4.mp3</t>
  </si>
  <si>
    <t>EXAMEN 4/MP3/Q-39 EXAMEN 4.mp3</t>
  </si>
  <si>
    <t>EXAMEN 4/MP3/Q-40 EXAMEN 4.mp3</t>
  </si>
  <si>
    <t>A. He believes the problem shouldn't have become a crisis.</t>
  </si>
  <si>
    <t>B. He believes the problem needn't be a crisis.</t>
  </si>
  <si>
    <t>B. Bill hasn't got a pet.</t>
  </si>
  <si>
    <t>C. Billy doesn't want to get up.</t>
  </si>
  <si>
    <t>D. We couldn't survive without internet in the past.</t>
  </si>
  <si>
    <t>C. If I were you, I'd bring your mother.</t>
  </si>
  <si>
    <t>D. I'd have called your mother if I were you.</t>
  </si>
  <si>
    <t>A. He and Raymond can't stand each other anymore.</t>
  </si>
  <si>
    <t>A. I wasn't interested in finding the school.</t>
  </si>
  <si>
    <t>A. Receive the woman's calls for her.</t>
  </si>
  <si>
    <t>D. Divert the woman's calls.</t>
  </si>
  <si>
    <t>A. The man's culinary skills are not as bad as he thinks.</t>
  </si>
  <si>
    <t xml:space="preserve">C. The man's cooking lacks taste. </t>
  </si>
  <si>
    <t>D. The man's culinary skills are outstanding.</t>
  </si>
  <si>
    <t>B. He didn't recommend that Mary eat the sandwich.</t>
  </si>
  <si>
    <t>D. The sandwich didn't cause the stomach complaint.</t>
  </si>
  <si>
    <t>B. The file didn't take as long as expected to download.</t>
  </si>
  <si>
    <t>D. The woman hasn't started downloading the file.</t>
  </si>
  <si>
    <t>C. She couldn't stop laughing upon hearing the news.</t>
  </si>
  <si>
    <t>A. He doesn't want Chloe to fret.</t>
  </si>
  <si>
    <t>B. He wouldn't have made such a mistake.</t>
  </si>
  <si>
    <t>D. He didn't think anyone could make such a mistake.</t>
  </si>
  <si>
    <t>D. The client couldn't have left the card.</t>
  </si>
  <si>
    <t>B. Tax cuts weren't an election promise.</t>
  </si>
  <si>
    <t>D. She knew the government wouldn't keep their word.</t>
  </si>
  <si>
    <t>A. A war journalist shouldn't always depend on the skill of the unit.</t>
  </si>
  <si>
    <t>D. Marrying outside one's caste is permitted in extended families</t>
  </si>
  <si>
    <t>EXAMEN 3/MP3/Q-01 EXAMEN 3.mp3</t>
  </si>
  <si>
    <t>EXAMEN 3/MP3/Q-02 EXAMEN 3.mp3</t>
  </si>
  <si>
    <t>EXAMEN 3/MP3/Q-03 EXAMEN 3.mp3</t>
  </si>
  <si>
    <t>EXAMEN 3/MP3/Q-04 EXAMEN 3.mp3</t>
  </si>
  <si>
    <t>EXAMEN 3/MP3/Q-05 EXAMEN 3.mp3</t>
  </si>
  <si>
    <t>EXAMEN 3/MP3/Q-06 EXAMEN 3.mp3</t>
  </si>
  <si>
    <t>EXAMEN 3/MP3/Q-07 EXAMEN 3.mp3</t>
  </si>
  <si>
    <t>EXAMEN 3/MP3/Q-08 EXAMEN 3.mp3</t>
  </si>
  <si>
    <t>EXAMEN 3/MP3/Q-09 EXAMEN 3.mp3</t>
  </si>
  <si>
    <t>EXAMEN 4/MP3/Q-01 EXAMEN 4.mp3</t>
  </si>
  <si>
    <t>EXAMEN 4/MP3/Q-02 EXAMEN 4.mp3</t>
  </si>
  <si>
    <t>EXAMEN 4/MP3/Q-03 EXAMEN 4.mp3</t>
  </si>
  <si>
    <t>EXAMEN 4/MP3/Q-04 EXAMEN 4.mp3</t>
  </si>
  <si>
    <t>EXAMEN 4/MP3/Q-05 EXAMEN 4.mp3</t>
  </si>
  <si>
    <t>EXAMEN 4/MP3/Q-06 EXAMEN 4.mp3</t>
  </si>
  <si>
    <t>EXAMEN 4/MP3/Q-07 EXAMEN 4.mp3</t>
  </si>
  <si>
    <t>EXAMEN 4/MP3/Q-08 EXAMEN 4.mp3</t>
  </si>
  <si>
    <t>EXAMEN 4/MP3/Q-09 EXAMEN 4.mp3</t>
  </si>
  <si>
    <t>A. The G8 meeting was productive</t>
  </si>
  <si>
    <t>A. The field may have been very dangerous</t>
  </si>
  <si>
    <t>A. The submarine stayed in deep water</t>
  </si>
  <si>
    <t>A. Civilian contractors are all cleared to enter the base</t>
  </si>
  <si>
    <t>A. The plan was to get some exercise</t>
  </si>
  <si>
    <t>A. We’d better not overfill the gas tank</t>
  </si>
  <si>
    <t>A. The mechanic has all his work orders completed</t>
  </si>
  <si>
    <t>A. The buildings need better windows and insulation to be energy efficient</t>
  </si>
  <si>
    <t>A. There was a report of a row at the press conference</t>
  </si>
  <si>
    <t>A. IBM has shut down</t>
  </si>
  <si>
    <t>A. The woman doubts that Jimmy speaks Italian</t>
  </si>
  <si>
    <t>A. He wasn’t interested in languages at university</t>
  </si>
  <si>
    <t>A. The troops have just landed</t>
  </si>
  <si>
    <t>A. The meeting did not take place</t>
  </si>
  <si>
    <t>A. She found the question easy</t>
  </si>
  <si>
    <t>A. Things are looking up</t>
  </si>
  <si>
    <t>A. They didn’t serve her when she called in</t>
  </si>
  <si>
    <t>A. The woman is suspicious of the deal</t>
  </si>
  <si>
    <t>A. Finish off the eggs</t>
  </si>
  <si>
    <t>A. She is worried the man could embarrass himself</t>
  </si>
  <si>
    <t>A. It was reconsidered</t>
  </si>
  <si>
    <t xml:space="preserve">A. Deficiencies attributed to  MI5 </t>
  </si>
  <si>
    <t>A. The insurance companies were not answering calls</t>
  </si>
  <si>
    <t>A. Easter Island is 1,200 miles from the Isle of Wight</t>
  </si>
  <si>
    <t>A. She shot her husband</t>
  </si>
  <si>
    <t>A. The agreement has taken four years to complete</t>
  </si>
  <si>
    <t>A. The parade is held every other year</t>
  </si>
  <si>
    <t>A. Previously having religious faith</t>
  </si>
  <si>
    <t>A. Younger generations mix across ethnic lines</t>
  </si>
  <si>
    <t>A. He will go to prison</t>
  </si>
  <si>
    <t>A. He is fond of construction</t>
  </si>
  <si>
    <t>A. Holland and Sweden have benefited from the financial crisis</t>
  </si>
  <si>
    <t>A. A film called ‘One day on Earth” will be made</t>
  </si>
  <si>
    <t>A. He and his father had a difficult relationship</t>
  </si>
  <si>
    <t>A. The miners will be rescued in 33 days</t>
  </si>
  <si>
    <t>A. It takes everyone eight months to find a job</t>
  </si>
  <si>
    <t>A. John Lennon was a womaniser</t>
  </si>
  <si>
    <t>A. Conflict resolution  through negotiation</t>
  </si>
  <si>
    <t xml:space="preserve">A. David Mittle presented an estimate for business lost </t>
  </si>
  <si>
    <t>A. Give money to those who deserve it</t>
  </si>
  <si>
    <t>B. The G8 meeting advanced in technical issues</t>
  </si>
  <si>
    <t>B. Troops were ordered into the field</t>
  </si>
  <si>
    <t>B. The submarine dove deeper to escape SONAR detection</t>
  </si>
  <si>
    <t>B. Civilian contractors must get permission to enter the base</t>
  </si>
  <si>
    <t>B. We didn’t have a plan to work out</t>
  </si>
  <si>
    <t>B. We are in danger of running out of gas</t>
  </si>
  <si>
    <t>B. The mechanic can leave work early because he's finished all his work</t>
  </si>
  <si>
    <t>B. The buildings are renovated and expensive</t>
  </si>
  <si>
    <t>B. The reporters got into a fight</t>
  </si>
  <si>
    <t>B. IBM purchased a company</t>
  </si>
  <si>
    <t>B. The woman spent a long time in Italy</t>
  </si>
  <si>
    <t>B. He was more interested in learning languages at high school</t>
  </si>
  <si>
    <t>B. The troops were delayed because they missed the train</t>
  </si>
  <si>
    <t>B. The negotiations were a success</t>
  </si>
  <si>
    <t>B. She couldn’t answer the question</t>
  </si>
  <si>
    <t>B. Things are hopeless</t>
  </si>
  <si>
    <t>B. She wasn’t impressed with the food</t>
  </si>
  <si>
    <t>B. The woman doesn’t know what the deal involves</t>
  </si>
  <si>
    <t>B. Pick the eggs up off the floor</t>
  </si>
  <si>
    <t>B. She is worried that they will take advantage of the man</t>
  </si>
  <si>
    <t>B. It was rejected</t>
  </si>
  <si>
    <t>B. The number of victims in the attack</t>
  </si>
  <si>
    <t>B. The price of health plans had rocketed</t>
  </si>
  <si>
    <t>B. The Polynesians were skilled voyagers</t>
  </si>
  <si>
    <t>B. She gave $250,000 to her stepson</t>
  </si>
  <si>
    <t>B. The Barin Sea has a lot of natural resources</t>
  </si>
  <si>
    <t>B. Mostly women and children attend the parade</t>
  </si>
  <si>
    <t>B. Its weight in gold coins</t>
  </si>
  <si>
    <t>B. There are three ethnic groups in Bosnia</t>
  </si>
  <si>
    <t>B. His managers also gambled</t>
  </si>
  <si>
    <t xml:space="preserve">B. He dislikes the new appearance of Georgia’s cities </t>
  </si>
  <si>
    <t>B. There is economic security in Europe</t>
  </si>
  <si>
    <t>B. This is the first award he has ever received</t>
  </si>
  <si>
    <t>B. Rescuers must ensure the operation is safe</t>
  </si>
  <si>
    <t>B. The private sector has now started to employ people</t>
  </si>
  <si>
    <t>B. Lennon was killed before the interviews were finished</t>
  </si>
  <si>
    <t>B. Their differences will never be settled</t>
  </si>
  <si>
    <t>B. Pub landlords  are objecting to the smoking restrictions</t>
  </si>
  <si>
    <t xml:space="preserve">B. Limit the amount of money paid </t>
  </si>
  <si>
    <t>C. According to G8 sources, the summit was a success</t>
  </si>
  <si>
    <t>C. There was an explosion in the field</t>
  </si>
  <si>
    <t>C. The submarine had to go to the surface of the ocean</t>
  </si>
  <si>
    <t>C. The base has been cleared of civilian contractors</t>
  </si>
  <si>
    <t>C. It's a pity the plan failed</t>
  </si>
  <si>
    <t>C. We should feel better now that the tank is full</t>
  </si>
  <si>
    <t>C. The mechanic is overwhelmed with repair jobs</t>
  </si>
  <si>
    <t>C. The new buildings are not going to be energy efficient</t>
  </si>
  <si>
    <t>C. The press conference broke up as soon as the reporters arrived</t>
  </si>
  <si>
    <t>C. Another company now owns IBM</t>
  </si>
  <si>
    <t>C. The woman is not surprised at Jimmy’s ability to speak Italian</t>
  </si>
  <si>
    <t>C. His main interest for languages came after leaving high school</t>
  </si>
  <si>
    <t>C. The train carrying the supplies broke down</t>
  </si>
  <si>
    <t>C. The deliberations were put on hold</t>
  </si>
  <si>
    <t>C. She couldn’t understand the question</t>
  </si>
  <si>
    <t>C. Things are uncertain</t>
  </si>
  <si>
    <t>C. The food was delicious</t>
  </si>
  <si>
    <t>C. The woman would like to accept the deal</t>
  </si>
  <si>
    <t>C. Buy some eggs</t>
  </si>
  <si>
    <t>C. She is worried the man could miss an opportunity</t>
  </si>
  <si>
    <t>C. It was curbed</t>
  </si>
  <si>
    <t>C. How the families of the victims helped</t>
  </si>
  <si>
    <t>C. People were complaining about the new insurance premiums</t>
  </si>
  <si>
    <t>C. Rapa Nui was too remote to inhabit</t>
  </si>
  <si>
    <t>C. She was the person who planned the crime</t>
  </si>
  <si>
    <t>C. The Russian President trusts Norway</t>
  </si>
  <si>
    <t>C. The bomb was in the spectator area</t>
  </si>
  <si>
    <t>C. Copper coins</t>
  </si>
  <si>
    <t>C. People forced to leave have returned</t>
  </si>
  <si>
    <t>C. He owes 26,000 euro to the bank</t>
  </si>
  <si>
    <t>C. He wants builders to get used to working in winter</t>
  </si>
  <si>
    <t>C. Extreme right parties are anti-immigrant</t>
  </si>
  <si>
    <t>C. There is a restriction on what can be recorded on video</t>
  </si>
  <si>
    <t>C. Being a writer, he became quite eccentric</t>
  </si>
  <si>
    <t>C. The miners are in bad condition after 66 days</t>
  </si>
  <si>
    <t>C. The over-50s take longer than most to be re-employed</t>
  </si>
  <si>
    <t>C. Sheff interviewed the couple over a period of three months</t>
  </si>
  <si>
    <t>C. Iran must take the first step, then the US will follow</t>
  </si>
  <si>
    <t xml:space="preserve">C. The MP is fighting a losing battle in the House of Commons </t>
  </si>
  <si>
    <t>C. Increase the average family’s benefits</t>
  </si>
  <si>
    <t>D. Little progress was made at the G8 meeting</t>
  </si>
  <si>
    <t>D. There was no possibility of explosives in the field</t>
  </si>
  <si>
    <t>D. The submarine avoided the surface due to a malfunction</t>
  </si>
  <si>
    <t>D. Civilian contractors don’t need authorization to enter the base</t>
  </si>
  <si>
    <t>D. A bad plan will never work out</t>
  </si>
  <si>
    <t>D. The gas tank is completely empty so we must fill it</t>
  </si>
  <si>
    <t>D. The mechanic is using many tools</t>
  </si>
  <si>
    <t>D. The building's energy bill will be very affordable</t>
  </si>
  <si>
    <t>D. The reporters boycotted the press conference</t>
  </si>
  <si>
    <t>D. The crash was IBM's fault</t>
  </si>
  <si>
    <t>D. The woman is impressed by Jimmy’s Italian</t>
  </si>
  <si>
    <t>D. He studied at a foreign university hence his soft spot for languages</t>
  </si>
  <si>
    <t>D. The troops were hindered by a problem</t>
  </si>
  <si>
    <t>D. Both sides are aiming to negotiate</t>
  </si>
  <si>
    <t>D. She answered the question correctly</t>
  </si>
  <si>
    <t>D. Now is the time to prosper</t>
  </si>
  <si>
    <t>D. She called in advance for service</t>
  </si>
  <si>
    <t>D. The woman would like more time to think about the deal</t>
  </si>
  <si>
    <t>D. Put the eggs in the fridge</t>
  </si>
  <si>
    <t>D. She thinks the man should think twice about the position</t>
  </si>
  <si>
    <t>D. It was burnt</t>
  </si>
  <si>
    <t>D. The inquests</t>
  </si>
  <si>
    <t xml:space="preserve">D. People were enquiring about health care plans </t>
  </si>
  <si>
    <t xml:space="preserve">D. Rapa Nui is near other inhabited islands </t>
  </si>
  <si>
    <t>D. She asked her lover to collect the insurance money</t>
  </si>
  <si>
    <t>D. NATO is demanding a share of the resources</t>
  </si>
  <si>
    <t>D. The Iranian media were prevented from attending the scene</t>
  </si>
  <si>
    <t>D. Accepting the value written on the note as true</t>
  </si>
  <si>
    <t>D. It is dangerous to travel there</t>
  </si>
  <si>
    <t>D. He got  a life sentence</t>
  </si>
  <si>
    <t>D. He wants to bring growth to remote regions</t>
  </si>
  <si>
    <t>D. There is more support for immigrant parties</t>
  </si>
  <si>
    <t>D. There are too many events scheduled</t>
  </si>
  <si>
    <t>D. In Latin America, he was not accepted in the 1950s</t>
  </si>
  <si>
    <t>D. The drill did not reach the miners</t>
  </si>
  <si>
    <t>D. David Sheff recorded conversations with the couple</t>
  </si>
  <si>
    <t>D. The international community is about to give up</t>
  </si>
  <si>
    <t>D. Pub landlords have no rights</t>
  </si>
  <si>
    <t>D. Cater to large families only</t>
  </si>
  <si>
    <t>It is hard, if not impossible, to think of another pop-manager-entrepreneur whose passing would leave as much of a void as Malcolm Mclaren’s. Most music management people are first and foremost hard-headed types with their eye always fixed upon the bottom line, and whose interest in their charges is in strict relation to their own percentage interest in the product.                      Mclaren, however, was never   solely interested in money. Indeed, it’s difficult to think of a single business in which he was involved which seemed like a good earner until he got involved. Try persuading your bank manager that bondage trousers and torn T –shirts can make money as haute couture, then imagine how much more difficult it must have been for Mclaren setting up the SEX shop with his then-partner Vivienne Westwood in the mid-seventies. By that time, he had already made his first foray into music management with The New York Dolls, the American glam-rock group whose already marginal appeal he compounded by outfitting them in red leather and having them play under a hammer-and –sickle logo.                                                                                                                                                             This strategy, of piling provocation upon provocation in the hope of fostering outrage, finally secured McLaren his seminal triumph when he created The Sex Pistols, a deliberately incompetent group wearing deliberately ugly clothes and singing deliberately offensive songs. As their records attest, they didn’t remain incompetent all that long, and while it’s arguable whether they would have been quite as sensational without a frontman as charismatic and gifted as John Lydon, it was McLaren’s canny ability to transform disaster into profit-“Cash From Chaos”, as his motto put it-which swiftly built the band into the great folk devil of their era. Timed to coincide with the Queen’s Silver Jubilee, their second single “God Save The Queen” sought to poison the festivities with its humiliating refrain of “No future!” To promote the record, McLaren organized a boat trip on the River Thames so the band could play outside the Houses of Parliament; during the ensuing police raid, he made sure he was arrested. Throughout the band’s brief life, and subsequently, McLaren employed tactics learnt during his time at various art colleges in the Sixties, when he became fascinated by the provocative sloganeering and political art events of the Situationist movement. Like them, he constantly tried to challenge conformity and confound the expectations which might pin him down, both as an artist and entrepreneur</t>
  </si>
  <si>
    <t>Targeting Israeli businesses via the threat of boycotts is usually the preserve of radical forces from abroad, but the latest sanctions storm to hit the country is very much an internal affair. Tzomet Sefarim, one of the nation’s largest booksellers, this week bowed to intense pressure from rightwing critics to stop selling The National Left, a political pamphlet which heavily criticizes the settler movement.                                                                                                                      According to a Tzomet Sefarim spokesman, the extraordinary decision to withdraw the book was taken despite the company being a “chain for all the people of Israel and having no political affiliation.” Instead, the company acted “because we received many complaints that the book hurts the feelings of some of our customers, so we decided to stop selling it.”                           That the authors are bitterly opposed to the settlement enterprise is indisputable: settlers are referred to as “messianic madmen” and their children branded “brainwashed zombies”; elsewhere, the settler movement is accused of being “an industry that produces nothing but apartheid and destroys the Israel that we knew and loved.”However, such language is far from unusual in the political cauldron that is modern-day Israel, and given the scathing abuse routinely levelled at the Israeli left by settler leaders, the campaign to ban the pamphlet  appears a hugely hypocritical endeavour.                                                                                                         In response to the chain’s decision, a raft of Israeli academics have called for a boycott of the company, describing Tzomet Sefarim’s behavior as a “serious threat to the foundations of Israeli democracy.” The protesters “urge anyone who holds democracy dear to go out and condemn the Tzomet Sefarim chain, and to apply pressure on it to return the book to its shelves. In addition, the chain’s management should be demanded to apologise and commit that it will not remove books from its shelves due to ideological political pressure in the future.”                                                                                                                                                             Shulamit  Aloni, the former  chairman of the leftwing Meretz party, says the incident proves that Israel has become an anti-democratic state where settlers wield undue influence at every level of society and government: “Tzomet Sefarim succumbed  to the pressure because everyone is afraid of the settlers. They are savages, racists and hate all those who do not support them.”</t>
  </si>
  <si>
    <t>In what is becoming the hippest environment meeting of the year, presidents, politicians, intellectuals, scientists and Hollywood stars will join more than 15,000 indigenous people and thousands of grass roots groups from more than 100 countries to debate climate change in one of the world’s poorest nations.                                                                                                                    The World people’s Conference on Climate Change and the Rights of Mother Earth which opens next week in the small Bolivian town of Cochabamba, will have no direct bearing on the UN climate talks being conducted by 192 governments. But Bolivian President Evo Morales says it will give a voice to the poorest people of the world and encourage governments to be far more ambitious following the failure of the Copenhagen summit.                                                       Morales will use the meeting to announce the world’s largest referendum, with up to 2 billion people being asked to vote on ways out of the climate crisis. Bolivia also wants to create a UN charter of rights and to draft an action plan to set up an international climate justice tribunal. “The only way to get climate negotiations back on track not just for Bolivia or other countries, but for all of life, biodiversity, our Mother Earth is to put civil society back into the process. The only thing that can save mankind from a climate tragedy is the exercise of global democracy,” said Bolivia’s United Nations Ambassador Pablo Solon in Bonn, at the end of the latest UN talks.                                                                                                                                                                       “There will be no secret discussions behind closed doors. The debate and the proposals will be led by communities on the frontlines of climate change and by organizations and individuals from civil society dedicated to tackling the climate crisis,” he said.                                                               More than 90 governments are sending delegations to Cochabamba, Bolivia’s third largest city. Also expected to attend are scientists such as James Hansen, James Cameron, the director of Avatar, the linguist Noam Chomsky, author Naomi Klein of Canada, anti-globalisation activist Josè Bovè of France and actors Danny Glover, Robert Redford and Susan Sarandon are expected.                                                                                                                                                          The meeting will coincide with celebrations of the Cochabamba “water war” of 2000 when a revolt against the privatization of water in the city acted as an inspiration for social movements across Latin America and indirectly to the election of Morales as Bolivia’s president.                                                                                                                                                                    “We hope that this unique format will help shift power back to the people, which is where it needs to be on this critical issue for all humanity. We don’t expect agreement on everything, but at least we can start to discuss openly and sincerely in a way that didn’t happen in Copenhagen,” said Solòn</t>
  </si>
  <si>
    <t>1. Malcolm Mclaren differed from most music managers in that;</t>
  </si>
  <si>
    <t>3. The thief responsible for stealing the letters is said to be</t>
  </si>
  <si>
    <t>7. The writer upholds the view that</t>
  </si>
  <si>
    <t>9. The film “Murder on Beacon Hill”</t>
  </si>
  <si>
    <t>11. The writer draws our attention to the fact that</t>
  </si>
  <si>
    <t>13. According to the article, the World people’s Conference on Climate Change is expected to</t>
  </si>
  <si>
    <t>15. The report from the New Economics Foundation argues that</t>
  </si>
  <si>
    <t>17. One of the reasons put forward in the article for the linking of progress with consumption is that</t>
  </si>
  <si>
    <t>19. According to the article, General Petraeus is mindful of the connection between</t>
  </si>
  <si>
    <t xml:space="preserve">2. Throughout his career, Mclaren sought to; </t>
  </si>
  <si>
    <t>4. According to the article, Madagascar’s leader, Andry Rajoelina</t>
  </si>
  <si>
    <t>8. The woeful aspect of Zimbabwe’s education system that the writer points to is</t>
  </si>
  <si>
    <t>12. In summary, the writer makes the point that</t>
  </si>
  <si>
    <t>14. Bolivia’s United Nations Ambassador Pablo Solòn expresses that</t>
  </si>
  <si>
    <t>16. The idea of ‘decoupling’ suggests that</t>
  </si>
  <si>
    <t>18. One of the features of the ‘steady state economy’ would be</t>
  </si>
  <si>
    <t>20. For the most part, Petraeus and members of Congress appear to</t>
  </si>
  <si>
    <t>a) He was concerned only with the revenue</t>
  </si>
  <si>
    <t>a) Afraid of heights</t>
  </si>
  <si>
    <t>a) The achievements of Zimbabwe have been completely overwhelmed by inflation and unemployment</t>
  </si>
  <si>
    <t>a) Was originally intended to be shown in cinemas</t>
  </si>
  <si>
    <t>a) There is a discrepancy between what is officially said and what is officially done regarding cycling</t>
  </si>
  <si>
    <t>a) Be a failure</t>
  </si>
  <si>
    <t>a) We need to find an alternative to consumption as we know it</t>
  </si>
  <si>
    <t>a) It is difficult to control consumption</t>
  </si>
  <si>
    <t>a) U. S political influences and successful military outcomes</t>
  </si>
  <si>
    <t>a) Live up to the expectations of the public</t>
  </si>
  <si>
    <t>a) Owned a nightclub</t>
  </si>
  <si>
    <t>a) That it is free</t>
  </si>
  <si>
    <t>a) In European cities, cultural heritage has played an important role as to whether or not cycling has become a popular form of transport</t>
  </si>
  <si>
    <t>a) The conference will consist of lengthy discussions</t>
  </si>
  <si>
    <t>a) We need to reduce economic growth in order to reduce the negative side effects such as pollution</t>
  </si>
  <si>
    <t>a) More free time</t>
  </si>
  <si>
    <t>a) Have a strained relationship</t>
  </si>
  <si>
    <t>b) Most of his business ventures failed</t>
  </si>
  <si>
    <t>b) An opportunist</t>
  </si>
  <si>
    <t>b) The achievements of Zimbabwe are worthy of note</t>
  </si>
  <si>
    <t>b) Attitudes to cycling will influence the next election</t>
  </si>
  <si>
    <t>b) Influence the UN climate talks</t>
  </si>
  <si>
    <t>b) We must maintain our levels of consumption if we are to thrive</t>
  </si>
  <si>
    <t>b) Consumption habits are changing</t>
  </si>
  <si>
    <t>b) U.S. foreign policy and successful military outcomes</t>
  </si>
  <si>
    <t>b) Join a political movement</t>
  </si>
  <si>
    <t>b) That it is necessary to study in the evenings</t>
  </si>
  <si>
    <t>b) A British politician has advocated that pro-cycling measures be taken in England</t>
  </si>
  <si>
    <t>b) Ordinary people must be able to influence issues regarding climate change</t>
  </si>
  <si>
    <t>b) It is possible to deal more adeptly with the negative side effects of economic growth</t>
  </si>
  <si>
    <t>b) More job responsibility</t>
  </si>
  <si>
    <t>b) Be on good terms</t>
  </si>
  <si>
    <t>c) Avoid categorization</t>
  </si>
  <si>
    <t>c) Has eliminated corruption from Madagascar’s political arena</t>
  </si>
  <si>
    <t>c) That Zimbabwe is not reaping the rewards of an educated populace</t>
  </si>
  <si>
    <t>c) Cycling is now popular in the European cities in which steps have been taken to encourage it</t>
  </si>
  <si>
    <t>c) No agreements are expected to be reached</t>
  </si>
  <si>
    <t>c) It is not possible to deal with the negative side effects of economic growth</t>
  </si>
  <si>
    <t>c) Increased financial capital</t>
  </si>
  <si>
    <t>c) Misunderstand each other</t>
  </si>
  <si>
    <t>c) He was very conservative</t>
  </si>
  <si>
    <t>c) Looking for charcoal cooking stoves</t>
  </si>
  <si>
    <t>c) Mugabe’s rule has proved that Africans cannot rule themselves</t>
  </si>
  <si>
    <t>c) Involves the viewer</t>
  </si>
  <si>
    <t>c) An increasing number of cycling lanes are being put to use</t>
  </si>
  <si>
    <t>c) Be an ambitious undertaking</t>
  </si>
  <si>
    <t>c) Consumption is necessary in order to perpetuate growth</t>
  </si>
  <si>
    <t>c) Consumption is generally decreasing</t>
  </si>
  <si>
    <t>c) Political activity by residents in the area of operations and successful military outcomes</t>
  </si>
  <si>
    <t>d) We must resign ourselves to the idea of growth</t>
  </si>
  <si>
    <t>d) We can keep track of consumption</t>
  </si>
  <si>
    <t>d) Understanding the Congress and successful military outcomes</t>
  </si>
  <si>
    <t>d) Perform in the Houses of Parliament</t>
  </si>
  <si>
    <t>d) Faces disunity</t>
  </si>
  <si>
    <t>d) That Zimbabweans were encouraged to use education as an escape from poverty</t>
  </si>
  <si>
    <t>d) Cycling has become universally popular in some European cities by chance</t>
  </si>
  <si>
    <t>d) World leaders need make firm decisions regarding climate change</t>
  </si>
  <si>
    <t>d) Resistance to economic growth will increase in the future</t>
  </si>
  <si>
    <t>d) More material luxuries</t>
  </si>
  <si>
    <t>d) Take advantage of each other</t>
  </si>
  <si>
    <t>d) Cycling and walking are correctly referred to together as “green” methods of transport</t>
  </si>
  <si>
    <t>d) Enable the impoverished to be heard</t>
  </si>
  <si>
    <t>d) He was concerned with more than just the remuneration</t>
  </si>
  <si>
    <t>d) An established entreprenuer</t>
  </si>
  <si>
    <t>d) The achievements of Zimbabwe are inconsequential</t>
  </si>
  <si>
    <t>11. What can be inferred from this conversation?</t>
  </si>
  <si>
    <t xml:space="preserve">12. What does the man mean? </t>
  </si>
  <si>
    <t xml:space="preserve">13. What does the woman mean? </t>
  </si>
  <si>
    <t xml:space="preserve">14. What does the woman mean? </t>
  </si>
  <si>
    <t>15. What does the woman mean?</t>
  </si>
  <si>
    <t xml:space="preserve">16. What does the woman mean? </t>
  </si>
  <si>
    <t xml:space="preserve">17. What does the woman mean? </t>
  </si>
  <si>
    <t xml:space="preserve">18. What did the woman mean? </t>
  </si>
  <si>
    <t xml:space="preserve">19. What will the man probably do? </t>
  </si>
  <si>
    <t>20. What does the woman mean?</t>
  </si>
  <si>
    <t>21. What happened to president Obama’s offer to Iran?</t>
  </si>
  <si>
    <t>22. What will be investigated?</t>
  </si>
  <si>
    <t>23. What caused the phone lines to be so busy?</t>
  </si>
  <si>
    <t>24. Which of the statements below is true according to what you have heard?</t>
  </si>
  <si>
    <t>25. What can be said about Teresa Lewis?</t>
  </si>
  <si>
    <t>26. Which of the following statements is correct?</t>
  </si>
  <si>
    <t>28. What does paper money depend on?</t>
  </si>
  <si>
    <t>29. What can be said about Bosnia?</t>
  </si>
  <si>
    <t>30. What can be said about Jerome Kerviel?</t>
  </si>
  <si>
    <t>31. What can be said about President Saakashvili?</t>
  </si>
  <si>
    <t>32. Which statement is correct according to the extract?</t>
  </si>
  <si>
    <t>33. Which statement is correct according to the extract?</t>
  </si>
  <si>
    <t>34. Which statement is true about Mario Vargas Llosa?</t>
  </si>
  <si>
    <t>35. Which statement is correct according to what you have heard?</t>
  </si>
  <si>
    <t>36. Choose the correct statement</t>
  </si>
  <si>
    <t>38. What did President Obama stress?</t>
  </si>
  <si>
    <t>40. What does the Government want to do?</t>
  </si>
  <si>
    <t>EXAMEN 5</t>
  </si>
  <si>
    <t>EXAMEN 5/MP3/Q-01 EXAMEN 5.mp3</t>
  </si>
  <si>
    <t>EXAMEN 5/MP3/Q-02 EXAMEN 5.mp3</t>
  </si>
  <si>
    <t>EXAMEN 5/MP3/Q-03 EXAMEN 5.mp3</t>
  </si>
  <si>
    <t>EXAMEN 5/MP3/Q-04 EXAMEN 5.mp3</t>
  </si>
  <si>
    <t>EXAMEN 5/MP3/Q-05 EXAMEN 5.mp3</t>
  </si>
  <si>
    <t>EXAMEN 5/MP3/Q-06 EXAMEN 5.mp3</t>
  </si>
  <si>
    <t>EXAMEN 5/MP3/Q-07 EXAMEN 5.mp3</t>
  </si>
  <si>
    <t>EXAMEN 5/MP3/Q-08 EXAMEN 5.mp3</t>
  </si>
  <si>
    <t>EXAMEN 5/MP3/Q-09 EXAMEN 5.mp3</t>
  </si>
  <si>
    <t>EXAMEN 5/MP3/Q-10 EXAMEN 5.mp3</t>
  </si>
  <si>
    <t>EXAMEN 5/MP3/Q-11 EXAMEN 5.mp3</t>
  </si>
  <si>
    <t>EXAMEN 5/MP3/Q-12 EXAMEN 5.mp3</t>
  </si>
  <si>
    <t>EXAMEN 5/MP3/Q-13 EXAMEN 5.mp3</t>
  </si>
  <si>
    <t>EXAMEN 5/MP3/Q-14 EXAMEN 5.mp3</t>
  </si>
  <si>
    <t>EXAMEN 5/MP3/Q-15 EXAMEN 5.mp3</t>
  </si>
  <si>
    <t>EXAMEN 5/MP3/Q-16 EXAMEN 5.mp3</t>
  </si>
  <si>
    <t>EXAMEN 5/MP3/Q-17 EXAMEN 5.mp3</t>
  </si>
  <si>
    <t>EXAMEN 5/MP3/Q-18 EXAMEN 5.mp3</t>
  </si>
  <si>
    <t>EXAMEN 5/MP3/Q-19 EXAMEN 5.mp3</t>
  </si>
  <si>
    <t>EXAMEN 5/MP3/Q-20 EXAMEN 5.mp3</t>
  </si>
  <si>
    <t>EXAMEN 5/MP3/Q-21 EXAMEN 5.mp3</t>
  </si>
  <si>
    <t>EXAMEN 5/MP3/Q-22 EXAMEN 5.mp3</t>
  </si>
  <si>
    <t>EXAMEN 5/MP3/Q-24 EXAMEN 5.mp3</t>
  </si>
  <si>
    <t>EXAMEN 5/MP3/Q-25 EXAMEN 5.mp3</t>
  </si>
  <si>
    <t>EXAMEN 5/MP3/Q-26 EXAMEN 5.mp3</t>
  </si>
  <si>
    <t>EXAMEN 5/MP3/Q-27 EXAMEN 5.mp3</t>
  </si>
  <si>
    <t>EXAMEN 5/MP3/Q-28 EXAMEN 5.mp3</t>
  </si>
  <si>
    <t>EXAMEN 5/MP3/Q-29 EXAMEN 5.mp3</t>
  </si>
  <si>
    <t>EXAMEN 5/MP3/Q-30 EXAMEN 5.mp3</t>
  </si>
  <si>
    <t>EXAMEN 5/MP3/Q-31 EXAMEN 5.mp3</t>
  </si>
  <si>
    <t>EXAMEN 5/MP3/Q-32 EXAMEN 5.mp3</t>
  </si>
  <si>
    <t>EXAMEN 5/MP3/Q-33 EXAMEN 5.mp3</t>
  </si>
  <si>
    <t>EXAMEN 5/MP3/Q-34 EXAMEN 5.mp3</t>
  </si>
  <si>
    <t>EXAMEN 5/MP3/Q-35 EXAMEN 5.mp3</t>
  </si>
  <si>
    <t>EXAMEN 5/MP3/Q-36 EXAMEN 5.mp3</t>
  </si>
  <si>
    <t>EXAMEN 5/MP3/Q-37 EXAMEN 5.mp3</t>
  </si>
  <si>
    <t>EXAMEN 5/MP3/Q-38 EXAMEN 5.mp3</t>
  </si>
  <si>
    <t>EXAMEN 5/MP3/Q-39 EXAMEN 5.mp3</t>
  </si>
  <si>
    <t>EXAMEN 5/MP3/Q-40 EXAMEN 5.mp3</t>
  </si>
  <si>
    <t>7. What is the woman asking?</t>
  </si>
  <si>
    <t>8. What does the woman mean?</t>
  </si>
  <si>
    <t>9. What does the man need to show the woman in order to exchange the oven?</t>
  </si>
  <si>
    <t>12. What will the woman probably do?</t>
  </si>
  <si>
    <t xml:space="preserve">14. What does the man mean? </t>
  </si>
  <si>
    <t>16. What does the woman mean?</t>
  </si>
  <si>
    <t>17. What does the woman mean?</t>
  </si>
  <si>
    <t xml:space="preserve">18. What can be inferred from the conversation? </t>
  </si>
  <si>
    <t>19. What has happened?</t>
  </si>
  <si>
    <r>
      <t>D. Finding</t>
    </r>
    <r>
      <rPr>
        <sz val="11"/>
        <color rgb="FF333333"/>
        <rFont val="Calibri"/>
        <family val="2"/>
        <scheme val="minor"/>
      </rPr>
      <t xml:space="preserve"> a job is easier now that the recession is over</t>
    </r>
  </si>
  <si>
    <t xml:space="preserve">A. Alan needs to buy tickets for the match. </t>
  </si>
  <si>
    <t xml:space="preserve">A. I have a Master's degree in Chinese cooking. </t>
  </si>
  <si>
    <t xml:space="preserve">A. The intelligence unit has not made progress lately. </t>
  </si>
  <si>
    <t xml:space="preserve">A. Gold is very expensive now. </t>
  </si>
  <si>
    <t>A. It’s not easy to meet people these days.</t>
  </si>
  <si>
    <t>A. We noticed that some of the classes were cancelled.</t>
  </si>
  <si>
    <t>A. How high are your goals for the people at the bay?</t>
  </si>
  <si>
    <t>A. The administration may not be telling the complete truth.</t>
  </si>
  <si>
    <t>A. Proof of purchase.</t>
  </si>
  <si>
    <t>A. He will not be spending the summer in Greece.</t>
  </si>
  <si>
    <t>A. She is from the same town as him.</t>
  </si>
  <si>
    <t>A. Call a technician.</t>
  </si>
  <si>
    <t xml:space="preserve">A. They are going to put the tent up together.                                                                              </t>
  </si>
  <si>
    <t xml:space="preserve">A. The father has a higher rank than his son.                                                                       </t>
  </si>
  <si>
    <t>A. The equipment was probably very expensive.</t>
  </si>
  <si>
    <t>A. Jack’s new job is a joke.</t>
  </si>
  <si>
    <t>A. She is losing too much weight.</t>
  </si>
  <si>
    <t>A. Tom made a mess of the speech.</t>
  </si>
  <si>
    <t xml:space="preserve">A. Both speakers have passed the test. </t>
  </si>
  <si>
    <t>B. Alan doesn ’ t want to take you to the match.</t>
  </si>
  <si>
    <t xml:space="preserve">B. I demonstrated Chinese cooking to students for five years. </t>
  </si>
  <si>
    <t xml:space="preserve">B. The intelligence unit is looking for allies. </t>
  </si>
  <si>
    <t xml:space="preserve">B. Gold is used in many rocket components. </t>
  </si>
  <si>
    <t>B. Rising inflation has frozen many people’s salaries.</t>
  </si>
  <si>
    <t xml:space="preserve">B. All classes must be paid whether you attend or not. </t>
  </si>
  <si>
    <t>B. How can you get people to do what you say?</t>
  </si>
  <si>
    <t>B. Some people are being accused of tax evasion.</t>
  </si>
  <si>
    <t>B. The guarantee.</t>
  </si>
  <si>
    <t>B. The weather is always fair in Greece.</t>
  </si>
  <si>
    <t>B. She goes home with him in his car.</t>
  </si>
  <si>
    <t>B. Turn up the brightness.</t>
  </si>
  <si>
    <t xml:space="preserve">B. They are going to create a tent.                                                                                      </t>
  </si>
  <si>
    <t xml:space="preserve">B. The son is more successful than his father.                                                                 </t>
  </si>
  <si>
    <t>B. Dan was very lucky to have such good skis.</t>
  </si>
  <si>
    <t>B. Jack isn’t making a lot of money in his new job.</t>
  </si>
  <si>
    <t>B. The economy doesn’t effect her.</t>
  </si>
  <si>
    <t>B. Tom made a terrific speech.</t>
  </si>
  <si>
    <t>B. The man believes he has failed the test.</t>
  </si>
  <si>
    <t>C. Alan often forgets things.</t>
  </si>
  <si>
    <t xml:space="preserve">C. I can't cook Chinese food very well. </t>
  </si>
  <si>
    <t xml:space="preserve">C. The intelligence unit has found some terrorists. </t>
  </si>
  <si>
    <t xml:space="preserve">C. Gold is very cheap now. </t>
  </si>
  <si>
    <t>C. People cannot afford to buy meat.</t>
  </si>
  <si>
    <t>C. If you cancel class in time, you will not have to pay.</t>
  </si>
  <si>
    <t>C. How are you planning to dispose of waste?</t>
  </si>
  <si>
    <t>C. The government is trying to prevent harassment.</t>
  </si>
  <si>
    <t>C. The original box.</t>
  </si>
  <si>
    <t xml:space="preserve">C. He has to work this summer. </t>
  </si>
  <si>
    <t>C. She has known him for a long time.</t>
  </si>
  <si>
    <t xml:space="preserve">C. Turn down the brightness. </t>
  </si>
  <si>
    <t xml:space="preserve">C. They are going to shift the tent.                                                                                           </t>
  </si>
  <si>
    <t xml:space="preserve">C. The father and son have followed a similar path.                                                                    </t>
  </si>
  <si>
    <t>C. Dan can afford to ski in Switzerland.</t>
  </si>
  <si>
    <t>C. Jack will receive a promotion at the end of the month.</t>
  </si>
  <si>
    <t>C. She has spent far too much money.</t>
  </si>
  <si>
    <t>C. Tom’s speech was well-received.</t>
  </si>
  <si>
    <t>C. The woman believes she has failed the test.</t>
  </si>
  <si>
    <t>D. You should not go with Alan to the match.</t>
  </si>
  <si>
    <t>D. I can cook great Chinese food.</t>
  </si>
  <si>
    <t>D. The intelligence unit will discover a cell soon.</t>
  </si>
  <si>
    <t>D. Gold is necessary for space engineering.</t>
  </si>
  <si>
    <t xml:space="preserve">D. It’s becoming harder for people to get by on their salary. </t>
  </si>
  <si>
    <t xml:space="preserve">D. Someone was overcharged for the classes.  </t>
  </si>
  <si>
    <t xml:space="preserve">D. What are you offering the people who work for you? </t>
  </si>
  <si>
    <t>D. The governing powers are seeking more information.</t>
  </si>
  <si>
    <t>D. The name of the person who sold it to him.</t>
  </si>
  <si>
    <t>D. He is working on a plan to spend the summer in Greece.</t>
  </si>
  <si>
    <t xml:space="preserve">D. She has some information for him. </t>
  </si>
  <si>
    <t xml:space="preserve">D. Turn off the computer. </t>
  </si>
  <si>
    <t>D. They can’t stay there for the night.</t>
  </si>
  <si>
    <t>D. The father and his son are different.</t>
  </si>
  <si>
    <t>D. Swiss skis are the best.</t>
  </si>
  <si>
    <t>D. Jack’s new job is a dream come true.</t>
  </si>
  <si>
    <t xml:space="preserve">D. She needs to be careful about spending money.  </t>
  </si>
  <si>
    <t>D. Tom’s speech had no beginning or end.</t>
  </si>
  <si>
    <t>D. The test was extremely difficult.</t>
  </si>
  <si>
    <t>D. The company are not planning to replace the project manager when she leaves</t>
  </si>
  <si>
    <t>D. Voters are undecided about the issues in the election</t>
  </si>
  <si>
    <t>D. The expedition is similar to several others heading for Gaza</t>
  </si>
  <si>
    <t xml:space="preserve">D. There is a shortage of trainers among army personnel </t>
  </si>
  <si>
    <t>D. Obama’s variety of measures</t>
  </si>
  <si>
    <t>D. They would like to convince others to make billions</t>
  </si>
  <si>
    <t>D. Citizens are worried about gun control</t>
  </si>
  <si>
    <t>D. There are only three banks operating in Afghanistan</t>
  </si>
  <si>
    <t>D. The speaker remembers the singer clearly  in the sixties</t>
  </si>
  <si>
    <t>D. The system is fairer in times of recession</t>
  </si>
  <si>
    <t xml:space="preserve">D. They  charge reasonable amounts for their services </t>
  </si>
  <si>
    <t xml:space="preserve">D. The UN wants  the referendum to take place as soon as possible   </t>
  </si>
  <si>
    <t>D. Obama is tense because of other problems he has</t>
  </si>
  <si>
    <t>D. A French worker was killed</t>
  </si>
  <si>
    <t>D. Give out food stamps if people lose weight</t>
  </si>
  <si>
    <t>C. The project manager had a hard time fulfilling her responsibilities</t>
  </si>
  <si>
    <t>C. Politicians should act quickly</t>
  </si>
  <si>
    <t>C. There was a fire drill in the Eiffel Tower</t>
  </si>
  <si>
    <t>C. The Israeli authorities will not object to it docking in Gaza</t>
  </si>
  <si>
    <t>C. The exit strategy has failed</t>
  </si>
  <si>
    <t>C. Positive results from car companies</t>
  </si>
  <si>
    <t xml:space="preserve">C. Combination therapy is still not available to all </t>
  </si>
  <si>
    <t>C. They have no social conscience</t>
  </si>
  <si>
    <t>C. The crash occurred in New Zealand</t>
  </si>
  <si>
    <t>C. People feel the outlook for their children is grim</t>
  </si>
  <si>
    <t>C. People distrust face-to-face contact with banks</t>
  </si>
  <si>
    <t>C. Students will be partially subsidized by the government</t>
  </si>
  <si>
    <t>C. Most of them started in the undertaking business</t>
  </si>
  <si>
    <t>C. The referendum will avoid the division of the country</t>
  </si>
  <si>
    <t>C. The US killed three Pakistani soldiers</t>
  </si>
  <si>
    <t>C. British diplomats are attacked every six months</t>
  </si>
  <si>
    <t>C. Make people consume fewer sugary drinks</t>
  </si>
  <si>
    <t>C. The War on Terror did not reach Europe</t>
  </si>
  <si>
    <t>B. The next project manager will have difficulty in maintaining the same standards</t>
  </si>
  <si>
    <t>B.  The property market is improving</t>
  </si>
  <si>
    <t>B. French authorities fear a terrorist attack</t>
  </si>
  <si>
    <t>B. It is carrying people who object to the Israeli blockade</t>
  </si>
  <si>
    <t>B. The handover to Afghan troops will take place very soon</t>
  </si>
  <si>
    <t>B. How much was paid in bail-outs</t>
  </si>
  <si>
    <t>B. Combination therapy cures HIV patients</t>
  </si>
  <si>
    <t>B. They want to meet their counterpart in China</t>
  </si>
  <si>
    <t>B. The pilots are accused of manslaughter</t>
  </si>
  <si>
    <t>B. In 1994 presidents were more popular than now</t>
  </si>
  <si>
    <t>B. People have no confidence in the banking system</t>
  </si>
  <si>
    <t>B. They will be forced to increase tuition fees</t>
  </si>
  <si>
    <t>B. Their sector has been reformed by the office of fair trading</t>
  </si>
  <si>
    <t>B. Sudan has suffered about ten years of civil war</t>
  </si>
  <si>
    <t>B. The Taliban wish to be reconciled with Pakistan</t>
  </si>
  <si>
    <t>B. A diplomat was seriously injured</t>
  </si>
  <si>
    <t>B. Prevent people from using food stamps to buy drinks</t>
  </si>
  <si>
    <t>B. Poland practiced torture immediately before joining the EU</t>
  </si>
  <si>
    <t>A. The project manager will be sad to leave the company</t>
  </si>
  <si>
    <t>A. The vote in Congress takes place in less than two months</t>
  </si>
  <si>
    <t>A. The boat is headed for Cyprus</t>
  </si>
  <si>
    <t>A. The head of NATO sent a message to Afghan officials</t>
  </si>
  <si>
    <t>A. The handling of the recession</t>
  </si>
  <si>
    <t>A. Access to HIV drugs is in line with objectives</t>
  </si>
  <si>
    <t>A. They have given billions of dollars to China</t>
  </si>
  <si>
    <t>A. Human error caused the crash</t>
  </si>
  <si>
    <t>A. People are tired of Bill Clinton</t>
  </si>
  <si>
    <t>A. Joan Sutherland was sixty when she toured Australia</t>
  </si>
  <si>
    <t>A. They lost a billion pounds in two years</t>
  </si>
  <si>
    <t>A. They have been the target of criticism and complaints</t>
  </si>
  <si>
    <t>A. A referendum will take place when both sides have marked their territory</t>
  </si>
  <si>
    <t>A. The US  have launched attacks on Pakistani soldiers</t>
  </si>
  <si>
    <t>A. A grenade hit a convoy of British soldiers</t>
  </si>
  <si>
    <t>A. Prevent poor people from entering bars</t>
  </si>
  <si>
    <t>A. The CIA uncovered a secret network of prisons</t>
  </si>
  <si>
    <t>LAGUNA PEREZ, JAVIER</t>
  </si>
  <si>
    <t>EXAMEN 5/MP3/Q-23 EXAMEN 5.mp3</t>
  </si>
  <si>
    <t>b) Painting</t>
  </si>
  <si>
    <t>EXAMEN 1/MP3/Q-01 EXAMEN 1.mp3</t>
  </si>
  <si>
    <t>EXAMEN 1/MP3/Q-02 EXAMEN 1.mp3</t>
  </si>
  <si>
    <t>EXAMEN 1/MP3/Q-03 EXAMEN 1.mp3</t>
  </si>
  <si>
    <t>EXAMEN 1/MP3/Q-04 EXAMEN 1.mp3</t>
  </si>
  <si>
    <t>EXAMEN 1/MP3/Q-05 EXAMEN 1.mp3</t>
  </si>
  <si>
    <t>EXAMEN 1/MP3/Q-06 EXAMEN 1.mp3</t>
  </si>
  <si>
    <t>EXAMEN 1/MP3/Q-07 EXAMEN 1.mp3</t>
  </si>
  <si>
    <t>EXAMEN 1/MP3/Q-08 EXAMEN 1.mp3</t>
  </si>
  <si>
    <t>EXAMEN 1/MP3/Q-09 EXAMEN 1.mp3</t>
  </si>
  <si>
    <t>EXAMEN 2/MP3/Q-01 EXAMEN 2.mp3</t>
  </si>
  <si>
    <t>EXAMEN 2/MP3/Q-02 EXAMEN 2.mp3</t>
  </si>
  <si>
    <t>EXAMEN 2/MP3/Q-03 EXAMEN 2.mp3</t>
  </si>
  <si>
    <t>EXAMEN 2/MP3/Q-04 EXAMEN 2.mp3</t>
  </si>
  <si>
    <t>EXAMEN 2/MP3/Q-05 EXAMEN 2.mp3</t>
  </si>
  <si>
    <t>EXAMEN 2/MP3/Q-06 EXAMEN 2.mp3</t>
  </si>
  <si>
    <t>EXAMEN 2/MP3/Q-07 EXAMEN 2.mp3</t>
  </si>
  <si>
    <t>EXAMEN 2/MP3/Q-08 EXAMEN 2.mp3</t>
  </si>
  <si>
    <t>EXAMEN 2/MP3/Q-09 EXAMEN 2.mp3</t>
  </si>
  <si>
    <t>A. I was looking for him when he found me</t>
  </si>
  <si>
    <t>B. I was looking for him for ages until I found him</t>
  </si>
  <si>
    <t>C. It will take a long time to find him</t>
  </si>
  <si>
    <t>D. I will look for him until I find him</t>
  </si>
  <si>
    <t>EXAMEN 6</t>
  </si>
  <si>
    <t>MERINO TORO, LA BEGO</t>
  </si>
  <si>
    <t>TCOL. D. ANTONIO PIÑA SANCHEZ</t>
  </si>
  <si>
    <t>EXAMEN DE DIC/2010</t>
  </si>
  <si>
    <t>EXAMEN 101</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</si>
  <si>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</si>
  <si>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</si>
  <si>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</si>
  <si>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</si>
  <si>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</si>
  <si>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</si>
  <si>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</si>
  <si>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</si>
  <si>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</si>
  <si>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</si>
  <si>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</si>
  <si>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</si>
  <si>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</si>
  <si>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</si>
  <si>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</si>
  <si>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</si>
  <si>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</si>
  <si>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</si>
  <si>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</si>
  <si>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</si>
  <si>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</si>
  <si>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</si>
  <si>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</si>
  <si>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</si>
  <si>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</si>
  <si>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</si>
  <si>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</si>
  <si>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</si>
  <si>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EXAMEN 101/MP3/Q-01 EXAMEN 101.mp3</t>
  </si>
  <si>
    <t>EXAMEN 101/MP3/Q-02 EXAMEN 101.mp3</t>
  </si>
  <si>
    <t>EXAMEN 101/MP3/Q-03 EXAMEN 101.mp3</t>
  </si>
  <si>
    <t>EXAMEN 101/MP3/Q-04 EXAMEN 101.mp3</t>
  </si>
  <si>
    <t>EXAMEN 101/MP3/Q-05 EXAMEN 101.mp3</t>
  </si>
  <si>
    <t>EXAMEN 101/MP3/Q-06 EXAMEN 101.mp3</t>
  </si>
  <si>
    <t>EXAMEN 101/MP3/Q-07 EXAMEN 101.mp3</t>
  </si>
  <si>
    <t>EXAMEN 101/MP3/Q-08 EXAMEN 101.mp3</t>
  </si>
  <si>
    <t>EXAMEN 101/MP3/Q-09 EXAMEN 101.mp3</t>
  </si>
  <si>
    <t>EXAMEN 101/MP3/Q-10 EXAMEN 101.mp3</t>
  </si>
  <si>
    <t>EXAMEN 101/MP3/Q-11 EXAMEN 101.mp3</t>
  </si>
  <si>
    <t>EXAMEN 101/MP3/Q-12 EXAMEN 101.mp3</t>
  </si>
  <si>
    <t>EXAMEN 101/MP3/Q-13 EXAMEN 101.mp3</t>
  </si>
  <si>
    <t>EXAMEN 101/MP3/Q-14 EXAMEN 101.mp3</t>
  </si>
  <si>
    <t>EXAMEN 101/MP3/Q-15 EXAMEN 101.mp3</t>
  </si>
  <si>
    <t>EXAMEN 101/MP3/Q-16 EXAMEN 101.mp3</t>
  </si>
  <si>
    <t>EXAMEN 101/MP3/Q-17 EXAMEN 101.mp3</t>
  </si>
  <si>
    <t>EXAMEN 101/MP3/Q-18 EXAMEN 101.mp3</t>
  </si>
  <si>
    <t>EXAMEN 101/MP3/Q-19 EXAMEN 101.mp3</t>
  </si>
  <si>
    <t>EXAMEN 101/MP3/Q-20 EXAMEN 101.mp3</t>
  </si>
  <si>
    <t>EXAMEN 101/MP3/Q-21 EXAMEN 101.mp3</t>
  </si>
  <si>
    <t>EXAMEN 101/MP3/Q-22 EXAMEN 101.mp3</t>
  </si>
  <si>
    <t>EXAMEN 101/MP3/Q-23 EXAMEN 101.mp3</t>
  </si>
  <si>
    <t>EXAMEN 101/MP3/Q-25 EXAMEN 101.mp3</t>
  </si>
  <si>
    <t>EXAMEN 101/MP3/Q-26 EXAMEN 101.mp3</t>
  </si>
  <si>
    <t>EXAMEN 101/MP3/Q-27 EXAMEN 101.mp3</t>
  </si>
  <si>
    <t>EXAMEN 101/MP3/Q-28 EXAMEN 101.mp3</t>
  </si>
  <si>
    <t>EXAMEN 101/MP3/Q-29 EXAMEN 101.mp3</t>
  </si>
  <si>
    <t>EXAMEN 101/MP3/Q-30 EXAMEN 101.mp3</t>
  </si>
  <si>
    <t>EXAMEN 101/MP3/Q-31 EXAMEN 101.mp3</t>
  </si>
  <si>
    <t>EXAMEN 101/MP3/Q-32 EXAMEN 101.mp3</t>
  </si>
  <si>
    <t>EXAMEN 101/MP3/Q-33 EXAMEN 101.mp3</t>
  </si>
  <si>
    <t>EXAMEN 101/MP3/Q-34 EXAMEN 101.mp3</t>
  </si>
  <si>
    <t>EXAMEN 101/MP3/Q-35 EXAMEN 101.mp3</t>
  </si>
  <si>
    <t>EXAMEN 101/MP3/Q-36 EXAMEN 101.mp3</t>
  </si>
  <si>
    <t>EXAMEN 101/MP3/Q-37 EXAMEN 101.mp3</t>
  </si>
  <si>
    <t>EXAMEN 101/MP3/Q-38 EXAMEN 101.mp3</t>
  </si>
  <si>
    <t>EXAMEN 101/MP3/Q-39 EXAMEN 101.mp3</t>
  </si>
  <si>
    <t>EXAMEN 101/MP3/Q-40 EXAMEN 101.mp3</t>
  </si>
  <si>
    <t>EXAMEN 101/MP3/Q-24 EXAMEN 101.mp3</t>
  </si>
  <si>
    <t>EXAMEN 102</t>
  </si>
  <si>
    <t>EXAMEN 102/MP3/Q1.mp3</t>
  </si>
  <si>
    <t>EXAMEN 102/MP3/Q2.mp3</t>
  </si>
  <si>
    <t>EXAMEN 102/MP3/Q3.mp3</t>
  </si>
  <si>
    <t>EXAMEN 102/MP3/Q4.mp3</t>
  </si>
  <si>
    <t>EXAMEN 102/MP3/Q5.mp3</t>
  </si>
  <si>
    <t>EXAMEN 102/MP3/Q6.mp3</t>
  </si>
  <si>
    <t>EXAMEN 102/MP3/Q7.mp3</t>
  </si>
  <si>
    <t>EXAMEN 102/MP3/Q8.mp3</t>
  </si>
  <si>
    <t>EXAMEN 102/MP3/Q9.mp3</t>
  </si>
  <si>
    <t>EXAMEN 102/MP3/Q10.mp3</t>
  </si>
  <si>
    <t>EXAMEN 102/MP3/Q11.mp3</t>
  </si>
  <si>
    <t>EXAMEN 102/MP3/Q12.mp3</t>
  </si>
  <si>
    <t>EXAMEN 102/MP3/Q13.mp3</t>
  </si>
  <si>
    <t>EXAMEN 102/MP3/Q14.mp3</t>
  </si>
  <si>
    <t>EXAMEN 102/MP3/Q15.mp3</t>
  </si>
  <si>
    <t>EXAMEN 102/MP3/Q16.mp3</t>
  </si>
  <si>
    <t>EXAMEN 102/MP3/Q17.mp3</t>
  </si>
  <si>
    <t>EXAMEN 102/MP3/Q18.mp3</t>
  </si>
  <si>
    <t>EXAMEN 102/MP3/Q19.mp3</t>
  </si>
  <si>
    <t>EXAMEN 102/MP3/Q20.mp3</t>
  </si>
  <si>
    <t>EXAMEN 102/MP3/Q21.mp3</t>
  </si>
  <si>
    <t>EXAMEN 102/MP3/Q22.mp3</t>
  </si>
  <si>
    <t>EXAMEN 102/MP3/Q23.mp3</t>
  </si>
  <si>
    <t>EXAMEN 102/MP3/Q24.mp3</t>
  </si>
  <si>
    <t>EXAMEN 102/MP3/Q25.mp3</t>
  </si>
  <si>
    <t>EXAMEN 102/MP3/Q26.mp3</t>
  </si>
  <si>
    <t>EXAMEN 102/MP3/Q27.mp3</t>
  </si>
  <si>
    <t>EXAMEN 102/MP3/Q28.mp3</t>
  </si>
  <si>
    <t>EXAMEN 102/MP3/Q29.mp3</t>
  </si>
  <si>
    <t>EXAMEN 102/MP3/Q30.mp3</t>
  </si>
  <si>
    <t>EXAMEN 102/MP3/Q31.mp3</t>
  </si>
  <si>
    <t>EXAMEN 102/MP3/Q32.mp3</t>
  </si>
  <si>
    <t>EXAMEN 102/MP3/Q33.mp3</t>
  </si>
  <si>
    <t>EXAMEN 102/MP3/Q35.mp3</t>
  </si>
  <si>
    <t>EXAMEN 102/MP3/Q36.mp3</t>
  </si>
  <si>
    <t>EXAMEN 102/MP3/Q39.mp3</t>
  </si>
  <si>
    <t>EXAMEN 102/MP3/Q40.mp3</t>
  </si>
  <si>
    <t>EXAMEN 102/MP3/Q34.mp3</t>
  </si>
  <si>
    <t>EXAMEN 102/MP3/Q37.mp3</t>
  </si>
  <si>
    <t>EXAMEN 102/MP3/Q38.mp3</t>
  </si>
  <si>
    <t>CAP TOVAR HERNÁNDEZ, GERARDO</t>
  </si>
  <si>
    <t>09279594</t>
  </si>
  <si>
    <t>TCOL. D. ANGEL FERNANDEZ TUR</t>
  </si>
  <si>
    <t>45068182</t>
  </si>
  <si>
    <t>EXAMEN 103</t>
  </si>
  <si>
    <t>EXAMEN OCT-REG/2011</t>
  </si>
  <si>
    <t>For comic book fans around the world, a handful of cities evoke strong images: superheroes jumping from skyscrapers in New York; Tintin running across a building in a Brussels mural; wide-eyed schoolgirls looking for romance in Tokyo. But colorful cityscapes, designed by local artists, are finally putting an African capital city on the comic map. The place is Kinshasa in the Democratic Republic of Congo, and it is not difficult to see why. Complete with dusty boulevards, monster traffic jams in blazing sunsets and so-called shegue, or street children, such comic portraits of the Congolese capital are among the main features of the style developed by home-grown talent.                                                                                                               Decades of shared colonial history with comic-mad Belgium certainly had an influence on the emergence of the Congolese comic scene. In fact, most books by Barly Baruti, the Congolese author best known outside his country, are published in Brussels. Canadian artist Guy Delisle, who visited Kinshasa to lead a workshop with local artists last year, instantly recognized European influences in the work.</t>
  </si>
  <si>
    <t>Car manufacturer Toyota is recalling nearly 19, 000 cars in the UK due to potential problems with their fuel systems, it was announced today. The company said hundreds of Toyota Avensis and Lexus IS 250 models could be at risk of fuel leaks and will need to be modified by mechanics. According to Toyota, there have been no accidents suspected of being related to the defects, but it is the latest in a series of quality control woes for the Japanese carmaker. Officials say they are writing to the owners of the affected vehicles to arrange repairs.</t>
  </si>
  <si>
    <t>A leaking oil and gas pipeline has caused a mile-long slick off India’s western coast, says the state-run Oil and Natural Gas Corporation (ONGC). The leak occurred in the Mumbai-Uran trunk oil pipeline and an ONGC spokesman described it as “small”. The leak, discovered at 8.45  am (0315 GMT), was plugged after two hours and oil was diverted through another pipeline, the spokesman told the B.B.C. Around 25,000 barrels of oil has been lost, he said. The leak is about 80km (50 miles) from the western city of Mumbai (Bombay). In August, a tanker collided with a ship of Mumbai, spilling about 500 tonnes of oil into the Arabian Sea.</t>
  </si>
  <si>
    <t>When Apollo 14 landed on the Moon, 40 years ago this week, mission commander Alan Shepard was the oldest astronaut to have flown in space. In order to fulfill his dream of walking on the Moon, 47-year-old Shepard had to fend off criticism of his age and overcome a health condition which had dogged his career. While age poses no particular barrier to being an astronaut today, in the early days of human space flight, officials were unsure what influence the ageing process might have on performance during a mission.                                       Shepard died in 1998 of leukaemia. But in a 1991 interview, he recalled the questions over his age: “We got all kinds of flak from the guys. In the first place, I hadn’t flown anything since 1961, and here it was 10 years later, and the two guys with me had not flown before at all, so they called us the three rookies. We had to put up with that. And then the fact that everybody said: ‘That old man shouldn’t be up there on the Moon.’ As if it wasn’t enough of a challenge as it was, but that was part of the make-up of all those guys. They are still a pretty competitive group.”</t>
  </si>
  <si>
    <t>An adaptation of a novel by Dennis Lehane, whose Mystic River was the source of a fine Clint Eastwood film, this equally star-studded movie was developed as a project for shockster David Fincher with Brad Pitt in the lead role. But it ended up in the hands of Scorsese who, for his fourth fiction feature in a row, cast DiCaprio.                                                                                             That long history probably explains why it doesn’t feel much like a Scorsese film-except to the extent that it’s plainly the work of a film buff. It feels too long, which is a Scorsese trademark, but the single setting and the linear story keep it tight and clammy, something of a relief after the hopelessly overblown The Departed.                                                                                 Stylistically, it’s a pastiche of the classic melodramas of the 1950s, when it’s set: the mostly muted palette, cheesy back projection, deliberately clunky editing and plodding expository dialogue in the early scenes. But the script, rigorously faithful to Lehane’s convoluted plot, maintains momentum admirably and the neatly ambiguous ending is welcome</t>
  </si>
  <si>
    <t xml:space="preserve">New Europe was the neat formula coined by Donald Rumsfeld in the aid of the Bush administration’s war effort. The ‘old Europeans’ disliked and derided it, as it suggested that Europe was more divided over the Iraq invasion than it actually was. But they could never deny its grain of truth. There was indeed a split between those who signed up to the Bush crusade for democracy in foreign parts - not least because of their recent history – and those who saw the same campaign as a misuse of military might.                                                                                            But that was then. Now that Poland and Russia are making up, East and Central Europe have lost their appetite for fighting US wars, and the Obama administration is eschewing the whole idea of special relationships, it could be time to lay this irritating concept to rest. Six years after the European Union completed its greatest single expansion, the divisions are neither as sharp nor as resentful as they were.                                                                                                                                  Even as ‘new’ Europe blends with the ‘old’, however, could it be that a new breed of rather different ‘new’ Europeans may be arising in that least likely of places, here in Britain? There are reasons to doubt, but suddenly, too – for us pro-European dinosaurs –to hope.     </t>
  </si>
  <si>
    <t>In the past it was laborers in noisy factories and soldiers using firearms who lost their hearing. Now it is young people who crank up the sound on their personal music players. A generation of children and young adults are risking deafness in middle age and beyond by listening to their iPods and MP3 players at high volume for several hours a day, a specialist warned.   Inserting earphones into the ear canal intensifies the volume which can reach over 120 decibels, equivalent to the noise from a jet engine, according to Professor Peter Rabinowitz of the Occupational and Environmental Medicine program at Yale University.                                    Deafness, including mild to moderate hearing loss, is one of the commonest chronic medical conditions in older people and the most frequent cause is excessive long-term exposure to noise which damages the hair cells in the inner ear. The Royal National Institute for the Deaf said two thirds of MP3 player users listened to music at volumes greater than 85 decibels. Several small studies have found a link between use of the players and poorer hearing in young people. But evidence on whether young people as a whole are losing their hearing faster than previous generations is mixed-probably because the use of the players has only recently become ubiquitous.</t>
  </si>
  <si>
    <t xml:space="preserve">The religious right is pushing a change in military policy regarding the role of women in combat that has the potential to cripple our current military efforts in Iraq.                                             The change will prohibit female soldiers from being assigned to units involved in close combat support. This could prohibit women from driving trucks in convoys, serving as vehicle mechanics or working as MPs in the field. The change in current policy is opposed by senior Army leadership and makes absolutely no sense for a variety of reasons.                                                                                                                                                              First, the Army is already stretched thin in Iraq and Afghanistan and has fallen short on its recruiting goals in recent months. Thus, at a time when the Army doesn’t have enough soldiers, thousands of men would have to be reassigned to replace women currently serving in combat support roles. Where are these additional men going to come from? Is this the first stage of reinstating the draft to make sure that the Army has enough men in its ranks? Secondly, women have served with great distinction and bravery in Iraq in a variety of key combat support roles. Women have always been banned from serving in the Infantry, Armor and Special Forces and no one is suggesting that be altered. </t>
  </si>
  <si>
    <t xml:space="preserve">The amount of water used to produce food and goods imported to developed countries is worsening water shortages in the developing world, a report says. The report, focusing on the UK, says two-thirds of the water used to make UK imports is used outside its borders. The Engineering the Future alliance of professional engineering bodies says this is unsustainable, given population growth and climate change.                                                                                                           It says countries such as the UK must help poorer nations curb water use. “We must take account of how our water footprint is impacting on the rest of the world,” said Professor Roger Falconer, director of the Hydro-Environmental Research Centre at Cardiff University and a member of the report’s steering committee.                                                                                                        “If we are to prevent the ‘perfect storm’, urgent action is necessary.”                                                                          But developing countries are already using significant proportions of their water to grow food and produce goods for consumption in the West, the report says. “The burgeoning demand from developed countries is putting severe pressure on areas that are already short of water,” said Professor Peter Guthrie, head of the Centre for Sustainable Development at Cambridge University, who chaired the steering group.   </t>
  </si>
  <si>
    <t>Metropolitan Los Angeles, extending to Riverside and Long Beach, remains the smoggiest city in the United States, with an average of more than 140 days a year of dangerous ozone, the American Lung Assn. reported Wednesday in its annual assessment. All of the nation’s 10 smoggiest counties are in California, with San Bernardino, Riverside, Kern, Tulare and Los Angeles leading the pack. And the state’s cities and counties, with their ports, refineries, power plants and crowded freeways, rank near the top for particle pollution.                                                               The report comes at a time of conflict over the state’s efforts to slash emissions. Citing the recession –battered economy, trucking and construction firms are seeking to delay California’s rules to limit diesel pollution from operating big-rigs, forklifts and other equipment.                                  A proposed ballot initiative, sponsored by oil companies and conservative activists would suspend the state’s climate law, which targets carbon dioxide and other greenhouse gases but could effectively curb traditional air pollutants such as ozone and particles.                                                        The ballot initiative to delay AB 32, the Global Warming Solutions Act, is spearheaded by San Antonio-based Valero Energy Corp. and Tesoro Corp., which operate major refineries and hundreds of gas stations in California.                                                                                                                                                                    Despite its grim overall statistics, the report took note of remarkable progress in some areas: The number of high-ozone days has dropped by 25% in metropolitan Los Angeles and by 57% in metropolitan San Francisco, which includes Oakland and San Jose, since 2000.                                                  The report found that high air pollution levels threaten the health of 175 million people, about 58% of the population. But in California, the proportion is far higher: 91% of state residents, more than 33 million people, live in counties with poor air quality, especially in Southern California and the Central Valley.</t>
  </si>
  <si>
    <t>When Eyjafjallajokull erupted on April 14, the diminutive but destructive Icelandic corker did us and unheralded favour. Believe it or not, all that ash swirling into the upper atmosphere was actually a minor boon to the war on global warming. About 11,000 European and international flights a day were canceled, and grounded aircraft don’t pollute. With air travel over much of the continent slashed by 60%, CO2 emissions from aviation fell by about 200,000 tons a day, according to data from the independent British research group RDC Aviation. Since the volcano is estimated to be issuing 150,000 tons of CO2 daily, Europe temporarily lowered its carbon footprint by about 50,000 tons a day.                                                                                                     The reduction is a mere hiccup, of course. The savings is a little more than Luxembourg’s and a little bit less than Estonia’s daily output of heat-trapping gases. In the course of a year, the change will be almost imperceptible since, as the United Nations reports, humans produce about 73 million metric tons of carbon a day. With aviation emissions estimated at about 2% of the worldwide total, unless Eyjafjallajokull does what it did the last time it erupted – belching the Earth’s gaseous juices for more than a year, from December 1821 to January 1823 – then the halt won’t amount to much.                                                                                                                                   But what the present storm cloud over Europe demonstrates is our growing dependence on a form of travel that, if unchecked, will swamp many of the reductions made elsewhere in the battle to combat global warming. The fact is, despite the falloff in passengers after 9/11, airplanes are the fastest-growing source of man-made greenhouse gases, according to a 2006 report by the European Federation for Transport and Environment.                                                                                                                                                           Cars still cough out far more greenhouse gases than aircraft, but according to the Aviation Environment Federation in Britain, flight emissions are growing six times as fast as tailpipe emissions.  The most efficient way to slash these carbon emissions is to build high-speed electric trains, because they emit anywhere between a tenth and a quarter of aircraft greenhouse gases.</t>
  </si>
  <si>
    <t>David Cameron declared yesterday that a new chapter has been opened in Britain’s relationship with France after the signing of a wide-ranging defense agreement. Questions remained, however, about just how faithful the new partners will be to each other.                                     A key part of the deal will involve the aircraft carrier of one country defending the national interests of the other. Nicolas Sarkozy, asked whether France’s Charles De Gaulle vessel would speed off to the Falklands in the event of a confrontation with Argentina, said: “We are not identical….. and I know that there is the Channel between our two countries.”                                                    He added: “If you, my British friends, have to face a major crisis, could you imagine France simply sitting there, its arms crossed, saying it’s none of our business?”                                                According to critics that, precisely, is the fear. Bernard Jenkin, a former Conservative defense spokesman, was doubtful that help would be forthcoming in a future tussle over the Falklands. “There is a long track-record of duplicity on the French part. When it comes to dealing with allies, we should never be under any illusion. The French act in what they see as their strategic interests,” he said.                                                                                                                                                    The Liberal Democrat peer Lord Ashdown said France’s long-term objectives were likely to alarm many Tories. “I am clear that Paris sees this as the first move to wider European defense co-operation, which I am strongly in favor of. Paris’s view and long-term aims on this will be inimical to many in the Conservative Party, including maybe our Defense secretary, Liam Fox,” he said.</t>
  </si>
  <si>
    <r>
      <t>I finally tracked down Bukhara’s synagogue in the alleys of the old town only to find its  wooden doors shut. The solid facades of the alley gave no clues as to whether there was any life behind them. But soon a man appeared with keys to the building.                                           Yura, the night watchman, pushed the doors open, revealing a well-maintained courtyard with white painted walls adorned with inscriptions in Hebrew and black and gold wall hangings concealing the synagogue’s 500-year-old Torah. Yura told me about Bukhara’s Jewish community. The synagogue dates from the 16</t>
    </r>
    <r>
      <rPr>
        <vertAlign val="superscript"/>
        <sz val="11"/>
        <color theme="1"/>
        <rFont val="Calibri"/>
        <family val="2"/>
        <scheme val="minor"/>
      </rPr>
      <t>th</t>
    </r>
    <r>
      <rPr>
        <sz val="11"/>
        <color theme="1"/>
        <rFont val="Calibri"/>
        <family val="2"/>
        <scheme val="minor"/>
      </rPr>
      <t xml:space="preserve"> century and is still in use, although the number of worshippers has declined dramatically over the years. There are only around 300 left in the city, and some of those are about to leave.                                                                                                          Since the 1970’s, when Soviet emigration controls were relaxed, thousands of Jews have left Bukhara. This process speeded up after Uzbekistan gained its independence from the Soviet Union in 1991, although exact figures are hard to come by as there has been no official census in the country since 1989. Many Jews have left for Israel and America, while others have settled in Europe.                                                                                                                                           Yura took me to see the community’s school, which is thriving despite the decreasing number of Jews. It teaches in Uzbek, Russian, English and Hebrew and is popular with students from the wider community for its high educational standards.                                                                                    The city’s Jewish cemetery is also well-maintained and gives a strong sense of how long the community has resided in these parts. Èmigrès send money to support the synagogue, school and cemetery, but these remittances have not been able to reverse the community’s decline. Over the centuries the Jewish community has contributed greatly to the city’s business and cultural life. Its struggle to survive now is its biggest test ever. At the current rate of emigration there may not be any worshippers left, and the synagogue and cemetery will be museums that commemorate Bukhara’s lost Jewish heritage.</t>
    </r>
  </si>
  <si>
    <t xml:space="preserve">The British author, Alan Shadrake is today facing a possible prison sentence after a court in Singapore convicted him of challenging the integrity of the city state’s judiciary in a book criticizing its use of the death penalty. Shadrake faces a custodial sentence or a fine – or both – for contempt of court when Singapore’s high court sentences him next week.                                                The Singapore constitution does not specify a maximum penalty for the crime, according to reports, although prosecutors are reported to have demanded a prison sentence of between three and six months and an unspecified fine.                                                                                                                     The judge, Quentin Loh, said he was giving 75-year-old Shadrake “a final opportunity to make amends.” The author, who has refused to apologize, said after the ruling that he would “work out how to do this and satisfy the court.”                                                                                                                     The case was brought in response to Shadrake’s book, “Once a Jolly Hangman: Singapore’s Justice in the Dock”, which accuses courts of bowing to diplomatic and economic pressure in deciding how to dispense justice. It also accuses them of favoring the wealthy and abusing the law to suppress political opponents. The book includes a profile of a former chief executioner and interviews with human rights activists, lawyers and former police officers.                                                  According to Amnesty International, Singapore, with a population of five million, has one of the world’s highest per capita execution rates, having put more than 400 people to death over the past two decades. </t>
  </si>
  <si>
    <t xml:space="preserve">Jailed oligarch Mikhail Khodorkovsky urged a judge in Moscow today to end his days “slurping gruel” in prison, saying the fate of every Russian was tied up with his own. Khodorkovsky was speaking on the final day of his trial for stealing $25bn of crude oil from subsidiaries of his own Yukos oil company, a charge widely seen as vengeance for his financing of political parties opposing the Kremlin.                                                                                                                                        “A state that destroys its best companies, which are ready to become global champions, a country that holds its own citizens in contempt, trusting only the bureaucracy and the special services, is a sick state,” he told a packed courtroom.                                                                                                    The Russian businessman was arrested in 2003 on charges of fraud and sentenced to eight years in a Siberian prison colony in 2005. A new trial of Khodorkovsky and his Yukos partner, Platon Lebedev, began in March last year after prosecutors laid fresh charges of stealing oil and shares, and money laundering. A verdict is expected on 15 December.                                                                   Political analysts believe the Kremlin wants to ensure Khodorkovsky is not released in the run-up to the 2012 presidential elections. The 46-year-old, who has spent most of his confinement so far at a penal colony close to the border with China, has kept up a stream of diatribes against the Russian government via his website and articles in the press.                                                                         Khodorkovsky addressed the court from behind a glass screen. He accused President Dmitry Medvedev of leading Russia into stagnation, saying he had dashed hopes the country would become “free from the arbitrary behavior of officials, free from corruption, free from unfairness and lawlessness.” </t>
  </si>
  <si>
    <t>Parents believe the benefits of testing their children for the genetic risk of some diseases outweigh the negative consequences, according to US scientists. In the study, published in the journal ‘Pediatrics’, parents who were offered a genetic test supported their children also being tested. The authors say doctors and politicians need to be more aware of the issue. Genewatch U.K. said children should never be tested for adult conditions. Genetic testing used to be confined to specialist clinics, but direct-to-consumer testing is now possible. People send a sample to a company in the post and are told if they have any genes which carry an increased risk of illness.                                                                                                                                        In this study, 219 parents were tested for 15 genetic variants linked to heart disease, osteoporosis, high blood pressure, high cholesterol, type 2 diabetes and colon, skin and lung cancer. They were then asked a series of questions to compare benefits such as reassurance, knowledge and prevention, with risks such as invasion of privacy and psychological discomfort. The report found that ‘parents offered the genetic susceptibility test for common preventable conditions tended to consider that the potential benefits of this test for their own child could outweigh its risks.’ Helen Wallace, from genetic science lobby group Genewatch U.K, said: “Online gene tests frequently give misleading results because most common conditions such as cancer, obesity or diabetes are not predictable from a person’s genes, except in special circumstances.</t>
  </si>
  <si>
    <t xml:space="preserve">Chinese state media have confirmed reports of clashes between monks and police at a Tibetan monastery in Sichuan province, but deny it has been blockaded. The ‘Global Times’ said “Chinese police intervened to control lamas that had stirred up trouble” at Kirti Monastery in Aba county, western China. Tibetan exiles said armed police surrounded the complex last Tuesday and refused to allow monks to enter or leave. The Dalai Lama warned late last week that the situation could turn “explosive”. An article released by the Xinhua state news agency on its news wire this weekend –but not, apparently, on its website –said believers and vehicles were freely entering and monks could be seen outside. The report, headlined “Life Normal in Tibetan Monastery”, quoted a member of Kirti’s management saying it had “long ago formed a joint patrol team, with police, to prevent unspecified people from entering.” He added that “there couldn’t be any beatings” as staff at the entrance were very friendly.                                                        The International Campaign for Tibet said hundreds of residents gathered outside Kirti last Tuesday fearing authorities would forcibly remove monks for a “patriotic education” campaign after the self-immolation of a young lama. Citing exile sources, it alleged that security forces beat protesters and unleashed dogs on the crowd as they forced their way through to the monastery, surrounding it and preventing up to 2,500 monks from leaving. The U.S. expressed concern about the situation last week, with state department spokesman Mark Toner tell a regular briefing: “We have seen that Chinese security forces have cordoned off the Kirti Monastery…They’ve also imposed onerous restrictions on the monks and general public, and we believe these are inconsistent with internationally recognized principles of religious freedom.” </t>
  </si>
  <si>
    <t>Internet-based attacks on critical systems such as gas, power and water have increased around the world, a report suggests. Security firm McAfee surveyed 200 IT executives working for utility companies in 14 countries. Eight out of ten said their networks had been targeted by hackers during the past year. China was seen as the most likely source of attacks, followed by Russia and the United States. The number of reported incidents was higher than in 2009 when just over half of those asked said they had fallen victim. Most of the reported security breaches took the form of distributed denial of service (DDOS) attacks. These typically involve a network of computers, under the control of criminals, overwhelming a company’s internet-connected systems. While such incidents have the potential to impact websites and corporate networks, researchers said it was unlikely they were intended to cut off energy supplies. However, there remained a possibility that DDOS attacks could do more harm in future, according to Stewart Baker, a former U.S. national security advisor to President George W Bush and one of the report’s authors.                                                                                                         Arguably the best known example of an internet-borne threat disrupting an industrial system is the Stuxnet worm, which was discovered in 2010. Analysis suggests that the malicious computer code was specifically designed to take control of machinery in either Iran’s Bushehr or Natanz nuclear facilities. While it was known that the worm had spread more widely than its intended target, McAfee’s research suggested the full extent of its reach. Among those utility companies that had carried out a search for Stuxnet on their computer systems, 40% found traces of it. “It probably didn’t result in any obvious interference with the systems, because it wasn’t designed to do that,” said Mr. Baker.</t>
  </si>
  <si>
    <t xml:space="preserve">1) Which of the following is true?                                                                              </t>
  </si>
  <si>
    <t xml:space="preserve">7) The article suggests that; </t>
  </si>
  <si>
    <t>9) The article suggests that it is difficult to find proof on whether young people in current times are losing their hearing more quickly than in earlier times because</t>
  </si>
  <si>
    <t xml:space="preserve">11) The writer makes the suggestion that if women were eliminated from combat support roles, this could lead to; </t>
  </si>
  <si>
    <t>13) The report that the writer alludes to in the article appears to;</t>
  </si>
  <si>
    <t>15)The report that the writer refers to in the article appears to</t>
  </si>
  <si>
    <t xml:space="preserve">17)The current situation according to the article is that;  </t>
  </si>
  <si>
    <t>19) Lord Ashdown states that;</t>
  </si>
  <si>
    <t xml:space="preserve">2) According to the report;                                                                                        </t>
  </si>
  <si>
    <t xml:space="preserve">3) According to the report; </t>
  </si>
  <si>
    <t>4) It was previously believed that</t>
  </si>
  <si>
    <t>5) The reviewer claims that the film</t>
  </si>
  <si>
    <t xml:space="preserve">6) The idea of a ‘new Europe’; </t>
  </si>
  <si>
    <t>8) One of the effects of using an MP3 is that</t>
  </si>
  <si>
    <t>10) It appears that the religious right</t>
  </si>
  <si>
    <t xml:space="preserve">12) The report referred to in the article has stated that the problem of a worldwide water shortage is being worsened by; </t>
  </si>
  <si>
    <t>14) According to the article, oil and construction companies are;</t>
  </si>
  <si>
    <t>16) The writer states that the temporary reduction in CO2 emissions will;</t>
  </si>
  <si>
    <t>18) The article suggests that;</t>
  </si>
  <si>
    <t xml:space="preserve">20) It is difficult to know the exact details of Jewish emigration from Uzbekistan because; </t>
  </si>
  <si>
    <t xml:space="preserve"> 21) The writer believes that; </t>
  </si>
  <si>
    <t xml:space="preserve">22) The British author, Alan Shadrake is possibly facing; </t>
  </si>
  <si>
    <t xml:space="preserve">24) It is generally believed that; </t>
  </si>
  <si>
    <t xml:space="preserve">23) In his book, Shadrake suggests that in Singapore;    </t>
  </si>
  <si>
    <t xml:space="preserve">25) In his address to the court, Khodorkovsky states that; </t>
  </si>
  <si>
    <t xml:space="preserve">26) According to the report; </t>
  </si>
  <si>
    <t xml:space="preserve">27) The reports by the Chinese state media and The International Campaign for Tibet could best be described as; </t>
  </si>
  <si>
    <t xml:space="preserve">29) According to the report, which of the following is true? </t>
  </si>
  <si>
    <t xml:space="preserve">28)It is believed that the Chinese authorities are acting in response to; </t>
  </si>
  <si>
    <t xml:space="preserve">30) The Stuxnet worm; </t>
  </si>
  <si>
    <t>a) A lot of the comics featuring Kinshasa are done by Congolese artists.</t>
  </si>
  <si>
    <t>a) 19,000 cars have problems with their fuel systems.</t>
  </si>
  <si>
    <t>a) The leak has caused a loss of 500 tonnes of oil.</t>
  </si>
  <si>
    <t>a) One’s age could affect one’s work in Space</t>
  </si>
  <si>
    <t>a) Was made during the 1950s</t>
  </si>
  <si>
    <t>a) Originally arose in England.</t>
  </si>
  <si>
    <t>a) The volume will be perceived as louder than normal</t>
  </si>
  <si>
    <t>a) Is supported by army leadership</t>
  </si>
  <si>
    <t>a) Excessive use of water in the U.K.</t>
  </si>
  <si>
    <t>a) Using the economic crisis as an attempt to postpone California’s climate law</t>
  </si>
  <si>
    <t>a) Have a great effect</t>
  </si>
  <si>
    <t>a) France is certain to act to defend British strategic interests.</t>
  </si>
  <si>
    <t>a) It increased dramatically when Uzbekistan became independent from the Soviet Union.</t>
  </si>
  <si>
    <t>a) The death sentence.</t>
  </si>
  <si>
    <t>a) Khodorkovsky is innocent.</t>
  </si>
  <si>
    <t>a) Doctors recommend the gene tests for children.</t>
  </si>
  <si>
    <t>a) Most internet-based attacks occur in the U.S</t>
  </si>
  <si>
    <t>a) Conflicting</t>
  </si>
  <si>
    <t>b) Most of the comics featuring Kinshasa are done by Belgium artists.</t>
  </si>
  <si>
    <t>b) Only one model of car is at risk of a fuel leak.</t>
  </si>
  <si>
    <t>b) The pipeline was repaired after two hours.</t>
  </si>
  <si>
    <t>b) Space flight could precipitate illness</t>
  </si>
  <si>
    <t>b) Is different to the book version</t>
  </si>
  <si>
    <t>b) Was supported by the ‘old’ Europeans.</t>
  </si>
  <si>
    <t>b) The volume is more intense than the sound of a jet engine</t>
  </si>
  <si>
    <t>b) Opposes the presence of female soldiers in Iraq</t>
  </si>
  <si>
    <t>b) Excessive use of water for the populations of developing countries</t>
  </si>
  <si>
    <t>b) Claiming responsibility for the low quality of California’s air</t>
  </si>
  <si>
    <t>b) Hardly be noticeable.</t>
  </si>
  <si>
    <t>b) France is refusing to cooperate in joint military operations.</t>
  </si>
  <si>
    <t>b) Official records have not been kept for the past 20 years.</t>
  </si>
  <si>
    <t>b) Life imprisonment</t>
  </si>
  <si>
    <t>b) The Kremlin wanted revenge on Khodorkovsky</t>
  </si>
  <si>
    <t>b) Gene tests done online are usually accurate</t>
  </si>
  <si>
    <t>b) False</t>
  </si>
  <si>
    <t>b) Internet-based attacks are expected to decrease with future security developments</t>
  </si>
  <si>
    <t>b) The Obama administration desires a closer relationship with East Europe</t>
  </si>
  <si>
    <t>b) The use of MP3 players on a wide scale is recent</t>
  </si>
  <si>
    <t>b) A reinforcement of roles in the military</t>
  </si>
  <si>
    <t>b) Give a generally positive outlook while pointing out some problematic areas</t>
  </si>
  <si>
    <t>b) Aircraft are producing more greenhouse gasses than cars.</t>
  </si>
  <si>
    <t>b) It is more likely that the Jewish community will not survive</t>
  </si>
  <si>
    <t>b) Human rights activists are targeted by police</t>
  </si>
  <si>
    <t>b) Russian laws are too strict</t>
  </si>
  <si>
    <t>b) The protests of The International Campaign for Tibet</t>
  </si>
  <si>
    <t>b) Originated in Iran’s nuclear facilities</t>
  </si>
  <si>
    <t>c) Congolese comics are unknown outside of the Congo</t>
  </si>
  <si>
    <t>c) The fuel leaks have caused several accidents</t>
  </si>
  <si>
    <t>c) Oil had to be deflected.</t>
  </si>
  <si>
    <t>c) Space flight was too dangerous for the inexperienced</t>
  </si>
  <si>
    <t>c) Has an unclear ending</t>
  </si>
  <si>
    <t>c) Came about because of differences over the Iraq war</t>
  </si>
  <si>
    <t>c) It damages the environment</t>
  </si>
  <si>
    <t>c) Doesn’t believe that women should serve in combat zones</t>
  </si>
  <si>
    <t>c) Producing food in the U.K. for developing countries</t>
  </si>
  <si>
    <t>c) Taking active steps to improve the quality of California’s air</t>
  </si>
  <si>
    <t>c) Have a long-term effect</t>
  </si>
  <si>
    <t>c) Soviet emigration controls were relaxed.</t>
  </si>
  <si>
    <t>c) Deportation</t>
  </si>
  <si>
    <t>c) Khodorkovsky will pay his way out of jail.</t>
  </si>
  <si>
    <t>c) Parents are generally in favor of gene tests for children</t>
  </si>
  <si>
    <t>c) Consistent</t>
  </si>
  <si>
    <t>c) Most internet attacks are intended to disrupt companies’ energy services</t>
  </si>
  <si>
    <t>c) The European Union took six years to complete its expansion</t>
  </si>
  <si>
    <t>c) Many middle-aged and older people also use MP3 players</t>
  </si>
  <si>
    <t>c) A return to conscription for men</t>
  </si>
  <si>
    <t>c) State that the situation is going to improve in the near future</t>
  </si>
  <si>
    <t>c) Aircraft fuel efficiency is expected to decrease</t>
  </si>
  <si>
    <t>c) Paris’s view and long- term aims are contradictory</t>
  </si>
  <si>
    <t>c) The Jewish community needs to contribute more to the city’s business</t>
  </si>
  <si>
    <t>c) The executions have no effect on the crime rate</t>
  </si>
  <si>
    <t>c) He doesn’t believe that Russia will become free of corruption</t>
  </si>
  <si>
    <t>c) A speech by the Dalai Lama</t>
  </si>
  <si>
    <t>c) Was intended for Iran’s nuclear facilities</t>
  </si>
  <si>
    <t>d) Congolese comics are popular in New York and Tokyo</t>
  </si>
  <si>
    <t>d) Toyota has been troubled by other problems</t>
  </si>
  <si>
    <t>d) No trace of the leak remains</t>
  </si>
  <si>
    <t>d) Age didn’t affect one’s ability to carry out a Space mission</t>
  </si>
  <si>
    <t>d) Has a straightforward storyline.</t>
  </si>
  <si>
    <t>d) Had no basis in reality.</t>
  </si>
  <si>
    <t>d) It delays the onset of deafness</t>
  </si>
  <si>
    <t>d) Wants women to be prevented from joining the infantry</t>
  </si>
  <si>
    <t>d) Producing food in developing countries for the developed world</t>
  </si>
  <si>
    <t>d) Supporting the proposal of a new climate law</t>
  </si>
  <si>
    <t>d) Will only be noticeable in the short term</t>
  </si>
  <si>
    <t>d) A confrontation with Argentina is inevitable</t>
  </si>
  <si>
    <t>d) Many Jews went to America</t>
  </si>
  <si>
    <t>d) A fine</t>
  </si>
  <si>
    <t>d) The Kremlin is opposed to the possible sentencing of Khodorkovsky</t>
  </si>
  <si>
    <t>d) Genewatch U.K. endorses the gene tests</t>
  </si>
  <si>
    <t>d) Verified</t>
  </si>
  <si>
    <t>d) Most internet attacks are intended to disrupt companies’ websites</t>
  </si>
  <si>
    <t>d) The idea of an ‘old’ and ‘new’ Europe is no longer necessary</t>
  </si>
  <si>
    <t>d) There are many possible causes of hearing loss aside from MP3 players</t>
  </si>
  <si>
    <t>d) A possible solution to the country’s unemployment problem</t>
  </si>
  <si>
    <t>d) Give a generally pessimistic picture while pointing out some encouraging achievements</t>
  </si>
  <si>
    <t>d) Aircraft are producing less greenhouse gasses than cars</t>
  </si>
  <si>
    <t>d) He approves of European defense co-operation</t>
  </si>
  <si>
    <t>d) It is necessary to visit the museum to learn about Bukhara’s Jewish heritage</t>
  </si>
  <si>
    <t>d) Lawyers are generally opposed to the executions</t>
  </si>
  <si>
    <t>d) Russian laws are fair</t>
  </si>
  <si>
    <t>d) The previous actions of a young monk</t>
  </si>
  <si>
    <t>d) Was designed in 2010</t>
  </si>
  <si>
    <t>c)  Britain is not confident that France will participate in all joint military operations.</t>
  </si>
  <si>
    <t>b)  European defense co-operation will not work in the long term.</t>
  </si>
  <si>
    <t>a) The main division is between the ‘old’ and ‘new’ Europe.</t>
  </si>
  <si>
    <t>a) The use of MP3 players is limited</t>
  </si>
  <si>
    <t>a) A stronger military force</t>
  </si>
  <si>
    <t>a) Be completely negative</t>
  </si>
  <si>
    <t>a) High-speed electric trains are being developed</t>
  </si>
  <si>
    <t>a)   The Tories would approve of French aims.</t>
  </si>
  <si>
    <t>a) The remittances sent by the émigrés will ensure the survival of the Jewish community</t>
  </si>
  <si>
    <t>a) Some of the executions are politically motivated.</t>
  </si>
  <si>
    <t>a) The behavior of Russian officials is inconsistent</t>
  </si>
  <si>
    <t>a) The attempts of monks to leave Tibet</t>
  </si>
  <si>
    <t>a) Was found to have disrupted utility companies’ computer systems.</t>
  </si>
  <si>
    <t xml:space="preserve">A political crisis has engulfed Madagascar’s leader Andry Rajoelina, who seized power a year ago. With the country’s economy spiraling out of control, he now faces African Union sanctions for failing to set up a unity government.                                                                                                         The letters clinging to the side of the hill are like a giant game of Scrabble. Madagascar’s answer to Hollywood’s own hillside signpost. But here, the towering white metal pieces don’t spell out the name of a place where the streets are paved with gold. The letters spell out the name of Madagascar’s capital city, Antananarivo. At least they would do if they were all there. The first A and first N are all that remain. The rest were apparently stolen by an entrepreneurial thief with a head for heights, looking to make charcoal cooking stoves with the metal.                                                                                                                                                                  “Times are hard now,” says Michel, who sells second-hand clothes in a street at the bottom of the hill. “People will do whatever they can to get by,” he says, shaking his head as he looks up at the diminished letters on the hillside.                                                                                                   It has been a year since President Marc Ravalomanana  was forced from power by Antananarivo’s former mayor and renegade faction of the army. Since then, Madagascar’s tortured political landscape has become yet more sinuous and bizarre. Ministries have changed hands and ministers have changed sides.                                                                                                   In one of the most circuitous turn of events, faded politicians from decades ago have risen to reassert themselves among Madagascar’s squabbling elites. These are the dinasours-the tough-skinned relics of bygone eras. And they cut sharp contrast with the new president, baby-faced 35-year-old Andry Rajoelina. The one time nightclub disc jockey has divided opinion-even among those who once supported him. Loyalists thank him for bringing to an end the increasingly autocratic regime of Ravalomanana. But a growing body of critics now accuses Rajoelina of being a puppet for Madagascar’s former colonial power, France.                                                                                                                               </t>
  </si>
  <si>
    <t>b) Is a puppet for France</t>
  </si>
  <si>
    <t>The decision to ban the political pamphlet: ‘The National Left’.</t>
  </si>
  <si>
    <t>Was opposed by settlers</t>
  </si>
  <si>
    <t>Was made because of customer reaction</t>
  </si>
  <si>
    <t>Was made in response to reactions from abroad</t>
  </si>
  <si>
    <t>Was supported by academics</t>
  </si>
  <si>
    <t>The left wing believe that the settlers;</t>
  </si>
  <si>
    <t>Are united in opposition to democracy</t>
  </si>
  <si>
    <t>Have no influence their society</t>
  </si>
  <si>
    <t>Are not interested in government positions</t>
  </si>
  <si>
    <t>Enjoy influence within their society</t>
  </si>
  <si>
    <t xml:space="preserve">Thirty years ago on Sunday the renegade British colony that had been Rhodesia was born as Zimbabwe. In the nightmarish events of the last 10 years the euphoria of that day has been all but lost. Certainly, the achievements of Zimbabwe in the last 30 years are in danger of drowning in the mire of statistics about rampant inflation and unemployment, in images of the political repression of a cowed populace- all taken as evidence by those Thabo Mbeki calls the Afro-pessimists. For his part, President Mugabe has certainly provided much grist to the mill of the brigade that believes Africans cannot rule themselves and that independence has achieved nothing worth celebrating.                                                                                                                       As Zimbabwe turns 30, however, there are significant achievements to celebrate. Independence itself was one, especially as it brought the end of an apartheid-in- miniature that had allowed a small white minority to enjoy benefits not available to the black majority. Rhodesia’s segregationist policy was grievously unjust; but children born in Zimbabwe would no longer have their life paths determined simply because of the colour of their skin. Independence came through a civil war in which tens of thousands died, and many more people were displaced. Following this, Mugabe, then prime minister –urged former combatants to turn their swords to ploughshares, and white and black to work together to build a new nation. The reconciliation policy at the time did much to allay fears of reprisals, and put Zimbabwe on a path to stability and prosperity.                                                                                                                                         The chief achievement of the country’s prosperous early years, one bearing fruit even today, came from the massive investment in education. From free primary education to adult literacy programmes, this investment made it the sub-Saharan nation with the highest literacy rate. Poor Zimbabweans were encouraged to see education as the only thing that stood between them and their circumstances, and to use education as the means to get out of poverty. Even now, taxi drivers and market-stall holders invest in extra lessons for their children, and in the evenings in Harare adults make their way towards colleges for further education and training. The Zimbabwean diaspora of the last 10 years is evidence of the success of this education policy: Zimbabweans have taken skills and education to the Commonwealth and beyond, making it tragic that their skills should be used to benefit other countries and not their own.       </t>
  </si>
  <si>
    <t>The torture of seeing films intended for 30ft cinema screens being squeezed into a 2.5 in space has done nothing to deter millions of iPod users from downloading those burnt offerings. But now the traffic is heading in the opposite direction for the first time, with the screening next Sunday at the Boston International Film Festival of a 43-minute movie that was only ever made to be watched in the palm of the hand, and even then in bite-sized, site specific installments. Murder on Beacon Hill is an interactive iPhone app that guides the viewer around locations in Boston pertaining to the killing in 1849 of Dr. George Parkman. Download the app, put on your comfortable shoes and head into the streets of the old Beacon Hill neighbourhood, where you can relive the unearthing of a dismembered body beneath the Harvard Medical College, the manhunt, and the arrest and trial of the victim’s former classmate, Professor John Webster. “The story begins at Massachusetts General Hospital,” intones narrator-cum-sleuth Alexandra Macdougall before instructing you to “Press Wax Seal number 1” or “Come with me inside the Ether Dome.”                                                                                                                                                                                                                            It remains to be seen whether the app will retain its pulp allure on the larger screen, when the distinction between viewer and participant will be clearer, though the subjective camerawork and mystery-stoking score already embrace traditional filmmaking technique. That this is a landmark moment is indisputable. If it’s not quite the Lumière brothers at the Grand Cafè in 1895, it will at least be a night to recall once the inaugural Oscar for Best Original App is handed out</t>
  </si>
  <si>
    <t>d) is difficult to understand</t>
  </si>
  <si>
    <t>b) Is not very popular</t>
  </si>
  <si>
    <t xml:space="preserve">According to the writer, it is uncertain whether films made for the iPhone; </t>
  </si>
  <si>
    <t>Will be successful in the cinema</t>
  </si>
  <si>
    <t>Will win Oscars</t>
  </si>
  <si>
    <t>Will be popular</t>
  </si>
  <si>
    <t>Will utilize traditional film-making techniques</t>
  </si>
  <si>
    <t>One thing is sure. Cycling will not play a big part in the hustings for the election. There may be the odd mention of “cycling and walking” which, wrongly, are coupled together as green methods of transport, but there will be no serious discussion of how cycling could be an important contributor to two principal policies of government, supported generally on all sides: improving the environment and health.                                                                                                              It is really a no-brainer. Boosting cycling is a win-win situation. Not only does it reduce congestion in urban areas and reduce CO2 emissions, but it is an enormous fitness benefit. It presses all the right buttons.                                                      Yet, while all the main party transport teams parrot their support for cycling, little is happening on the ground. There is the odd cycle lane, which often delivers its hapless users into a main road full of 40-tonne HGVs and the occasional “shared use” path but cyclists are still, on the whole, treated as pariahs which get in the way of the big tin boxes that dominate the urban scene. Cyclists are, for the most part, there on sufferance rather than being welcomed as part of the solution to the congestion crisis in out towns and cities.                                                                                                                                                                                                                                         In Copenhagen, a city where cycling already has a modal share of over 30%, the traffic lights are set to the speed of the average cyclist, not cars, so they can flow through without stopping. When a British politician stands up and says this type of system should be installed in all our towns and cities, then they will get my vote. The crucial point is this: the European cities where cycling is the norm rather than the exception did not get like that by accident or because of their cultural inheritance. They got there because of long-term pro-cycling measures which have become universally popular. It’s time to make a start here</t>
  </si>
  <si>
    <t>After a year of doom-and –gloom talk about death panels and, as late as Sunday, that  “Armageddon” is coming, Democrats in Congress passed a health insurance reform to send to President Barack Obama.                                                                                                                                          The legislation is far from perfect. We would have liked to see a consortium or public opinion that would rev up competition among insurers.                                                                                                   But for all the complaints by Republican congressional leaders that they were locked out of reform negotiations, the legislation contains many of the elements that GOP leaders sought over the years. Among them, ending insurers’ practice of denying coverage to patients with pre-existing conditions or imposing lifetime limits on coverage.                                                                                                                                                                                                                                    Yet insurance experts have long noted that the only way to eliminate the practice of turning down people with pre-existing conditions would be to expand the pool of the insured. This legislation would do so, covering about 95 percent of Americans, either through required payments or subsidies.                                                                                                                                       There’s one detail that should be fixed now: the sustainable growth rate, or SGR, formula used by Medicare to pay doctors who treat the elderly.                                                                                           Virtually every year doctors treating Medicare patients brace for deep cuts. The convoluted SGR, created in 1997 in an attempt to bring down spiraling Medicare costs, has been blocked by Congress various times, but no fix has been devised.                                                                                                                                                      Doctors who treat Medicare patients make less today than they did almost a decade ago, according to the Dade County Medical Association, and other groups.                                                            Yet doctors have to employ more personnel to deal with insurance claims, and the cost of protecting against frivolous lawsuits also works against their bottom line.</t>
  </si>
  <si>
    <t xml:space="preserve">On the night, several years ago, that I tackled my nightstand, I should have known better. Jolted awake in the dark, my wife Alice peered over the covers to where I lay on the floor. I had lunged with open arms from our bed while still asleep, truly the consequence of an overactive imagination. Alice joked that we should dust off the kids’ bed rails.                                                                 Since that night, we have been forced to take my wildest dreams more seriously. In a re-occurrence months later, I “blocked” Alice in bed, envisioning instead a defensive lineman and, more recently, I punched the headboard with my fist, thinking instead that I was protecting my parents from an assailant. What makes these incidents all the more bizarre is that three years ago, having written on the history of sleep, including its disorders, I began to collaborate with Dr. John Shneerson, the director of the largest sleep centre in the United Kingdom, at Papworth Hospital. Our project: a series of papers devoted to sleep violence.                                                                                                        Despite the anguish caused by insomnia, it is far from the most frightening sleep abnormality. Nor, in contrast to the terror of nightmares, are the consequences of sleep violence confined to the unconscious. In extreme cases, sleepers have been known to inflict violence, even death, upon family members as well as physical injury or worse upon themselves.                                        In recent years, sleep violence has figured in a number of high-profile criminal cases. Just this past November, a retired Welsh steel worker, Brian Thomas, admitted strangling his wife in their camper while dreaming of fighting off an intruder. Not only did Thomas have a history of sleepwalking, but a polysomnograghy test, which monitors brain-waves and eye movements among other functions, was compelling enough for prosecutors to withdraw all charges. Better known, perhaps, was the case of Kenneth Parks, an unemployed Canadian whose murder of his mother-in-law in 1987 inspired a television movie, “The Sleepwalker Killing” (1997). Having no motive for the crime and a history of sleepwalking, Parks was acquitted by an Ontario jury. </t>
  </si>
  <si>
    <t xml:space="preserve">In almost any city, anywhere in the world, you could find yourself stuck in a traffic jam from 0700 to 0900. But not in La Paz in Bolivia - 9a.m. is when rush hour really starts. People begin heading to work then, even if they were supposed to be at their office or factory 30 minutes or even an hour earlier. This chronic lateness is the result of what is known as “Bolivian time” which the government is now aiming to tackle with bonuses for punctual workers.                                                                                                                                                                                                                            Samuel Mendoza, a taxi driver in La Paz, considers himself a Bolivian exception. Because he works mainly with foreigners, he says, he is forced to be on time. Mr. Mendoza knows his compatriots well. Most Bolivians, he explains, take being late as part of their duty. “Bolivians are really irresponsible, there is no culture of punctuality here, they don’t arrive on time to work or anywhere else, it seems they don’t wear a watch on their wrist,” he says. “It is just something very Bolivian.”                                                                                                                                   Indeed it is. In Bolivia, if you are told to meet somebody at a certain time, it is quite likely that the person will show up 30 minutes late-if you are lucky. But the Bolivian government thinks things should change. It is working on a labor reform that, among other things, aims to break this national habit of arriving late for everything, from work to meetings to dates. And the government has decided that the only way to change habits is to offer a financial incentive.    In one of South America’s poorest countries, that extra money might mean a lot to many people. “Bolivians are not traditionally known for their time-keeping. So Bolivians who arrive at work on the dot every day could get a ‘punctuality bonus’, a recognition,” Victor Hugo Chavez, a lawyer from the Ministry of Labor, told the B.B.C. And it might mean a lot for the economy. The government of President Evo Morales believes Bolivians’ tardiness costs the country millions of dollars in lost work time. </t>
  </si>
  <si>
    <t>Mattel said the use of names will add a “new dimension” to Scrabble.                                                                     The rules of word game Scrabble are being changed for the first time in its history to allow the use of proper nouns, games company Mattel has said. Place names, people’s names and company names or brands will now count. Mattel, which brings out a new version of the game containing amended rules in July, hopes the change will encourage younger people to play.      Until now a few proper nouns had been allowed which were determined by a word list based on the Collins dictionary.                                                                                                                                             In Scrabble, players try to gain the highest points by making words with individual letter tiles on a grid board. Each letter tile has a points value between one and ten, based on the letter’s frequency in standard English. Various colored squares on the board can double or triple a player’s points.                                                                                                                                                   Mattel said there would be no hard and fast rule over whether a proper noun was correct or not. A spokeswoman for the company said the use of proper nouns would “add a new dimension” to Scrabble and “introduce an element of popular culture into the game”. She said: “This is one of a number of twists and challenges included that we believe existing fans will enjoy and will also enable younger fans and families to get involved.”                                                                      However, Mattel said it would not be doing away with the old rules altogether. It will continue to sell a board with the original rules. Scrabble was invented in 1938 by American-born architect Alfred Butts. He later sold the rights and it was trademarked in 1948.</t>
  </si>
  <si>
    <t xml:space="preserve">A Jordanian mayor is considering suing a newspaper over an April Fools’ Day report saying aliens landed nearby. Al- Ghad’s front-page story on 1 April said flying saucers flown by 3m (10ft) creatures had landed in the desert town of Jafr, in eastern Jordan. It said communication networks went down and frightened townspeople fled into the streets. The mayor, Mohammed Mleihan, said parents were so frightened they did not send their children to school that day. He immediately notified the security authorities, who he said combed the area looking for the aliens. They did not find any.                                                                                                                 Al-Ghad’s  front page piece said the giant aliens had arrived on flying saucers lighting up the Jordanian desert town of Jafr, some 300 kilometres ( 190 miles) east of Amman. Moussa Barhoumeh, Al Ghad’s managing editor, said the newspaper was simply having some good natured fun on April Fools’ Day, and had apologized for any inconvenience caused. “ We meant to entertain, not scare people,” he said.                                                                                                                   Mr Barhoumeh did not say why Jafr was chosen as the butt of the joke, but the area is notorious for a nearby military base that sometimes hosts US troops for joint training exercises. While April Fools’ Day jokes appearing in the press may be a great British tradition, this is not the case in Jordan, says the B.B.C.’s Dale Gavlak in the capital, Amman. While Egyptians are renowned as the big jokers in the Arab world, able to easily laugh at just about anything, the Jordanians are considered more serious. Although some are trying to change that perception by hosting a yearly international comedy festival in Amman, for Jafr’s mayor, this was clearly a joke that just went too far, our correspondent adds. </t>
  </si>
  <si>
    <r>
      <t>Green groupies of government who fancy themselves on the leading edge of chic-think for their opposition to nuclear power had better rethink their style. Joining-in fact-leading-the ranks of those who think nuke is cool is none other than the man who defines progressive ideas: super-entrepreneur Bill Gates.                                                                                                              Those anti-nuke obstructionists suddenly find themselves looking very 20</t>
    </r>
    <r>
      <rPr>
        <vertAlign val="superscript"/>
        <sz val="11"/>
        <color theme="1"/>
        <rFont val="Calibri"/>
        <family val="2"/>
        <scheme val="minor"/>
      </rPr>
      <t>th</t>
    </r>
    <r>
      <rPr>
        <sz val="11"/>
        <color theme="1"/>
        <rFont val="Calibri"/>
        <family val="2"/>
        <scheme val="minor"/>
      </rPr>
      <t xml:space="preserve"> century as the co-founder of Microsoft moves ahead with futuristic plans to deliver clean, inexpensive power to an energy-needy world. The software genius already has remade the planet once by leading the personal computer revolution and helping millions of individuals worldwide create wealth. Now he stands to do so again by backing a next-generation nuclear technology, called a traveling-wave reactor.                                                                                                                                                   At a February conference in Long Beach, Calif.,Mr. Gates waxed enthusiastically about his plans. “If you gave me only one wish for the next 50 years, it’d be to invent the thing that halves the cost of energy with no carbon dioxide. This is the one thing with the greatest impact,” he told the TED (Technology, Entertainment, Design) Conference, referring to his project.                                                                                                                                                                        His wish got a major boost when Terra-Power, his start-up company, announced two weeks ago that it is negotiating with Toshiba Corp. to build the micro-reactors, which could enter production in 2014 if approved for use in the United States. On March 25, Energy Secretary Steven Chu inaugurated a blue-ribbon commission of scientists and policymakers who will spend the next two years discussing a long-term solution to managing the nation’s used nuclear fuel waste.</t>
    </r>
  </si>
  <si>
    <t>According to recent polls, 60 percent of Americans think the country is heading in the wrong direction. The same percentage believe that the U.S. is in long-term decline. The political system is dysfunctional. A fiscal crisis looks unavoidable. There are plenty of reasons to be gloomy.                                                                                                                                                                         But if you want to read about them, stop right here. This column is a great luscious orgy of optimism. Because the fact is, despite all the problems, America’s future is exceedingly bright. Over the next 40 years, demographers estimate that the U.S. population will surge by an additional 100 million people, to 400 million over all. The population will be enterprising and relatively young. In 2050, only a quarter will be over 60, compared with 31 percent in China and 41 percent in Japan.                                                                                                                                                       In his book, “The Next Hundred Million: America in 2050,” uber-geographer Joel Kotkin sketches out how this growth will change the national landscape. Extrapolating from current trends, he describes an archipelago of vibrant suburban town centers, villages and urban cores.                                                                                                                                                                             The demographic growth is driven partly by fertility. The American fertility rate is 50 percent higher than Russia, Germany or Japan, and much higher than China.                                                                          In addition, the U.S. remains a magnet for immigrants. Global attitudes about immigration are diverging, and the U.S. is among the best at assimilating them (while China is exceptionally poor.) As a result, half the world’s skilled immigrants come to the U.S.                                                                 The United States already measures at the top or close to the top of nearly every global measure of economic competitiveness. A comprehensive 2008 Rand Corporation study found that the U.S. leads the world in scientific and technological development. In sum, the U.S.is on the verge of a demographic, economic and social revival, built on its historic strengths</t>
  </si>
  <si>
    <t>Jose Padilla, a commercial truck driver, Vietnam veteran and native of Honduras, has lived legally in the United States for 40 years. He was arrested in Kentucky after he was found with a large amount of marijuana in his tractor-trailer. He was charged with drug offenses that would make his deportation virtually mandatory.                                                                                                                      When Mr.Padilla asked his lawyer about the consequences of pleading guilty, he said that he was told that he did not need to worry about his immigration status since he had been in the country so long. When he faced deportation, Mr Padilla argued that he pleaded guilty only because of that erroneous advice. The Supreme Court of Kentucky rejected his claim. It said his right to effective assistance of counsel did not apply because deportation was merely a “collateral” consequence of his conviction.                                                                                                             The Supreme Court voted 7-to-2 to reverse. Justice John Paul Stevens, writing for a 5-member majority, said judges used to have considerable discretion about whether a noncitizen should be deported after being convicted of a crime. Because much of that discretion has been taken away, correct legal advice is more important than before for immigrants. Justice Stevens said it was wrong to dismiss deportation as a “collateral” issue because deportation is nearly automatic in many cases.                                                                                                                                        The court went on to rule that if Mr.Padilla’s account was correct, his lawyer had not met the constitutional standard. The court noted that the ability to remain in the country can be more important to a client than the possibility of a jail sentence. And it would not have been difficult for Mr. Padilla’s lawyer to ascertain that a guilty plea would put him at considerable risk of deportation.                                                                                                                                                                   To get relief, Mr. Padilla still needs to show that he was actually prejudiced by the bad advice. No matter how this case is resolved, it has already established a constitutional principle that will help ensure that the Sixth Amendment rights of immigrants are protected.</t>
  </si>
  <si>
    <t>There’s a  view that dictatorships are good for artistic life. On the one hand, they throw public money at cinema, architecture and monumental sculpture, producing mounds of propagandist kitsch, of course, but also providing the wherewithal for real talents to learn their trade. This has been true of cinema in the Soviet Union and Iran. On the other hand, they make the life of the creative dissident truly adventurous, stimulating a defiant heroism that western writers in the late Soviet era found inspiring.                                                                                                                      But as we celebrate what is-let’s not forget-the greatest collective act ever invented by human beings, a free election, it’s worth noting that such claims for totalitarianism’s cultural strength are daft. Let’s begin with visual art. Britain was not exactly a democracy when William Hogarth painted his Election series, now in Sir John Soane’s Museum, but the scenes he portrays-corruption, violence -do revel in a grotesquely comic British liberty. It is still recognizable as an election. Hogarth and the political satirists who followed him in Georgian England surely helped to lay the foundations of real democracy with their irreverent popular art.                                                                                                                                                                                 But democracy has poets on its side, too. What about Walt Whitman, singing the song of democratic America? Go back to classical Athens, and the highest ideals of excellence in literature and art we uphold today were born in a democratic city, not a totalitarian one.                                    You could argue that the amazing cultural strength of America 60 years ago, when Jackson Pollock was painting, was down to a cult of freedom. Did Pollack fit an American more than a Soviet view of life? Er, yeah, in the sense that his art captured the liberty and energy of living in a country where you elect your leaders and can say what you like about them. So did modern jazz. So did rock ‘n’ roll….                                                                                                                                  We’re about to prove with our votes what our art has been proving for centuries: it’s a free country.</t>
  </si>
  <si>
    <t>Malaysia’s government has announced it will record the body mass index of students on report cards as part of a campaign to fight obesity. The Malaysian health minister says the country has the highest percentage of obese citizens in Southeast Asia. Teachers now have to measure students’ body weight and height to see if they have a healthy amount of body fat. The authorities say this will help parents monitor whether their child is overweight or obese. It might seem controversial, but even teenage girls, who are usually self-conscious, say they do not mind the move.                                                                                                                                                    The government says that one in six Malaysians is either overweight or obese. But it is not just because of the increasing number of fast food restaurants – Malaysian cuisine is also full of deep-fried, oily and spicy dishes. Parents like Saiful say it is very difficult to get Malaysians to eat more healthily: “Because our main food in Malaysia is coconut rice and everything in our foods must use coconut milk. Not so healthy, not healthy at all!”                                                                        One of the ways the government is trying to tackle obesity is to get Malaysians to take in less sugar. Since last year they have been running a campaign, but it has been very difficult. Roadside food stalls, which are hugely popular among Malaysian families, serve very sugary drinks. There is a sense that it would be very difficult for Malaysians to stop indulging their sweet tooth</t>
  </si>
  <si>
    <t>When Rafael Correa became president of Ecuador in January 2007, he was sworn in in unique style. The ceremony took place in the Andean town of Zumbahua and Mr. Correa wore an embroidered shirt typical of some highland villages. Shamans shook sacred herbs over his head to protect his “Citizens’ Revolution” from evil spirits. Then, some of the country’s indigenous leaders handed him a scepter with colorful ribbons to show they accepted him as president. “I will never fail you,” Mr. Correa promised. In a country where a quarter of the population is indigenous, he was the first president to be officially invested according to indigenous traditions.                                                                                                                                                                         But the same indigenous leaders are now considering taking back that scepter –a sign of how unpopular the president has become among those who helped him come to power in the first place. After an initial honeymoon period, Mr. Correa and indigenous groups have clashed over several issues. Indigenous organizations have marched against the government’s policies on mining, because they want the right to veto new projects on their ancestral land. They stalled the approval in Congress of a new water law, which would take control of irrigation away from individual communities and give it to a new state agency. The administration of justice in native areas has also been a bone of contention. In March, the Confederation of Indigenous Nationalities of Ecuador filed a lawsuit against President Correa and his government for alleged genocide of two native populations in the Amazon region - an accusation Mr. Correa dismissed as “ridiculous.”</t>
  </si>
  <si>
    <t>Wal-Mart has said it will soon bring back the sale of firearms, including rifles and shotguns, at more than 500 of its US stores. The retail giant stopped selling guns at hundreds of its 3,600 US stores in 2006, citing slumping consumer demand. But a spokesman said guns would return to the shelves as “part of the overall push to bring 8,000 products back.” Thursday’s news comes two months after Wal-Mart announced a seventh straight quarterly decline in US sales.                              Wal-Mart will be stocking more merchandise in a wide range of its stores in an effort to “offer customers the broadest assortment of our products possible,” spokesman Lorenzo Lopez told the BBC. He added that firearms would be part of that push, which he said had been planned for months. “A few years back...we were trying to streamline the assortment,” Mr. Lopez said, referring to the decision in 2006 to cease stocking firearms in many Wal-Mart stores. Wal-Mart currently sells rifles, shotguns and ammunition at about 1,000 of its locations in the US. That will rise to roughly half its 3,600 stores under the changes outlined on Thursday. Mr. Lopez said Wal-Mart was focusing on areas of the country where hunting and fishing are popular. Federally-tracked gun sales grew more than 12% in the first quarter of 2011. However, growth has mainly been seen in handguns, which Wal-Mart does not carry.</t>
  </si>
  <si>
    <t>A Mayan sculpture that fetched 2.9m Euros ($4.2m) at a Paris auction is a fake, Mexican officials believe. The French auction house Drouot maintains that the statue, of a masked figure carrying a shield, is genuine and more than 1,000 years old. But Mexico’s National Institute of Anthropology and History says it does not match the style of the period it was supposedly from. Another 66 pieces at Monday’s auction were also fakes, the institute said. The Mexican foreign ministry has informed French authorities.                                                                               “The figure tries to recreate the Pre-Columbian features of the Maya region in southeastern Mexico, but the height, the posture and the flexed legs and the boot straps are not characteristic of this culture,” the institute said. The institute suggested that it had been carefully carved to give an ancient appearance. But the expert in Pre-Columbian art at Drouot, Jacques Blazy, told AFP news agency: “Mexico’s accusations are totally ridiculous. They are completely baseless. It is a well-known artifact that has been thoroughly analyzed.” The 1.65m statue, sold by a private collector to an anonymous European buyer, was the most expensive item at the sale.</t>
  </si>
  <si>
    <t>Air traffic controllers in the US have been advised to take 26-minute naps, after a string of incidents involving workers falling asleep. So is 26 minutes the ideal length of time for a nap? Referring to a 1995 study from NASA which he co-authored, NTSB member and fatigue expert Mark Rosekind said that a 26-minute nap would improve performance by 34% and alertness by 54%. There was other supporting evidence that said naps of between 20 and 30 minutes were beneficial, he said. His call for work naps is supported by the controllers’ union, which wants naps to be allowed in both overnight and day shifts. Beyond the aviation industry, combating fatigue is an issue that affects many people across all professions, working day and night, although it carries obvious risks in jobs that involve motoring or machinery.                                                    But other experts are doubtful that 26 minutes is the optimum napping time. “It’s a bit too long and risks you falling into a deep sleep,” says Jim Horne, director of the Sleep Research Council in the UK, which advises the government on guidelines for drivers. “Once you get beyond 20 minutes, you risk a deep sleep and you can be much more groggy when you wake up. What we recommend is that a nap is combined with a cup of coffee so you have some caffeine, and that takes about 20 minutes to kick in. Have a cup of coffee and get your head down. Done together it has a more powerful effect. A lot of people take caffeine after they wake up, but you have a window of opportunity of 20 minutes, so it will help you wake up. It works, there’s no doubt about it.”</t>
  </si>
  <si>
    <t>A Chinese publisher is set to bring out the first ever authorized edition of Gabriel Garcia Marquez’s ‘ One Hundred Years of Solitude’ in Chinese, after winning the auction for the rights with a fee reported to be in excess of $1m. Pirated editions of the Nobel prize-winning author’s most famous novel have been rife in China for decades. The piracy so enraged Marquez on a visit to the country in 1990 that he swore that even 150 years after his death his books would not be authorized in China, according to Chinese newspaper, ‘The Global Times.’                                                                                                   But Thinkingdom House editor-in-chief Chen Mingjun refused to take no for an answer, writing a letter to the author in 2008 which according to the ‘Global Times’ read: “We must pay our respects to you across the Pacific Ocean, making every effort, shouting ‘great master!’ just like you did to your idol Hemingway across the streets in Paris… We believe you’d also wave your hand and shout back ‘Hello friend!’ just like Hemingway did.”                                                                       Thinkingdom House emerged triumphant from the auction for the Chinese rights in ‘One Hundred Years of Solitude’ which followed. It will publish the book this summer, and is also promising a crackdown on pirated editions of Marquez’s story of generations of the Buendia family.                                                                                                                                                                             Jo Lusby, managing director of Penguin China, which publishes the English language edition of ‘One Hundred Years of Solitude’, said the size of the advance had “already created an enormous amount of interest” in the novel, despite it being “widely available in pirated forms for a long time.” The deal, however, “does serve to demonstrate why China is at a fascinating point”, she added. “Even at a time when writers and artists (such as Ai Weiwei) are disappearing in crackdowns, publishers are bullish about the future, and it’s one of the few places in the world where you can attend the opening of a large-scale chain bookstore. (I went to one in Beijing two weekends ago),” she said.</t>
  </si>
  <si>
    <t xml:space="preserve">Germany’s dramatic rethink over nuclear power has thrown up new problems, as the consequences of a retreat from atomic technology emerge. Just after Japan’s Fukushima nuclear disaster in March, Chancellor Angela Merkel announced a review of energy policy and ordered Germany’s oldest reactors to be shut down immediately, and perhaps permanently. Only a few months earlier, she had decided to keep the reactors running past their original shutdown dates. But only now comes the hard bit. Power companies have warned of higher prices because of the shutdown; Germany has imported electricity to meet peaks in demand; analysts have warned that coal-fired power stations will be boosted – and nuclear ones in the nearby Czech Republic and France. And right in the heart of the country, protest groups are raising their voices as they realize that rejigging a country’s energy industry means redirecting the transmission lines through their picturesque backyard. The difficulty is that many of the threatened nuclear power stations are in the south, situated conveniently for the big energy users like the cities of Munich and Stuttgart and manufacturers like Volkswagen. If these southern nuclear generators are decommissioned, the idea is that wind farms in the north might take up the slack. But that implies new high-voltage cables with very high pylons to match. A new grid of high-voltage cables is proposed right through the heart of Germany. The route goes through the Rennsteig, the beautiful ridge of deep-green, forested hills that stretches for more than 160km down the centre of the country. It is where Germans come to hike in what they feel is the idyllic embodiment of their country.                                                                   Germany’s Economy Minister Rainer Bruederle said planning rules should be changed so that applications could be handled centrally. That would take decision-making further from the local opponents of particular projects and nearer to a national body. So Germany – like other countries repelled by nuclear power - now has some tough choices. Wind is not an easy, cheap, swift alternative. Another unpleasant fuel may be easier –but it is one which green activists hate: coal. Professor Claudia Kemfert, an energy economist at the Institute of Economic research in Berlin, thinks the Japanese disaster will boost coal all over the world. </t>
  </si>
  <si>
    <t>d) The writer believes that the issue involving doctors who treat the elderly should be handled at a later date</t>
  </si>
  <si>
    <t>d) Alter the traditional impression of Jordanians</t>
  </si>
  <si>
    <t>d) Says it is feasible that the micro-reactors will begin production in 2014</t>
  </si>
  <si>
    <t>d) ) The U.S. fails to reach the top of global measures of economic competitiveness</t>
  </si>
  <si>
    <t>d) Prohibit roadside food stalls</t>
  </si>
  <si>
    <t>d) President Correa’s government was found to have committed genocide of native    populations</t>
  </si>
  <si>
    <t>d) Is considered too costly for employers</t>
  </si>
  <si>
    <t>d) In regards to publishing, China is isolated from the rest of the world</t>
  </si>
  <si>
    <t>d) Activists are opposed to a national body making decisions about local issues</t>
  </si>
  <si>
    <t>d) The cost of visiting a doctor is lower than what it will be when the new legislation is carried out</t>
  </si>
  <si>
    <t>d) Even environmentalists consider opposition to nuclear power to be impractical</t>
  </si>
  <si>
    <t>d) Teenage girls approve of the obesity campaign</t>
  </si>
  <si>
    <t>d) President Correa refused a gift he was offered by the indigenous population</t>
  </si>
  <si>
    <t>d) Handguns are the most popular firearm that Wal-Mart sells</t>
  </si>
  <si>
    <t>d) The Mexican Foreign Ministry defended the authenticity of the statue</t>
  </si>
  <si>
    <t>d) A nap of 15 minutes will leave you feeling more tired than before</t>
  </si>
  <si>
    <t>d) It has only been possible to obtain an illegally produced copy of ‘One Hundred Years of Solitude</t>
  </si>
  <si>
    <t>d) An over-reliance on coal and difficulty in obtaining it</t>
  </si>
  <si>
    <t>a) Only wealthy Americans are covered by health insurance</t>
  </si>
  <si>
    <t>a) Bill Gates’ stance on the nuclear issue is the same as that of environmentalists</t>
  </si>
  <si>
    <t>a) The ageing population in the U.S will exceed that of China and Japan</t>
  </si>
  <si>
    <t>a) It depends on the judge as to whether a noncitizen is deported after committing a crime</t>
  </si>
  <si>
    <t>a) Malaysians have difficulty eating sweet food.</t>
  </si>
  <si>
    <t>a) President Correa has fallen out of favor with the indigenous population</t>
  </si>
  <si>
    <t>a) Wal-Mart is selling firearms again due to customer demand</t>
  </si>
  <si>
    <t>a) A French art expert informed authorities that the statue was false</t>
  </si>
  <si>
    <t>a) It is inadvisable to drink coffee before a nap</t>
  </si>
  <si>
    <t>a) It has not been possible to obtain a copy of ‘One Hundred Years of Solitude.</t>
  </si>
  <si>
    <t>a) A reduction in power prices</t>
  </si>
  <si>
    <t>b) Been absolved of committing crimes while sleepwalking</t>
  </si>
  <si>
    <t>b) Emulate the British tradition of publishing April Fools’ Day jokes in the press</t>
  </si>
  <si>
    <t>b) The U.S. is experiencing a renewed growth as a result of its past</t>
  </si>
  <si>
    <t>c) ) The U.S. will experience a decline in economic growth</t>
  </si>
  <si>
    <t>b) Note statistics on the weight of pupils</t>
  </si>
  <si>
    <t>c) Start a campaign about the dangers of sugar</t>
  </si>
  <si>
    <t>b) The government of Ecuador was not invited to attend a summit on minority rights</t>
  </si>
  <si>
    <t>c) Indigenous communities have contested a water law</t>
  </si>
  <si>
    <t>b) Has received union support</t>
  </si>
  <si>
    <t>c) Is considered a danger to people involved in jobs with motoring or machinery</t>
  </si>
  <si>
    <t>b) Book publishers in China are not subdued by the crackdowns</t>
  </si>
  <si>
    <t>c) The publication of ‘One Hundred Years of Solitude’ is not likely to create much interest in China</t>
  </si>
  <si>
    <t>b) Local organizations could make decisions involving the energy sources in their areas</t>
  </si>
  <si>
    <t>c) Use of coal could become widespread</t>
  </si>
  <si>
    <t xml:space="preserve">1) The article affirms that currently:                                                                                                              </t>
  </si>
  <si>
    <t>2) We can conclude from the article that;</t>
  </si>
  <si>
    <t>3) According to the writer, the frightening part of his situation is that</t>
  </si>
  <si>
    <t>4)The writer refers to criminal cases in which suspects have:</t>
  </si>
  <si>
    <t>5) We could say that Samuel Mendoza</t>
  </si>
  <si>
    <t xml:space="preserve">6) The Bolivian Government wishes to: </t>
  </si>
  <si>
    <t xml:space="preserve">7) The game company Mattel is going to: </t>
  </si>
  <si>
    <t>8) Mattel expects that;</t>
  </si>
  <si>
    <t>9) From the general reaction to the April Fool’s Day report, we could conclude that many of the Jafr townspeople are:</t>
  </si>
  <si>
    <t>10) It seems that in Jordan there are efforts to:</t>
  </si>
  <si>
    <t>11) The writer points out that:</t>
  </si>
  <si>
    <t>12) Bill Gates’ company, Terra-power:</t>
  </si>
  <si>
    <t xml:space="preserve">13) According to what is stated in the article, in the future it is expected that: </t>
  </si>
  <si>
    <t xml:space="preserve">14) The writer believes that: </t>
  </si>
  <si>
    <t xml:space="preserve">15) According to Justice John Paul Stevens: </t>
  </si>
  <si>
    <t xml:space="preserve">16) In conclusion, it appears that Mr.Padilla’s case has led to: </t>
  </si>
  <si>
    <t xml:space="preserve">17) The writer suggests that: </t>
  </si>
  <si>
    <t>18) The writer concludes by pointing out that:</t>
  </si>
  <si>
    <t xml:space="preserve">19) We can conclude from the report that; </t>
  </si>
  <si>
    <t xml:space="preserve">20) In the future, the Malaysian government intends to; </t>
  </si>
  <si>
    <t>21) The report informs us that;</t>
  </si>
  <si>
    <t>22) An issue that has caused problems between President Correa and indigenous groups is that;</t>
  </si>
  <si>
    <t xml:space="preserve">24) According to the report; </t>
  </si>
  <si>
    <t xml:space="preserve">25) According to the Sleep Research Council; </t>
  </si>
  <si>
    <t>26) The idea of initiating naps at work;</t>
  </si>
  <si>
    <t>27) In China, until now</t>
  </si>
  <si>
    <t>28) According to Jo Lusby, managing director of Penguin China;</t>
  </si>
  <si>
    <t xml:space="preserve">29) One of the side effects of shutting down Germany’s nuclear power stations could be; </t>
  </si>
  <si>
    <t xml:space="preserve">30) It has been suggested that; </t>
  </si>
  <si>
    <t>c) Does not require that safety procedures be applied</t>
  </si>
  <si>
    <t>b) He performed hip surgery on Tiger Woods</t>
  </si>
  <si>
    <t>b) Shocked about the election of Caroline Lucas</t>
  </si>
  <si>
    <t>c) Enraged about the election of Caroline Lucas</t>
  </si>
  <si>
    <t>d) Indifferent about the election of Caroline Lucas</t>
  </si>
  <si>
    <t>c) Decisions are best made when everything appears flexible</t>
  </si>
  <si>
    <t>d) Decisions made now will be easy to change later on</t>
  </si>
  <si>
    <t>a) Professional obligations</t>
  </si>
  <si>
    <t>b) Academic responsibilities</t>
  </si>
  <si>
    <t>c) Artistic abilities</t>
  </si>
  <si>
    <t>d) Medical problems</t>
  </si>
  <si>
    <t>a) Social changes in China are the result of the expanding economy</t>
  </si>
  <si>
    <t>b) China’s population is now predominantly urban</t>
  </si>
  <si>
    <t>a) The majority of self-employed people in New York are immigrants</t>
  </si>
  <si>
    <t>b) Self-employed US natives are more likely to enjoy long-term success than self-employed immigrants</t>
  </si>
  <si>
    <t>c) Self-employed immigrants are more likely to succeed in business than self-employed US natives</t>
  </si>
  <si>
    <t>a) The satellite launch experienced a setback</t>
  </si>
  <si>
    <t>b) The satellite will investigate how the planet is affected by people</t>
  </si>
  <si>
    <t>c) The satellite was launched successfully on the second attempt</t>
  </si>
  <si>
    <t>a) They needed to eat meat</t>
  </si>
  <si>
    <t>b) Their teeth needed to replace themselves</t>
  </si>
  <si>
    <t>c) They experienced many tooth infections</t>
  </si>
  <si>
    <t>a) That Canada has the largest quantity of oil reserves</t>
  </si>
  <si>
    <t>d) Canada will deny the U.S. A. access to the oil by pipeline</t>
  </si>
  <si>
    <t>a) The accounts given by Galea’s assistant could become a problem for Rodriguez</t>
  </si>
  <si>
    <t>b) Galea’s assistant denied that Rodriguez was dosed with a mixture of drugs</t>
  </si>
  <si>
    <t>c) Galea’s assistant administered the mixture of drugs to Rodriguez</t>
  </si>
  <si>
    <t>d) Galea’s assistant does not wish to be identified</t>
  </si>
  <si>
    <t>b) Sell rune and casting stones in the local market</t>
  </si>
  <si>
    <t>c) Sew rune and casting stones for the local market</t>
  </si>
  <si>
    <t>a) Lied in order to avoid serving in Vietnam</t>
  </si>
  <si>
    <t>b) Falsely claim to have served in Vietnam</t>
  </si>
  <si>
    <t>a) China’s population has declined rather than increased over the past ten years</t>
  </si>
  <si>
    <t>b) Fewer Chinese now work in factories than previously</t>
  </si>
  <si>
    <t>c) More Chinese are working away from home than previously</t>
  </si>
  <si>
    <t>d) The unemployment rate in China is increasing</t>
  </si>
  <si>
    <t>a) The wider availability of industrial jobs</t>
  </si>
  <si>
    <t>b) It is easier to obtain the finance needed to start a business</t>
  </si>
  <si>
    <t>c) The available property is inexpensive</t>
  </si>
  <si>
    <t>a) The patriotic pride of India’s citizens</t>
  </si>
  <si>
    <t>b) Support from NASA</t>
  </si>
  <si>
    <t>c) The success of its first manned space flight</t>
  </si>
  <si>
    <t>d) Reductions in spending by NASA</t>
  </si>
  <si>
    <t xml:space="preserve">23) Which of the following is true? </t>
  </si>
  <si>
    <t>D. I do not have the stamina to do what he did</t>
  </si>
  <si>
    <t>A. They will have to take a credit card to the U.S.A</t>
  </si>
  <si>
    <t>A. Mrs. Peters made an offer of $500 for the grandfather clock</t>
  </si>
  <si>
    <t>B. My cousin is also Welsh</t>
  </si>
  <si>
    <t>B. Mrs. Peters wanted to buy the grandfather clock for her family</t>
  </si>
  <si>
    <t>D. Both her uncle and his son come from Wales</t>
  </si>
  <si>
    <t>D. He’s not here yet</t>
  </si>
  <si>
    <t>C. The grandfather clock Mrs. Peters inherited was sold for five hundred dollars</t>
  </si>
  <si>
    <t>C. In some countries, it’s difficult to get a credit card</t>
  </si>
  <si>
    <t>C. The boss called about the meeting</t>
  </si>
  <si>
    <t>A. Pat is acting like a child tonight</t>
  </si>
  <si>
    <t>A. It has not rained since spring</t>
  </si>
  <si>
    <t>C. I don’t believe it will rain in October</t>
  </si>
  <si>
    <t>D. Pat doesn’t mind Jill’s baby</t>
  </si>
  <si>
    <t>D. It has not stopped raining for a while</t>
  </si>
  <si>
    <t>D. Paul has the necessary qualifications for the job</t>
  </si>
  <si>
    <t>D. The man's sister works daily in the country</t>
  </si>
  <si>
    <t>D. That she is learning to be a secretary</t>
  </si>
  <si>
    <t>D. He thought the movie was disappointing</t>
  </si>
  <si>
    <t>D. The batteries couldn’t be flat</t>
  </si>
  <si>
    <t>D. He will return the manual when he has finished</t>
  </si>
  <si>
    <r>
      <t xml:space="preserve">D. The media has helped to make the </t>
    </r>
    <r>
      <rPr>
        <i/>
        <sz val="11"/>
        <color theme="1"/>
        <rFont val="Arial"/>
        <family val="2"/>
      </rPr>
      <t xml:space="preserve">reki-jo </t>
    </r>
    <r>
      <rPr>
        <sz val="11"/>
        <color theme="1"/>
        <rFont val="Arial"/>
        <family val="2"/>
      </rPr>
      <t>popular</t>
    </r>
  </si>
  <si>
    <t>B. They wouldn’t let the survivors contact anyone</t>
  </si>
  <si>
    <t>D.  They provided a comfortable hotel for the survivors right away</t>
  </si>
  <si>
    <t>A.   He had been advised to marry his cousin</t>
  </si>
  <si>
    <t>C. His marriage to his first cousin affected his  health</t>
  </si>
  <si>
    <t>B. Their emotional profile doesn’t differ significantly from non-hoarders</t>
  </si>
  <si>
    <t>C.   Irene  is a hoarder who got rid of clutter to keep her husband</t>
  </si>
  <si>
    <t>D. In general, hoarders can’t get out of their houses</t>
  </si>
  <si>
    <t>A. Khodorkovsky is still the richest man in Russia</t>
  </si>
  <si>
    <t>B. The Yukos Oil Company once controlled 20% of the world’s oil</t>
  </si>
  <si>
    <t>C. Water systems are always well- maintained in the US</t>
  </si>
  <si>
    <t>D. Gleik’s book is causing problems in the US</t>
  </si>
  <si>
    <t>A. Two sets of twins met in a hotel</t>
  </si>
  <si>
    <t>B. There were two weddings</t>
  </si>
  <si>
    <t>C. The two brides wore different wedding dresses</t>
  </si>
  <si>
    <t>D. The twins were easy to tell apart</t>
  </si>
  <si>
    <t>B. She asked a newspaper to film her</t>
  </si>
  <si>
    <t xml:space="preserve">B. Seniesa’s father had been in street gangs in his youth </t>
  </si>
  <si>
    <t>C. Seniesa used to go to boxing matches when she was little</t>
  </si>
  <si>
    <t>D. Seneisa’s father thinks boxing is not for girls</t>
  </si>
  <si>
    <t xml:space="preserve">B. It is advisable for teenagers to delay drinking alcohol </t>
  </si>
  <si>
    <t>D. Alcohol abuse causes brain cells to develop</t>
  </si>
  <si>
    <t>A. To sell cereal the milk must be fresh</t>
  </si>
  <si>
    <t>C. If the ad is for milk, the milk can be real or digital</t>
  </si>
  <si>
    <t>C. Gas –pricing regulations in India do not affect the stock markets</t>
  </si>
  <si>
    <t>A. Caesar’s image was calculated to transmit specific qualities</t>
  </si>
  <si>
    <t>B. Caesar  introduced football to ancient Rome</t>
  </si>
  <si>
    <t>C. The bronze head of Caesar is in a gallery in Rome</t>
  </si>
  <si>
    <t>D. The tousled hair makes Caesar look old</t>
  </si>
  <si>
    <t>B. Michael Palin wanted to see a series of different landscapes</t>
  </si>
  <si>
    <t>C. The journey took more than a year</t>
  </si>
  <si>
    <t>D. Extreme weather made the journey difficult</t>
  </si>
  <si>
    <t>A. Pay-by-phone parking means people save money</t>
  </si>
  <si>
    <t>B. Pay-by-phone parking has been the norm in Europe for a long time</t>
  </si>
  <si>
    <t>24. Which of the following statements is correct according to what you have heard?</t>
  </si>
  <si>
    <t xml:space="preserve">27. What can be deduced from the extract about Charles Darwin? </t>
  </si>
  <si>
    <t>28. What can be deduced about hoarders from the experts?</t>
  </si>
  <si>
    <t>29. Which of the following statements is correct according to what you have heard?</t>
  </si>
  <si>
    <t>32. Which statement is true about Sarah Ferguson according to what you have heard?</t>
  </si>
  <si>
    <t>34. Which of the following statements is correct according to the extract?</t>
  </si>
  <si>
    <t>35. Choose the correct statement</t>
  </si>
  <si>
    <t>36. Which statement is true according to what you have heard?</t>
  </si>
  <si>
    <t>37. What can be deduced from the extract?</t>
  </si>
  <si>
    <t>38. What can be deduced from the extract?</t>
  </si>
  <si>
    <t>39. Which of the following statements is correct?</t>
  </si>
  <si>
    <t>40. Which of the statements is true according to what you have heard?</t>
  </si>
  <si>
    <t>B. McGregor didn’t finish the race</t>
  </si>
  <si>
    <t>A. McGregor beat O’Malley</t>
  </si>
  <si>
    <t>C. O'Malley beat McGregor</t>
  </si>
  <si>
    <t>RENOVADO JUN 11</t>
  </si>
  <si>
    <t>A. A visa is always necessary when you travel</t>
  </si>
  <si>
    <t>B. If the ad is for cereal, the milk doesn't have to be real</t>
  </si>
  <si>
    <t xml:space="preserve">President Nicolas Sarkozy admitted France’s “error of judgement” but stopped short of an apology in connection with the Rwandan 1994 genocide during his visit to the country on Thursday, aimed at kicking off a new era of diplomacy. French President Nicolas Sarkozy admitted Thursday at a joint press conference in Kigali with his Rwandan counterpart, Paul Kagame, that France had made “mistakes” at the time of the 1994 Rwandan genocide, in which 800,000 people, mainly from Kagame’s Tutsi minority were killed.                                                                                                                                                                      “What happened here is unacceptable, (and) compels the international community, including France, to reflect on the mistakes that stopped it from preventing and halting this abominable crime,” the French president told reporters.                                                                                                          The French leader also visited the main genocide memorial in Kigali. He observed a minute’s silence in front of one of the mass graves containing the remains of some 250,000 people and laid a wreath.                                                                                                                                                             The 1994 genocide arose from a complicated and long-standing conflict between Rwanda’s two main ethnic groups, the Tutsis and the Hutus. The man who held the post of Rwandan president at the time, Juvènal Habyarimana, was a Hutu who supported Hutu interests. He died on April 6, 1994, when his plane was shot down from the sky in an apparent assassination. The Hutus promptly blamed the Tutsis, unleashing the mass slaughter of Tutsis over the course of the following months. Sarkozy’s visit—the first by a French president to Rwanda since the genocide—marks an important step in the reconciliation between the two countries. In the past, Kagame has repeatedly accused Paris of aiding the genocide. </t>
  </si>
  <si>
    <t>Awalu Mohamed was one of the first to arrive in the mining village of Kuru Karama to discover burned human remains and corpses thrown into communal wells and sewage pits.                                          “There are so many, many corpses,” says Mr Mohamed, of the Jamatu Nasril Islam aid group. “We went to one family and found the entire family there, 20-something of them, including the small, small kids. All of them burned to ashes,” he says. He covers his eyes. He and other aid workers realized they were overwhelmed.                                                                                               Around the village, more bodies are being found every day. Those who tried to run from the gangs were hunted and cut down with machetes and guns around the settlement. Many people are still living in temporary shelters in and around Jos.                                                                        Most of the people I met were Hausa-speaking Muslims but Christian groups say they were also attacked by mobs.                                                                                                                                               The B.B.C. drove through burned out suburbs, villages and tiny settlements. The Bukuru Markets area-once a roaring hive of shops-is now a blackened bonfire under a blue sky. At least 1,000 businesses here were burned.                                                                                                           Jos sits on a tense dividing line between Nigeria’s mostly Hausa-speaking Muslim north, and the south where the majority is Christian or practice traditional religions. The town is predominantly Christian, with Hausa Muslims in the minority. But people here respect faith. Everyone insists this violence is not about religion. It is about politics, they say.                                                      Jos has an ugly history of violence at election times. Local politicians are accused of orchestrating violence to rig elections and intimidate their rivals.                                                                           “I want the government to intervene on this,” says Chibuzou Aghande, a Christian attending an emotional church service in Nassarawa, a few hundred yards from where the first troubles started. Worshippers spilled outside the church and hundreds packed the pews inside. “Our diversity is meant to create harmony, not disharmony,” Archbishop Ignatius Kaigama told them. “Your gifts as a Christian should be put to good use so the Muslim can benefit. Your gifts as a Muslim should be put to good use so the Christian can benefit.”</t>
  </si>
  <si>
    <t>In a valedictory speech to the Association of School and College leaders, its general secretary, John Dunford, has suggested that a modern culture of “instant gratification” has made the job of teachers “immensely harder than it was even 10 years ago.” Tutored by television talent contests and online gaming, today’s  students, he argued, have come to expect instant results and are easily frustrated by anything which doesn’t deliver an immediate sense of progress. This raises a fairly substantial question about the “impatience” of today’s schoolchildren. Is it a culturally induced pathology which must be corrected by the application of old-fashioned kinds of hard work, as Dr Dunford himself seemed to hint by describing pupils as living in “a celebrity-dominated society where success appears to come instantly and without any real effort”? Or is it a justified frustration at teaching which has failed to keep pace with developments in the modern world? To put it another way, are they failing us- as several of the news reports implicitly hinted-or are we failing them? There’s a big difference, after all, between saying “the competition for children’s attention is stronger than it’s ever been” and saying “children just can’t concentrate any longer.” For those worried that it’s the latter rather than the former, I would offer two notes of caution. The first would be that anyone who believes that computer games offer no tuition in deferred gratification or the unbreakable connection between effort and reward has never watched a child playing one. You might prefer your 14 year-old to pour as many hours into a real guitar as they seem willing to do into a virtual one-but that they are still capable of drudgery in pursuit of perfection is undeniable. It suggests that with the right kinds of rewards-with genuinely playful teaching, for example-extraordinary things could be achieved. There isn’t an inherent problem with their powers of concentration.                                                                                                                                                            The second point would be this: how far do today’s schoolchildren really have to look to encounter a system which is impatient of slow development and careful nurture? They are subject to an education system that seems to insist on instant results, as narrowly defined and inflexible as a poorly defined video game. Frankly, if they’re a little impatient and demanding in return I’m not entirely surprised.</t>
  </si>
  <si>
    <t>I read with great sadness about the Desarmes family who, after the terrible quake there, left Haiti to go and stay with their eldest son in….Chile. Having now survived two huge quakes, they are living in the garden in understandable fear of another. Spared the appalling experience of the Desarmeses , I am currently staying at the top of a very high building in Alamaty, the former capital of Kazakhstan and getting more and more paranoid about earthquakes. These seem to be happening all over the globe at the moment and Almaty is in a high risk area. The whole city was destroyed by a huge earthquake in 1911 with only one building, the wooden Cathedral of Holy Ascension, surviving. Locals at the time believed that the spiritual nature of the building spared it, but scientists (they always ruin this kind of stuff) now feel the unique wooden construction of the cathedral had allowed it to expand and absorb the shock.                                                                                                                                          Modern day Almaty arose out of the ruins- a tree-lined Soviet city built on an efficient grid system. The state department has ranked the earthquake threat here as a level 4 (the highest it assigns.) Locals expect another big one at any time.                                                                                        Almaty has not been lucky with Nature. The city sits right under the beautiful Tien Shan mountain range whose snow-capped peaks of more than 4,000 metres form a wonderful backdrop. Unfortunately, the mountains seem keen to visit the city. A huge mudslide hit Almaty in 1921, causing great loss of life, and you still come across huge boulders that lie around like embarrassed conquerors.                                                                                                                All this is too much information for a visitor as I wandered about the city trying to avoid the odour of freshly grilled horse shashlik. I jumped nervously every time a large lorry roared past, and flinched whenever an angry babushka slammed a door. After a while, I decided that vodka was the answer. It worked wonders. After a couple of toasts in honour of my parents, my Labrador…..my TV….I was blissfully unconcerned about the possibilities of a quake.</t>
  </si>
  <si>
    <t xml:space="preserve">Nubia Legarda is a young woman from El Paso, Texas and Students for Sensible Drug Policy member. Just one year ago, she gave evidence to her city council urging them to pass a resolution on the violence in the Mexican border city of Juarez, and to promote a national debate over drug legalization. While the resolution was initially passed, a number of representatives changed their minds after receiving pressure from the federal government, fearing that funding to the city would be cut in the event it passed.                                                             Nubia has been unable to visit family in Juarez out of fear for the violence that is a daily feature of life there. She is just one of millions of young people around the world whose lives have been caught up in the war on drugs. Last Thursday, people around the world lit candles to remember 16 young people who were murdered at a student house party in Juarez. They were celebrating when gunmen drove up to their house and opened fire on their victims. It is suspected that they mistook the address for that of a rival drugs gang.                                                            Last week, the El Paso city council passed a resolution to condemn the gang violence in Juarez, calling for a presidential summit on the drug war. Deleted from that motion again was a paragraph calling for the legalized regulation of cannibas by the US government. Clearly, the elimination of a major source of income from the cartels through the regulation of sales would remove much of the profit incentive for impoverished but unscrupulous individuals to risk their lives and liberty by getting involved in a dangerous criminal empire, the product of global drug prohibition. </t>
  </si>
  <si>
    <t>General Santos, the Philippines – After a day of barbering, Rodolfo Gregorio went to his neighborhood karaoke bar still smelling of talcum powder. Putting aside his glass of Red Horse extra strong beer, he grasped a microphone with a habitue’s self-assuredness and briefly stilled the room with the Platter’s “My Prayer.”Next, he belted out crowd-pleasers by Tom Jones and Engelbert Humperdinck. But Mr. Gregorio, 63, a witness to countless fistfights and occasional stabbings erupting from disputes over karaoke singing did not dare choose one beloved classic: Frank Sinatra’s version of “My Way”. “I used to like “My Way”, but after all the trouble, I stopped singing it,” he said. “You can get killed.”                                                                                           The authorities do not know exactly how many people have been killed warbling “My Way” in karaoke bars over the years in the Philippines, or how many fatal fights it has fueled. But the news media have recorded at least half a dozen victims in the past decade and includes them in a subcategory of crime dubbed the “My Way” killings. The killings have produced urban legends about the song? Whatever the reason, many karaoke bars have removed the song from their playbooks. And the country’s many Sinatra lovers, like Mr. Gregorio here in this city in the southernmost Philippines, are practicing self-censorship out of perceived self-preservation.</t>
  </si>
  <si>
    <t xml:space="preserve">Shantytown residents fear that housing minister’s plan for satellite mapping could lead to expulsions. The people of the Hanuman Masdoor slum have enough to worry about already. If the women work at all, they are poorly paid cleaners. Most of the men are scavengers, gleaning a pitiful living from recycling the waste of Delhi’s 14 million inhabitants. Raw sewage flows past the homes-built over an open drain in the west of the city – and children play amid the rubbish and flies.                                                                                                                                                                 Now, the 1,000 families who live in the shantytown have fresh problems. The national government has announced an unprecedented initiative: mapping India’s slums. Though ministers claim the scheme will make life better for slum-dwellers, the inhabitants of Hanuman Masdoor are worried.                                                                                                                                       Supporters of the plan say it will allow municipal authorities to provide basic utilities where they are lacking and plan education and health services. But critics say the data gathered by the survey, almost certainly the biggest of its kind anywhere, will simply open up new opportunities for India’s notoriously aggressive land mafia.                                                                                The plan is ambitious. According to official statistics, a seventh of India’s urban population lives in the shanty towns. In cities such as Mumbai the proportion is much higher. The country’s slums-the result of huge influxes from poverty-stricken rural areas into the cities- have seen anarchic and unplanned growth. Using detailed images shot from satellites, the government aims to establish once and for all where India’s slums are and how many people live in them. </t>
  </si>
  <si>
    <r>
      <t>On February 11 1990, in one of the transcendent movements of the 20</t>
    </r>
    <r>
      <rPr>
        <vertAlign val="superscript"/>
        <sz val="11"/>
        <color theme="1"/>
        <rFont val="Calibri"/>
        <family val="2"/>
        <scheme val="minor"/>
      </rPr>
      <t>th</t>
    </r>
    <r>
      <rPr>
        <sz val="11"/>
        <color theme="1"/>
        <rFont val="Calibri"/>
        <family val="2"/>
        <scheme val="minor"/>
      </rPr>
      <t xml:space="preserve"> century, Nelson Mandela walked free from a jail in South Africa and gave hope to the world. It was one of those rare events that suspend our disbelief that human nature can ever change, that some crisis are not intractable, that in the end might does not always prevail . Twenty years on, the world has rarely been so in need of another Mandela moment.                                                                 Some imagined that this would be the age when globalization would conquer all. Humankind’s various tribalisms, of nationalism and religion, of race and color, would be made irrelevant on a wired-up planet where communication was instant and all enveloping. It has not been so. In this February of 2010, the old tribalisms appear stronger than ever, and beyond anyone’s power to control. The release of Mandela, combined with the collapse of communism in Eastern Europe, had seemed to signal the triumph of democracy. Today, by most accepted indices, freedom is on the retreat across the world and repression again on the advance. By their nature, tribalism and nationalism find it almost impossible to see beyond the interests of the group. That leads all too often to the view that one’s own group is automatically right and the others are wrong. Nelson Mandela was different. Tribes and nations have prejudices and grudges hardwired into their systems. They cannot forgive. But Mandela could, even after almost three decades in prison.                                                                                                                                                           Post-Mandela South Africa of course has not magically become a Utopia where every tribalism has vanished. Crime and corruption are rife. Tribalism and nationalism have driven human history, and probably they always will. Nonetheless, humanity would perish without hope, and every so often, something happens, or someone emerges, to renew that hope-to inspire us to believe that it need not always be so, that our species can become better. This is the domain of miracles and heroes. This is the domain in other words, of Nelson Mandela.</t>
    </r>
  </si>
  <si>
    <t>Tess Pennington, 33, is a mother of three children, and lives in the sprawling outskirts of Houston, Texas. But she is not taking the happy safety of her suburban existence lightly. Like a growing army of fellow Americans, Pennington is learning how to grow her own food, has stored emergency rations in her home and is taking courses on treating sickness with medicinal herbs. “I feel safe and more secure. I have taken personal responsibility for the safety of myself and my family,” Pennington said. “We have decided to be prepared. There are all kinds of disasters that can happen, natural and man-made.”                                                                                             Pennington is a “prepper”, a growing social movement that has been dubbed Survivalism Lite. Preppers believe that it is better to be safe than sorry and that preparing for disaster –be it a hurricane or the end of civilization –makes sense. Unlike the 1990’s survivalists, preppers come from all backgrounds and live all over America. They are just as likely to be found in a suburb or downtown loft as a remote ranch in the mountains. Prepping networks, which have sprung up all over the country in the past few years, provide advice on how to prepare food reserves, how to grow crops in your garden, how to hunt and how to defend yourself. There are prepping books, online shops, radio shows, countless blogs, prepping courses and prepping conferences.                                                                                                                                                          There are several reasons for the rise in prepping. The first is that, in the post 9/11 world, mass terror attacks have become a fear for many Americans. At a time when US diplomacy is focused on preventing Iran getting nuclear weapons and terror experts continue to warn of “dirty bombs” on American soil, it is no surprise that many Americans feel threatened. Added to that paranoia has come the recession. Suddenly, millions of Americans have been losing their jobs and their homes, reinforcing a feeling that society is not as stable as it once seemed</t>
  </si>
  <si>
    <t xml:space="preserve">15.  According to the article, John Dunford suggested in his speech that teaching is now more difficult than previously because;   </t>
  </si>
  <si>
    <t>21. Some of the city council representatives were reluctant to pass the resolution because;</t>
  </si>
  <si>
    <t xml:space="preserve">23. From the first paragraph in the article, we can assume that; </t>
  </si>
  <si>
    <t>25. The inhabitants of the Hanuman Masdoor slum;</t>
  </si>
  <si>
    <t>27. The article suggests that;</t>
  </si>
  <si>
    <t xml:space="preserve">29. Tess Pennington; </t>
  </si>
  <si>
    <t xml:space="preserve">22. The article states that; </t>
  </si>
  <si>
    <t>24. The article suggests that;</t>
  </si>
  <si>
    <t xml:space="preserve">26. The slums; </t>
  </si>
  <si>
    <t>28. The effect of Mandela has been;</t>
  </si>
  <si>
    <t xml:space="preserve">30. From the article we can assume; </t>
  </si>
  <si>
    <t>c) Inundated.</t>
  </si>
  <si>
    <t>a) Burnt</t>
  </si>
  <si>
    <t>c) Improvised</t>
  </si>
  <si>
    <t>a) They were worried about losing financial support</t>
  </si>
  <si>
    <t>b) They were worried about escalating gang violence</t>
  </si>
  <si>
    <t>c) They are opposed to the federal government</t>
  </si>
  <si>
    <t>d) They are active in the “war on drugs.”</t>
  </si>
  <si>
    <t>a) The audience enjoyed Rodolfo Gregorio’s version of “My Prayer.”</t>
  </si>
  <si>
    <t>b) No-one listened to Rodolfo Gregorio singing “My Prayer.”</t>
  </si>
  <si>
    <t>c) Rodolfo Gregorio is not a good singer</t>
  </si>
  <si>
    <t>d) There was no-one in the room when Rodolfo Gregorio sang “My Prayer.”</t>
  </si>
  <si>
    <t>a) Can see the benefits of the satellite mapping scheme</t>
  </si>
  <si>
    <t>b) Are worried they will have to leave their homes</t>
  </si>
  <si>
    <t>c) All work as cleaners</t>
  </si>
  <si>
    <t>d) Practice recycling</t>
  </si>
  <si>
    <t>a) Globalization has been the solution to the world’s ills</t>
  </si>
  <si>
    <t>b) Nationalism is disappearing</t>
  </si>
  <si>
    <t>c) Tribalists have a tendency to be prejudiced</t>
  </si>
  <si>
    <t>d) Democracy is due to the collapse of communism</t>
  </si>
  <si>
    <t>a) Has an emergency supply of food in her home</t>
  </si>
  <si>
    <t>b) Believes a disaster is imminent.</t>
  </si>
  <si>
    <t>c) Has taken up hunting</t>
  </si>
  <si>
    <t>d) Is planning to leave her suburban home</t>
  </si>
  <si>
    <t>a) The resolution that was passed called for the legalization of cannibas in the US</t>
  </si>
  <si>
    <t>b) A presidential summit on the drug war was held</t>
  </si>
  <si>
    <t>c) If cannibas were legalized in the US, drug dealers would lose money</t>
  </si>
  <si>
    <t>d) If cannibas were legalized in the US, the war on drugs would become more dangerous</t>
  </si>
  <si>
    <t>a) Frank Sinatra is not popular in the Philippines</t>
  </si>
  <si>
    <t>b) Frank Sinatra has performed in the Philippines</t>
  </si>
  <si>
    <t>c) A lot of Filipino karaoke bars don’t feature “My Way” anymore</t>
  </si>
  <si>
    <t>d) A lot of Filipino Karaoke bars widely feature “My Way.”</t>
  </si>
  <si>
    <t>a) Sprang up spontaneously</t>
  </si>
  <si>
    <t>b) Have managed to get the criminal element under control</t>
  </si>
  <si>
    <t>c) Are developing basic services and facilities</t>
  </si>
  <si>
    <t>d) Are providing new employment opportunities</t>
  </si>
  <si>
    <t>a) That South Africa has become a Utopia</t>
  </si>
  <si>
    <t>b) That South Africa has become more corrupt</t>
  </si>
  <si>
    <t>c) That South Africa no longer has tribes</t>
  </si>
  <si>
    <t>d) That humanity has renewed hope</t>
  </si>
  <si>
    <t>a) ‘Preppers’ are usually military people</t>
  </si>
  <si>
    <t>b) ‘Prepping’ began in response to the 9/11 terrorist attacks</t>
  </si>
  <si>
    <t>c) ‘Preppers’ usually live in remote locations</t>
  </si>
  <si>
    <t>d) Many Americans fear further terrorist attacks</t>
  </si>
  <si>
    <t>a) It has a history of political stability</t>
  </si>
  <si>
    <t>c) It has a large supply of diamonds and a growing diamond industry</t>
  </si>
  <si>
    <t>d) Poverty has been eliminated</t>
  </si>
  <si>
    <t>a) The illnesses patients had were found to be unrelated to smoking</t>
  </si>
  <si>
    <t>b) They had refused to treat certain patients</t>
  </si>
  <si>
    <t>c) Hospital funds were not found to be badly affected</t>
  </si>
  <si>
    <t>d) The tobacco companies were found to be losing profits</t>
  </si>
  <si>
    <t>a) Higher rainfall</t>
  </si>
  <si>
    <t>b) Lower rainfall</t>
  </si>
  <si>
    <t>c) Increased warmth</t>
  </si>
  <si>
    <t>d) A drop in temperatures</t>
  </si>
  <si>
    <t>a) The population of pink dolphins increased more rapidly after the drought</t>
  </si>
  <si>
    <t>b) The population of pink dolphins increased more rapidly before the drought</t>
  </si>
  <si>
    <t>c) The pink dolphin has been listed as an endangered species</t>
  </si>
  <si>
    <t>d) The number of grey dolphins has decreased</t>
  </si>
  <si>
    <t>a) Has caused protests</t>
  </si>
  <si>
    <t>b) Has been greeted with enthusiasm everywhere</t>
  </si>
  <si>
    <t>c) Has met with a mixed reaction</t>
  </si>
  <si>
    <t>d) Was initiated by artists and writers</t>
  </si>
  <si>
    <t>b) Has an extensive background in mining</t>
  </si>
  <si>
    <t>c) Has been convicted of selling mine assets it doesn’t own</t>
  </si>
  <si>
    <t>d) Has to pay the workers’ unions a lot of money</t>
  </si>
  <si>
    <t>a) Attract more foreign investors</t>
  </si>
  <si>
    <t>b) Develop their agricultural sectors</t>
  </si>
  <si>
    <t>c) Export more commodities</t>
  </si>
  <si>
    <t>d) Provide more jobs</t>
  </si>
  <si>
    <t>a) Replace existing seed varieties with new ones</t>
  </si>
  <si>
    <t>b) Try to adapt crop production to new climatic conditions</t>
  </si>
  <si>
    <t>c) Reduce worldwide food prices</t>
  </si>
  <si>
    <t>d) Direct investments in agriculture to largely populated areas</t>
  </si>
  <si>
    <t>a) Absinthe was never been sold legally</t>
  </si>
  <si>
    <t>b) Absinthe was sold under special conditions</t>
  </si>
  <si>
    <t>c) The sale of absinthe caused an increase in alcoholism</t>
  </si>
  <si>
    <t>d) Absinthe was drunk straight</t>
  </si>
  <si>
    <t>a) Belle-Ile-en-Mer has contrasting landscape</t>
  </si>
  <si>
    <t>a) The popular stereotype of US soldiers in Iraq was found to be true</t>
  </si>
  <si>
    <t>a) Expected the Indian troops to be hospitable</t>
  </si>
  <si>
    <t>b) Belle-Ile-en-Mer has a greater number of inhabitants than tourists</t>
  </si>
  <si>
    <t>b) Suggests that the Indian military bases are modeled on British ones</t>
  </si>
  <si>
    <t>c) The French are trying to attract more visitors to Belle-Ile-en-Mer</t>
  </si>
  <si>
    <t>c) Will give up searching for a Professor of Poetry</t>
  </si>
  <si>
    <t>c) The Indian soldiers have reservations about whether their mission in the Congo is effective</t>
  </si>
  <si>
    <t>c) Expects the Indian soldiers to receive recognition for their work in the Congo</t>
  </si>
  <si>
    <t>D. Agriculture all over the world is maintained by them</t>
  </si>
  <si>
    <t>D. The BBC combats torture in Europe</t>
  </si>
  <si>
    <t>C. The speaker did not like the singer very much</t>
  </si>
  <si>
    <t>C. They can affect rainfall in far-away regions</t>
  </si>
  <si>
    <t>B. Regional hydrology is only slightly affected by them</t>
  </si>
  <si>
    <t>A. Tourists had to walk down 1000 flights of stairs</t>
  </si>
  <si>
    <t>A. A large percentage of people have a bank account</t>
  </si>
  <si>
    <t>A. They have little impact on regions near them</t>
  </si>
  <si>
    <t>26. What did Transocean do in the hours after the blast?</t>
  </si>
  <si>
    <t>EXAMEN 100/MP3/Q-11 EXAMEN 100.mp3</t>
  </si>
  <si>
    <t>EXAMEN 100/MP3/Q-12 EXAMEN 100.mp3</t>
  </si>
  <si>
    <t>EXAMEN 100/MP3/Q-13 EXAMEN 100.mp3</t>
  </si>
  <si>
    <t>EXAMEN 100/MP3/Q-14 EXAMEN 100.mp3</t>
  </si>
  <si>
    <t>EXAMEN 100/MP3/Q-15 EXAMEN 100.mp3</t>
  </si>
  <si>
    <t>EXAMEN 100/MP3/Q-16 EXAMEN 100.mp3</t>
  </si>
  <si>
    <t>EXAMEN 100/MP3/Q-17 EXAMEN 100.mp3</t>
  </si>
  <si>
    <t>EXAMEN 100/MP3/Q-18 EXAMEN 100.mp3</t>
  </si>
  <si>
    <t>EXAMEN 100/MP3/Q-19 EXAMEN 100.mp3</t>
  </si>
  <si>
    <t>EXAMEN 100/MP3/Q-20 EXAMEN 100.mp3</t>
  </si>
  <si>
    <t>EXAMEN 100/MP3/Q-21 EXAMEN 100.mp3</t>
  </si>
  <si>
    <t>EXAMEN 100/MP3/Q-22 EXAMEN 100.mp3</t>
  </si>
  <si>
    <t>EXAMEN 100/MP3/Q-23 EXAMEN 100.mp3</t>
  </si>
  <si>
    <t>EXAMEN 100/MP3/Q-24 EXAMEN 100.mp3</t>
  </si>
  <si>
    <t>EXAMEN 100/MP3/Q-25 EXAMEN 100.mp3</t>
  </si>
  <si>
    <t>EXAMEN 100/MP3/Q-26 EXAMEN 100.mp3</t>
  </si>
  <si>
    <t>EXAMEN 100/MP3/Q-27 EXAMEN 100.mp3</t>
  </si>
  <si>
    <t>EXAMEN 100/MP3/Q-28 EXAMEN 100.mp3</t>
  </si>
  <si>
    <t>EXAMEN 100/MP3/Q-29 EXAMEN 100.mp3</t>
  </si>
  <si>
    <t>EXAMEN 100/MP3/Q-30 EXAMEN 100.mp3</t>
  </si>
  <si>
    <t>EXAMEN 100/MP3/Q-31 EXAMEN 100.mp3</t>
  </si>
  <si>
    <t>EXAMEN 100/MP3/Q-32 EXAMEN 100.mp3</t>
  </si>
  <si>
    <t>EXAMEN 100/MP3/Q-33 EXAMEN 100.mp3</t>
  </si>
  <si>
    <t>EXAMEN 100/MP3/Q-34 EXAMEN 100.mp3</t>
  </si>
  <si>
    <t>EXAMEN 100/MP3/Q-35 EXAMEN 100.mp3</t>
  </si>
  <si>
    <t>EXAMEN 100/MP3/Q-36 EXAMEN 100.mp3</t>
  </si>
  <si>
    <t>EXAMEN 100/MP3/Q-37 EXAMEN 100.mp3</t>
  </si>
  <si>
    <t>EXAMEN 100/MP3/Q-38 EXAMEN 100.mp3</t>
  </si>
  <si>
    <t>EXAMEN 100/MP3/Q-39 EXAMEN 100.mp3</t>
  </si>
  <si>
    <t>EXAMEN 100/MP3/Q-40 EXAMEN 100.mp3</t>
  </si>
  <si>
    <t>EXAMEN 103/MP3/Q-1.mp3</t>
  </si>
  <si>
    <t>EXAMEN 103/MP3/Q-2.mp3</t>
  </si>
  <si>
    <t>EXAMEN 103/MP3/Q-3.mp3</t>
  </si>
  <si>
    <t>EXAMEN 103/MP3/Q-4.mp3</t>
  </si>
  <si>
    <t>EXAMEN 103/MP3/Q-5.mp3</t>
  </si>
  <si>
    <t>EXAMEN 103/MP3/Q-6.mp3</t>
  </si>
  <si>
    <t>EXAMEN 103/MP3/Q-7.mp3</t>
  </si>
  <si>
    <t>EXAMEN 103/MP3/Q-8.mp3</t>
  </si>
  <si>
    <t>EXAMEN 103/MP3/Q-9.mp3</t>
  </si>
  <si>
    <t>EXAMEN 103/MP3/Q-10.mp3</t>
  </si>
  <si>
    <t>EXAMEN 103/MP3/Q-11.mp3</t>
  </si>
  <si>
    <t>EXAMEN 103/MP3/Q-12.mp3</t>
  </si>
  <si>
    <t>EXAMEN 103/MP3/Q-13.mp3</t>
  </si>
  <si>
    <t>EXAMEN 103/MP3/Q-14.mp3</t>
  </si>
  <si>
    <t>EXAMEN 103/MP3/Q-15.mp3</t>
  </si>
  <si>
    <t>EXAMEN 103/MP3/Q-16.mp3</t>
  </si>
  <si>
    <t>EXAMEN 103/MP3/Q-17.mp3</t>
  </si>
  <si>
    <t>EXAMEN 103/MP3/Q-18.mp3</t>
  </si>
  <si>
    <t>EXAMEN 103/MP3/Q-19.mp3</t>
  </si>
  <si>
    <t>EXAMEN 103/MP3/Q-20.mp3</t>
  </si>
  <si>
    <t>EXAMEN 103/MP3/Q-21.mp3</t>
  </si>
  <si>
    <t>EXAMEN 103/MP3/Q-22.mp3</t>
  </si>
  <si>
    <t>EXAMEN 103/MP3/Q-23.mp3</t>
  </si>
  <si>
    <t>EXAMEN 103/MP3/Q-24.mp3</t>
  </si>
  <si>
    <t>EXAMEN 103/MP3/Q-25.mp3</t>
  </si>
  <si>
    <t>EXAMEN 103/MP3/Q-26.mp3</t>
  </si>
  <si>
    <t>EXAMEN 103/MP3/Q-27.mp3</t>
  </si>
  <si>
    <t>EXAMEN 103/MP3/Q-28.mp3</t>
  </si>
  <si>
    <t>EXAMEN 103/MP3/Q-29.mp3</t>
  </si>
  <si>
    <t>EXAMEN 103/MP3/Q-30.mp3</t>
  </si>
  <si>
    <t>EXAMEN 103/MP3/Q-31.mp3</t>
  </si>
  <si>
    <t>EXAMEN 103/MP3/Q-32.mp3</t>
  </si>
  <si>
    <t>EXAMEN 103/MP3/Q-33.mp3</t>
  </si>
  <si>
    <t>EXAMEN 103/MP3/Q-34.mp3</t>
  </si>
  <si>
    <t>EXAMEN 103/MP3/Q-35.mp3</t>
  </si>
  <si>
    <t>EXAMEN 103/MP3/Q-36.mp3</t>
  </si>
  <si>
    <t>EXAMEN 103/MP3/Q-37.mp3</t>
  </si>
  <si>
    <t>EXAMEN 103/MP3/Q-38.mp3</t>
  </si>
  <si>
    <t>EXAMEN 103/MP3/Q-39.mp3</t>
  </si>
  <si>
    <t>EXAMEN 103/MP3/Q-40.mp3</t>
  </si>
  <si>
    <t xml:space="preserve"> Bath is in the southwest of England, about a hundred miles from London I guess -  a couple of hours on the train. The Romans liked it because of the hot springs – hot water that comes up from the ground. So they built baths there, you know public baths using the hot water. You can’t swim but you can drink the water. . Drink It? .Yes..drink it. It’s good for you. It’s got loads of minerals and stuff in it .. What does taste like? ..Absolutely disgusting!
1. What can be said about the water in Bath?
</t>
  </si>
  <si>
    <t xml:space="preserve">Smoking kills more Americans than AIDS, drug abuse, car accidents and crime.
Did you know that 390,000 Americans die each year from cigarette smoking? Smoking tobacco causes 1 out of 6 deaths. Smoking can also cause some very serious diseases. Some people become addicted to smoking. 
Lung cancer has caused more deaths in women than breast cancer. If a pregnant woman smokes, she has a greater chance of medical problems with her baby. 
Cigarette smoking is the number one cause of cancer death in men. Male smokers over the age of 35 are more likely to die from smoking-related diseases like lung cancer.
Many children start smoking before they reach high school. They run the risk of smoking most of their lives. They could die of smoking-related diseases.
2. What can be said about smoking?
</t>
  </si>
  <si>
    <t xml:space="preserve">Hello Robbie hello Tess. Hi Martin ..and where are you from? ..I’m from Glasgow, the biggest city in Scotland. But Glasgow isn’t the capital city is it? No. Edinburgh is the capital city but Glasgow is a lot bigger and we call it the shopping capital of Scotland. We’ve got great shops in Glasgow ..it’s a great city. I’d like to visit sometime … I’m the king of shopping. Ask Tess.. she knows.
3. What can be understood from the dialogue?
</t>
  </si>
  <si>
    <t>EXAMEN 103(SCRIPT)</t>
  </si>
  <si>
    <t>1. She is a cousin of my uncle Percy, who comes from Wales.</t>
  </si>
  <si>
    <t>2. The disease spread faster than the authorities thought it would.</t>
  </si>
  <si>
    <t>3. Mrs. Peters was offered $500 for her family heirloom.</t>
  </si>
  <si>
    <t xml:space="preserve">4. There’s a lot of red tape to getting a visa for some countries.  </t>
  </si>
  <si>
    <t>6. He’s yet to arrive late to the office.</t>
  </si>
  <si>
    <t>7. It’s time my car was serviced.</t>
  </si>
  <si>
    <t>8. However long it takes, I’ll keep looking till I find him.</t>
  </si>
  <si>
    <t>9. Pat’s minding Jill’s baby tonight.</t>
  </si>
  <si>
    <t>10. I can’t believe it’s still raining and now we’re in October.</t>
  </si>
  <si>
    <t>11. I would not dare to do what he just did.</t>
  </si>
  <si>
    <t>12. Paul lacked the necessary credentials for the job.</t>
  </si>
  <si>
    <t xml:space="preserve">13. W- I hear your sister has gone to the country to work.
M- Yes. She’s working on a dairy farm.
What can be deduced from this conversation?
</t>
  </si>
  <si>
    <t xml:space="preserve">14. M- Who won the formula 1 race? 
W- McGregor was overtaken on the last lap by O’Malley.
 What does the woman reply?
</t>
  </si>
  <si>
    <t xml:space="preserve">15. M- By the way, are you what’s-his-name’s new secretary?
W- Billy Redford? And I’m not sure if “secretary” is the right word. He’s training me before he goes.
What does the woman imply?
</t>
  </si>
  <si>
    <t xml:space="preserve">16. W-Don’t forget to pick up the dry cleaning when you’ve got a moment.
M- I don’t know if I can. I have a really busy schedule.
What can be deduced from this conversation?
</t>
  </si>
  <si>
    <t xml:space="preserve">17. W- Hey Nick. Did you like the new Hugh Grant movie?
M- Of course. I thought it was hysterical. I haven’t been let down by one of his movies yet.
What can be deduced from this conversation?
</t>
  </si>
  <si>
    <t xml:space="preserve">18. W- I just can’t get this radio to work.
M- Did you check to make sure the batteries aren’t flat?
What can be deduced from this conversation?
</t>
  </si>
  <si>
    <t xml:space="preserve">19. M- Do we now need a visa to go to the U.S.A. on holiday? 
W- I’ll check with the embassy. It’s better to be safe than sorry.
What can be deduced from this conversation?
</t>
  </si>
  <si>
    <t xml:space="preserve">20. W- Could I borrow your instruction manual? I seem to have misplaced mine.
M- Of course. Make sure you give it back to me when you’re done.
What can be deduced from this conversation?
</t>
  </si>
  <si>
    <t xml:space="preserve">21. Hollywood Report
A low-budget war film that's failed to find large audiences beat off a ground-breaking fantasy epic that's the biggest money earner in cinema history. The Hurt Locker about bomb disposal teams in Iraq won six awards including best picture, and Kathryn Bigelow became the first woman to win the Oscar for best director. She paid tribute to members of the armed services in her acceptance speech.
Meanwhile her ex-husband, the film-maker James Cameron, had to be content with three awards out of nine nominations, for his sci-fi blockbuster Avatar.
.
What can be said about the film ‘the Hurt Locker”?
</t>
  </si>
  <si>
    <t xml:space="preserve">22. The youngest  air traffic controller
JFK Airport in New York is one of the largest airports in the country, handling nearly a thousand take-offs and landings a day. But just after 8pm on the 16th of February, there was somebody else in the control tower directing air traffic and giving instructions to pilots.
Recording from air traffic control:
Boy: JetBlue  one seventy-one (171)  clear for take off.
Pilot: Clear for take off JetBlue one seventy-one (171).
The boy was speaking to an airbus A320 heading for Sacramento. The child's father, who is a certified controller, brought his son to work and then put him to work as well.
The Federal Aviation Administration, which regulates America's airports, hasn't released the names of the controllers involved but it's not treating it as a joke. It's investigating the controller, as well as his supervisor. Both have been relieved of their duties.
How did the Federal Aviation Administration react to this situation?
</t>
  </si>
  <si>
    <t xml:space="preserve">23. Radioactive dump location
In the next six years nuclear waste that Australia sent to Europe for reprocessing will be returned but officials in Canberra have yet to decide where to put it.
Muckaty Station, an isolated property a hundred and twenty kilometers (120) from Tennant Creek in the Northern Territory, has been chosen as a possible site. Local Aborigines have offered to sell the land for eleven million dollars,  a move that has infuriated other indigenous groups in the area.
 Ministers have indicated that the nuclear dump won't be built if landowners opposed it. Critics believe that recent earthquakes in that part of the Northern Territory have raised questions about the safety of the sites. The Australian Greens have said that radioactive waste should be stored at the country's only nuclear facility on the outskirts of Sydney.
What can be said about the possible location of the radioactive waste dump?
</t>
  </si>
  <si>
    <t xml:space="preserve">24. The history girls or reki-jo
In Japan, there's been a recent surge in visitors to shoguns castles, samurai battle re-enactments and history bookstores. Besides being history buffs, many of these visitors have something else in common: they're women. NPR’s Anthony Khun reports from Tokyo on the rise of the history girls.
“One of the more public faces of the reki-jo, or history girls, is a fashion model named Anne. She's the daughter of actor Ken Watanabe, and she goes by just one name. She's carved out a niche for herself writing and speaking about history and history buffs. 
Reki-jo all have their favorite historical periods and characters. Speaking in a Tokyo cafe, Anne says hers is the Shinsengumi, the elite swordsmen of Japan's last shogun. 
Ms. ANNE (Fashion Model): (Through translator) The Shinsengumi is popular among Japanese girls because its members were all young, in their teens to early-30s. They changed Japan. The interesting part of their era is that we can see some photos of them, so we can imagine them better and feel closer to them. This history gives courage to young people today. 
KUHN: In TV dramas, the Shinsengumi are all played by popular, young male actors. The reki-jo history girls idolize these historical figures like rock stars. 
(Soundbite of music) 
KUHN: Ryo Watanabe, no relation to Anne, is one of the media and marketing entrepreneurs who have helped build the reki-jo phenomenon. He created this music, a Web site, TV shows and a bar for reki-jo to congregate. Watanabe explains that history girls populate both virtual and actual worlds. 
Mr. RYO WATANABE: (Through translator) The virtual ones just play games and follow individual characters. The real ones start with games, but they also do research, read books and visit historical sites. These are the real history girls. 
Which of the following statements is correct according to what you have heard?
</t>
  </si>
  <si>
    <t xml:space="preserve">25. Jessica’s world record
After more than six months at sea Jessica Watson is in the final stretch of her epic voyage around the globe. She’s hoping to reach Sydney Harbour later this month a couple of days shy of her seventeenth birthday.
But although there’s no question that she’s circumnavigated the globe, sailing experts say she hasn’t gone far enough to claim the record of being the youngest person to sail solo non-stop and unassisted around the world.
The influential Sail World website has praised her heroic achievement but is a stickler for the rules of what it calls “true circumnavigation”. “To have achieved that”, it says, “the teenager should have sailed much farther north into the Atlantic to a point in line with France, rather than simply crossing the Equator and then returning south.”
           What is the reaction of sailing experts to Jessica’s achievement?
</t>
  </si>
  <si>
    <t xml:space="preserve">26. Oil Spill in the Gulf of Mexico
Interior Secretary Ken Salazar has ordered a brief halt to new offshore drilling permits while cleanup efforts continue along the Gulf Coast.
First, in the hours right after the blowout, lawyers for the rig's owner, Transocean, asked workers who had survived the blast to sign form letters about what they had seen and whether they'd been injured -  all of this before they'd even been allowed to see their families. Now, some of those survivors say they were coerced. 
Joseph Shapiro of NPR's investigative unit explains. 
JOSEPH SHAPIRO: The explosion set off a massive fire on the oil rig. Eleven men would die, more than a hundred would run to the lifeboats to save their lives. ....But what's got some of the survivors angry is how the owner of the oil rig, Transocean, is now applying legal pressure to the men who escaped in those lifeboats. Lawyers for the survivors say the men were kept on the water in boats and on another rig for 15 hours or more. When they finally got to shore, they were secluded in a hotel for many more hours and they still hadn't been able to see their family, and for many, even telephone loved ones to say they were safe. 
What did Transocean do in the hours after the blast?
</t>
  </si>
  <si>
    <t xml:space="preserve">27. Charles Darwin
Presenter: Charles Darwin famously wrote about how the most robust  plants are the product of crossbreeding and that plants inbreeding or self- fertilization often carries a risk of producing a diseased species. Well it turns out he didn’t take his own advice. Darwin married his first cousin, Emma Wedgewood..
.. Now I understand that  Darwin’s work with plants made him suspicious about the effects of inbreeding in humans. Is that right? 
Professor;  Yes. Uh..again, Charles Darwin is ahead of his time in virtually everything that he does. He was a brilliant person and he....he was data driven. He did these experiments in his greenhouse at Down and showed that cross- fertilization was infinitely superior to self- fertilization. This worried him with regard to his family because his children had, you know, minimal problems but they often seemed to be ill and Charles worried about this. Did his consanguineous marriage contribute to this? 
What can be deduced from the extract about Charles Darwin?
</t>
  </si>
  <si>
    <t xml:space="preserve">29. A rich man in Russia
A prison in Siberia has been home to Mikhail Khodorkovsky since late 2003. He used to be Russia's richest  man. And now, he may be its most famous political prisoner.  
RAZ: Can you remind us, you know, sort of at least officially, why he was convicted in 2005? 
Ms. GLASSER: Well, this is a big story about Russia after the collapse of the Soviet Union. In the 1990s, a whole new category of businessmen rose up out of nowhere. There was a massive privatization, a sell-off of state assets. Mikhail Khordorkovsky was one of the guys who got rich by privatizing state assets and he became the richest man in Russia. He had billions of dollars. He controlled two percent of the world's oil. 
His Yukos Oil Company was built out of different pieces of the Russian state that had been sold off to him at, of course, very advantageous prices. He paid way under market, almost  fire sale prices. This was, of course, incredibly controversial. His category of oligarchs, as they were called, they ruled not only the Russian economy but also Russian politics under Boris Yeltsin. They rose to the height of power inside the Kremlin. 
Which of the following statements is true according to what you have heard?
</t>
  </si>
  <si>
    <t xml:space="preserve">31. The twins - Hunny and Elliot Reiken remember
Time now for StoryCorps, recording conversations between everyday people. 
Today, a love story that began in the Catskills. It was the summer of 1946. Hunny Feller and her identical twin sister, Bunny, were waitresses at a hotel. Another set of identical twins, Elliott and Danny Reiken, worked as musicians in a band there. At StoryCorps, Hunny and Elliott recalled what happened when the twins met the twins. 
Mr. ELLIOTT REIKEN: When we met, you and your sister couldn't tell us apart and we couldn't tell you two apart. 
Ms. HUNNY REIKEN: But by the end of the summer there was no chance of separating us, and we had a double wedding. You and I were married the same day as Bunny and Danny were married. And it was two brides, two grooms, one set of parents for each. The gowns were identical gowns. The flowers were identical. 
Mr. REIKEN: We both went on our honeymoon to Miami Beach by different trains... 
Which of the following statements is true according to what you have heard?
</t>
  </si>
  <si>
    <t xml:space="preserve">32. Sarah Ferguson
She's not normally camera-shy but a tired-looking Sarah Ferguson avoided reporters on herarrival at Los Angeles airport. And again later when she was due to be the star of a Hollywood red-carpet event, honoured by a children's charity for her humanitarian work. But her efforts to help others have been overshadowed by her attempts to help herself and Miss Ferguson sneaked in to collect her award.
She has said she's sorry after a newspaper secretly filmed her offering access to Prince Andrew for half a million pounds. There's no suggestion he knew of her plan.
In the past Sarah Ferguson has been an author, TV presenter and film producer. But her media company recently collapsed with large debts. She admitted money problems but said they were no excuse for a serious lapse in judgement. This attempted deal, though not illegal, may have gone too far.
Rajesh Mirchandani, BBC News
Which statement is true about Sarah Ferguson according to what you have heard?
</t>
  </si>
  <si>
    <t xml:space="preserve">33. The girl boxer
It is Friday, and time for another conversation from StoryCorps. 
Today, a story born in an East L.A. boxing gym. It comes from 17-year-old Seniesa Estrada and her father, Joe. Seniesa is an amateur boxing champion, about to turn pro. Her father, Joe, is a former gang member who gave up that life to become Denise's coach. 
Here, they talk about how she got her start in the ring when she was eight years old. 
Ms. SENIESA ESTRADA: I was watching a boxing fight one day with you and my brother. I mean, I don't know too many eight-year-old girls that would look at a boxing fight and think it's fun. But for some reason, I did. 
Mr. JOE ESTRADA: She said, hey, dad, do girls box? And I'm like, yes. A few minutes later, she says, can I box? And I'm like, sure, baby, you can box. All right, will you take me to the gym? I say, yeah. A month went by... 
Ms. ESTRADA: Maybe even like two months went by .. 
 Which statement is correct according to what you have heard?
</t>
  </si>
  <si>
    <t xml:space="preserve">34. Teenage drinking
MICHELLE TRUDEAU: Researchers say that the longer a teenager delays drinking alcohol, the safer it is for the teen's brain. That's because the adolescent brain is still growing. Brain cells are still developing well into the mid-20s in brain areas that control decision making and problem solving. 
Research from Susan Tapert at the University of California, San Diego shows that heavy drinking can cause physical changes to these parts of the teen brain long after the intoxication wears off. 
Professor SUSAN TAPERT (Psychiatry, University of California, San Diego): We've seen that adolescents who engage in binge drinking - so that's having five or more drinks on an occasion for boys, or four or more drinks on an occasion for females - tend to show some brain abnormalities in their brain's white matter, so those fibers that connect different parts of the brain. 
TRUDEAU: And if binge drinking continues a couple of times a month, within two to three years, Tapert says, it can result in subtle declines in the teen's thinking. . 
Which of the following statements is correct according to the extract?
</t>
  </si>
  <si>
    <t xml:space="preserve">37. The head of Caesar Augustus
Presenter; I’m looking into the eyes of one of the most famous leaders in the History of the World - Caesar Augustus, the first Roman Emperor. We have his bronze head here in the Roman Galleries in the British Museum and tarnished as it is it radiates charisma and raw power. 
Contributor 1; Well he was about the greatest politician the world has ever seen. If you wanted to have a first eleven of the world’s leading politicians, most accomplished diplomats and ideologues of all time, you’d have Augustus as your kind of mid-field play-maker. Captain of the Eleven.
Presenter:  The curling hair is short and boyish. Slightly tousled but it’s a calculated tousled. One that clearly took a long time to arrange - because this is an image that’s been carefully constructed, projecting just the right mix of youth and authority, beauty and strength, will and power. 
What can be deduced from the extract?
</t>
  </si>
  <si>
    <t xml:space="preserve">38. Pensioners’ revolt
In Germany, if you think your financial advisor has been giving you bad advice and messing up your investments, you can complain to the regulators, you can go to the police. But in Bavaria, one group of pensioners stands accused of employing a much more direct method of registering their dissatisfaction. They're on trial for kidnapping their financial advisor and holding him hostage.
Four senior citizens, aged between 63 and 79, had invested nearly three and a half million dollars in the US property market and lost it all in the sub-prime mortgage meltdown. They'd concluded that the man who'd handled the investment should now reimburse them. According to prosecutors, last summer the pensioner posse plus one accomplice abducted the financial advisor outside his house, tied him, gagged him, put him in a box and transported him in the boot of a car 450 kilometres to a lakeside retreat. He claims to have spent four days locked in the cellar there and to have been tortured. After agreeing to their demands, the prisoner was allowed to send a fax to Switzerland arranging
payment. He concealed the phrase 'call the Police' in the text and the alarm was raised. Soon after a crack team of commandos came to the rescue.
On the opening day of the trial, the 74 year old alleged ringleader of the gang avoided using the word 'kidnap'. He said he and his co-defendants had only wanted to treat their guest to a couple of days holiday in Bavaria
What can be deduced from the extract?
</t>
  </si>
  <si>
    <t>EXAMEN 4 SCRIPT</t>
  </si>
  <si>
    <t>10. IBM was bought out after the crash.</t>
  </si>
  <si>
    <t xml:space="preserve">36. Sibling rivalry – gas pricing dispute
The case involves the terms of a deal under which Reliance Industries was to supply Reliance Natural Resources, headed by Mukesh Ambani's brother Anil, with a pre-agreed amount of gas for 17 years at a rate 44% below the rate set by the government.
But the court order stated that the government has a right to fix a price for the gas, and that two individuals cannot decide the price of a national asset. The court asked the two brothers to thrash out a fresh agreement within six weeks.
The five-year battle between the billionaire brothers has dominated national news and the verdict in favour of the country's most valuable company is expected to influence trading in the stock markets. 
Which statement is true according to what you have heard?
</t>
  </si>
  <si>
    <t xml:space="preserve">39. Journey through the  Andes
Presenter: Michael, the Andes are the world’s longest mountain range, more than seven thousand miles. How long did it take you and how did you travel?
Michael Palin: Well it’s not quite so long as seven thousand but then…..
Presenter; Oh, is it not?
Michael Palin: It’s only four and a half thousand I’m afraid.
Presenter: Oh right. Sorry.
Michael Palin: But it’s still the longest mountain range …. Ah … no it took me actually six months to … to do the whole journey. That’s almost without stopping. And I went back to several of the countries, but the idea was to have a continuous journey and to feel what it was like …. to witness all the changes. And also I love the idea of seeing a succession of sublime landscapes. I love extremes. I love deserts. I love ice-fields and you’ve got everything in the Andes and there’s  …
Which of the following statements is correct?
</t>
  </si>
  <si>
    <t xml:space="preserve">40. The end of parking metres
If you're one of those drivers who always has a quarter in your pocket except when you have to park at a meter, take heart. This spring, Washington, D.C., rolled out a pilot program that allows drivers to use their cell phones instead of having to fish for change. 
As Jacob Fenston reports, this technology may mean the parking meter's time is about to expire. 
 FENSTON: D.C. isn't the first city to try this out. In fact, according to AAA, 54 towns and cities in the U.S. are already using some kind of pay-by-phone parking. And in Europe, it's quickly becoming the norm. Last year, the London borough of Westminster got rid of its last coin-operated parking meters. 
Mr. KIERAN FITSALL (Parking Manager, Westminster): We sold some to enthusiasts, put some on eBay. We donated some to museums. 
FENSTON: Kieran Fitsall is Westminster's parking manager. He says when pay-by-phone went borough wide, there were instant savings. 
Mr. FITSALL: Well, I mean, the instant savings were from theft. 
FENSTON: Thieves had been stealing over $200,000 from Westminster parking meters each week. But now, there's nothing to steal. About 90 percent of parking is paid for by phone; the rest at credit card machines. 
Which of the statements is true according to what you have heard?
</t>
  </si>
  <si>
    <t>EXAMEN 1 SCRIPT</t>
  </si>
  <si>
    <t>EXAMEN DE SEP/2011</t>
  </si>
  <si>
    <t xml:space="preserve">30. Bottled water vs. tap water
When you're drinking bottled water, do you ever wonder where it comes from? Is it really from the spring that it's named after? Is it really just purified tap water from a municipal system? Is it worth lugging home gallons of bottled water when you can turn on the tap in your kitchen sink? 
My guest, Peter Gleick, has written a new book called 'Bottled and Sold' that answers a lot of questions about bottled water and also describes some of the problems it's causing. Gleick says every second of every day in the U.S., 1,000 people buy and open a plastic bottle of commercially produced water and, every second of every day, 1,000 plastic bottles are thrown away. 
Bottled water may taste good, but Gleick says it's producing billions of tons of carbon dioxide and other pollutants. He says Americans should be insisting that their municipal water systems are maintained and upgraded so that they can provide public tap water that is safe and tastes good
Which statement is correct?
</t>
  </si>
  <si>
    <t xml:space="preserve">35. Photographing food
Now, believe it or not, even Pentagon brownies can be made to look delicious for the cameras. That's what Delores Custer does for a living. She's a professional food stylist. And she's written a book about how it's done. It's called 'Food Styling.' 
And Delores Custer joins me from Portland. Welcome. 
Ms. DELORES CUSTER (Food Stylist; Author, 'Food Styling'): Thank you. 
RAZ: Now, we have all seen the perfect bowl of cereal, right? You know... 
Ms. CUSTER: Mm-hmm. 
RAZ: ...the perfect blueberry or the perfect strawberry just hitting the milk. 
Ms. CUSTER: Mm-hmm. 
RAZ: You've got that perfect splash and then these perfectly situated Corn Flakes and they each have a few perfect drops of milk on them. 
Ms. CUSTER: Mm-hmm. 
RAZ: Is that milk? 
Ms. CUSTER: Some of the times, it is. Most of the time, it's not. In the early days, that splash was acrylic. And we would have a model maker make the splash. Today, with digital, it can be a real splash or oftentimes it's illustrated... 
.. Now, if we're selling milk, we have to use milk. If we're selling the cereal, then we sort through and we find what I call flakes with character. ... And we arrange those in a bowl, and then we do use something other than milk if it's going to take the photographer a long time to shoot. 
</t>
  </si>
  <si>
    <t xml:space="preserve">5. M- We’ve got a meeting at 5.30, you know.
W- Haven’t you heard? The boss called it off.
 What is the situation?
</t>
  </si>
  <si>
    <t xml:space="preserve">28. Hoarding
Presenter: Our guests Randy Frost and Gail Steketee are both specialists in obsessive behaviour and they say compulsive hoarding; the pathological accumulation of things is shockingly common. Estimates vary but they say the disorder likely affects roughly one out of every thirty Americans. .... Both have treated many hoarders and they draw on their work in a new book called “Stuff; Compulsive Hoarders and the Meaning of Things.” They spoke with Fresh Air contributor, Dave Davies.
Davies: ....one of the first people that you write about in the book is a woman named Irene. Tell us about her.
Randy Frost; Well Irene was a delightful woman. She ....um.... when I first met her, what happened was that her husband had told her that she needed to clean up the clutter or he would leave. And she couldn’t do it so he actually left. Um...When I met her I was surprised by how outgoing and lovely and .... and..... a woman she was with a great sense of humour. Um.. and so we’ve done some follow-up research on this ...uh... and found that people with hoarding problems don’t seem to have any more emotional attachment kinds of problems than other people.
What can be deduced about hoarders from the experts?
</t>
  </si>
  <si>
    <t xml:space="preserve">28. G8 and G20 to meet in Canada 
Which statement is correct according to the extract?
</t>
  </si>
  <si>
    <t xml:space="preserve">21. Afghanistan’s mineral resources
Which statement is correct according to the extract?
</t>
  </si>
  <si>
    <t xml:space="preserve">22. The World Cup and  social media
Which of the statements is true according to what you have heard?
</t>
  </si>
  <si>
    <t xml:space="preserve">23. McChrystal loses his job
Which of the following statements is true according to what you have heard?
</t>
  </si>
  <si>
    <t xml:space="preserve">24. Drug war in Monterey
Which of the following statements is true according to what you have heard?
</t>
  </si>
  <si>
    <t xml:space="preserve">25. Weddings performed by friends
What can be said of friends performing weddings?
</t>
  </si>
  <si>
    <t xml:space="preserve">26. Gene  Kendzior  remembers his father – a coalminer
Which statement is true according to what you have heard?
</t>
  </si>
  <si>
    <t xml:space="preserve">27. Technology in football
Which of these statements are true?
</t>
  </si>
  <si>
    <t xml:space="preserve">29. Pilkington Tiles
Why are the workers at Pilkington Tiles angry?
</t>
  </si>
  <si>
    <t xml:space="preserve">30. Harvard student faces being deported
What can we say about Eric Balderas?
</t>
  </si>
  <si>
    <t xml:space="preserve">31. A history of the world in 100 objects
Which statement is true according to what you have heard?
</t>
  </si>
  <si>
    <t xml:space="preserve">32. Jeffery Gettleman talks about war in Africa.
Which statement is true according to what Gettleman says?
</t>
  </si>
  <si>
    <t xml:space="preserve">33. The Gringo Chief
Why is Randy Borman  an important figure for the Cofan Indians?
</t>
  </si>
  <si>
    <t xml:space="preserve">34. FBI files on Ted Kennedy
What was revealed in the FBI files?
</t>
  </si>
  <si>
    <t xml:space="preserve">35. Gulf coast  weddings
Which statement is correct?
</t>
  </si>
  <si>
    <t xml:space="preserve">36. Cuba prisoners
What impression do we get from the extract?
</t>
  </si>
  <si>
    <t xml:space="preserve">37. The Solar Impulse – an experimental solar-powered plane
What was particularly unusual for the pilot about the test flight?
</t>
  </si>
  <si>
    <t xml:space="preserve">38. Lindsay Lohan
Which of the statements below is true about Ms Lohan?
</t>
  </si>
  <si>
    <t xml:space="preserve">39. Processed food
Choose the statement which is correct according to what you have heard
</t>
  </si>
  <si>
    <t xml:space="preserve">40. Truancy
How is the crackdown going to affect Oldham?
</t>
  </si>
  <si>
    <t>answ5</t>
  </si>
  <si>
    <t>A. The Pentagon  wanted to establish what the deposits are worth</t>
  </si>
  <si>
    <t>C. Some resources have already been exploited</t>
  </si>
  <si>
    <t>D. The Pentagon task-force did not include Afghan members</t>
  </si>
  <si>
    <t xml:space="preserve">A. The Obama inauguration took place on a weekend </t>
  </si>
  <si>
    <t>B. Internet traffic was less when people saw matches on TV</t>
  </si>
  <si>
    <t>D. The  World Cup has collapsed the Internet</t>
  </si>
  <si>
    <t>A. McChrystal was reprimanded for his comments</t>
  </si>
  <si>
    <t>C. Petreaus has a proven track record in civilian-military relations</t>
  </si>
  <si>
    <t>D. Relations between McChrystal and civilian leaders were acceptable</t>
  </si>
  <si>
    <t>A. The Zeta cartel had permission to cut off the  city’s main thoroughfares</t>
  </si>
  <si>
    <t>B. Monterey is not a thriving city</t>
  </si>
  <si>
    <t>C. The military captured a Zeta member earlier in the month</t>
  </si>
  <si>
    <t>A. It may be a good idea for couples of different religions</t>
  </si>
  <si>
    <t>B. The clergy believes it causes couples to lose their faith</t>
  </si>
  <si>
    <t>C. Though the friends may be uncertified, this is not a problem</t>
  </si>
  <si>
    <t>D. It can be done over the Internet</t>
  </si>
  <si>
    <t>A. Gene’s dad survived a the tunnel collapse</t>
  </si>
  <si>
    <t>C. Miners were paid well in West Virginia</t>
  </si>
  <si>
    <t>D. Work in the mine commenced after elementary school</t>
  </si>
  <si>
    <t>B. Referees from Uruguay have changed the nature of the game</t>
  </si>
  <si>
    <t>C. TV replays are always controversial</t>
  </si>
  <si>
    <t>A. The G20 countries all have increasing government debt</t>
  </si>
  <si>
    <t>B. Aid promised in previous meetings has not been transferred</t>
  </si>
  <si>
    <t>D. Security is quite lax as there have been few problems</t>
  </si>
  <si>
    <t>A. They have been given temporary contracts</t>
  </si>
  <si>
    <t>B. KPMG owes money to 200 staff</t>
  </si>
  <si>
    <t>C. The administrators did not arrive for a union meeting</t>
  </si>
  <si>
    <t>D. They wanted to stage a twenty-four hour protest</t>
  </si>
  <si>
    <t>A. He had a fight with the immigration judge</t>
  </si>
  <si>
    <t>B. He would like to do the entrance exams for Harvard</t>
  </si>
  <si>
    <t>C. He was visiting his mother in Boston</t>
  </si>
  <si>
    <t>D. Harvard will try to help him resolve the situation</t>
  </si>
  <si>
    <t>A. The head in question is made of bronze</t>
  </si>
  <si>
    <t>B. The head is of an African warrior</t>
  </si>
  <si>
    <t>C. Nowadays  whole societies back criminal groups</t>
  </si>
  <si>
    <t>D. The aim of the liberation movement in Eritrea was literacy</t>
  </si>
  <si>
    <t>C. He took Cofan lessons before coming to Ecuador</t>
  </si>
  <si>
    <t>D. He doesn’t mind living in a forest</t>
  </si>
  <si>
    <t>B. That Ted Kennedy killed someone</t>
  </si>
  <si>
    <t>D. That Ted Kennedy’s life  was continuously under threat</t>
  </si>
  <si>
    <t>A. Clyde Marcel operates a dating agency</t>
  </si>
  <si>
    <t>B. Beach weddings are no longer an attractive option for couples</t>
  </si>
  <si>
    <t>C. Tar balls and oil mousse attract people to the Mississippi coast</t>
  </si>
  <si>
    <t>D. Clyde is worried about his health</t>
  </si>
  <si>
    <t xml:space="preserve">A. The  US has intervened to bring about the amnesty </t>
  </si>
  <si>
    <t>B. Relations between the Catholic Church and Cuba have improved</t>
  </si>
  <si>
    <t>C. Fidel Castro released all prisoners when he came to power</t>
  </si>
  <si>
    <t>D. Such a large number of prisoners has never been released</t>
  </si>
  <si>
    <t>A. Gliding in loops</t>
  </si>
  <si>
    <t>B. The Jura mountains</t>
  </si>
  <si>
    <t>C. The plane made no noise</t>
  </si>
  <si>
    <t>D. There was so much sunlight</t>
  </si>
  <si>
    <t>D. Filling  your trolley in the store, you think of food processing</t>
  </si>
  <si>
    <t>B. Staying  away from school will be a serious offence</t>
  </si>
  <si>
    <t>EXAMEN DE SEPT/2011</t>
  </si>
  <si>
    <t>EXAMEN 2 SCRIPT</t>
  </si>
  <si>
    <t>EXAMEN DE SEP/2010</t>
  </si>
  <si>
    <t xml:space="preserve">21. Afghanistan’s mineral resources
It's long been known that Afghanistan has these untapped resources. The challenge is, and always has been, how to get them out of the ground. For more on the story, I spoke with NPR's Rachel Martin, who has a copy of the report. 
RACHEL MARTIN: It's a Power Point presentation. It's an internal Pentagon report and it's based on a recent assessment by a Pentagon task force, including geological experts who were working alongside with teams of Afghans trying to survey the geological deposits under the ground in Afghanistan. They surveyed sites around the country, 60 different sites, trying to get a read on exactly what kind of resources are underground. 
Because like you said, we've known for many years that there are these deposits of potential great amounts of wealth that are harbored in Afghanistan's soil. And until now we haven't really had exact data on exactly how much these resources could be worth. Now we're getting that estimation upwards of $900 billion. 
Which statement is correct according to the extract?
</t>
  </si>
  <si>
    <t xml:space="preserve">25. Weddings performed by friends
The research firm known as the Wedding Report says last year in this country, one out of every seven weddings was performed by a friend of the couple. 
Ms. MELISSA EVANS (Wedding Planner): I've seen it become increasingly popular over the last few years. 
WENNER: Melissa Evans has been helping couples plan weddings for more than a decade. She says having a friend perform the wedding is one way to make a ceremony meaningful for couples of different faiths. 
Ms. EVANS: So one partner doesn't necessarily have to give up, you know, their religion, their faith, you know, their history - that sort of thing. They can tie it all together. 
WENNER: The Wedding Report says two years ago, clergy performed 70 percent of all weddings. Last year, it was down to 62 percent. 
Reverend James Wind is president of the Alban Institute, a research firm focusing on religion. He's afraid couples may be losing out on what organized religion can offer a bride and groom. 
WENNER: There is also concern over whether having friends perform weddings is legal. Many of them choose to get ordained from ministries that offer instant ordinations - and on the Internet, it just takes a few clicks. 
What can be said of friends performing weddings?
</t>
  </si>
  <si>
    <t xml:space="preserve">26.  A coalminer
Gene Kendzior grew up in West Virginia. His father, Walter Kendzior, was killed on the job in 1967 when a tunnel collapsed. Gene was interviewed for StoryCorps by his daughter Jennifer about his dad's work. 
Mr. GENE KENDZIOR: It was a hard, dirty job and everyone worked there suffered from it. And most of the people went right from high school to the coal mine. They all had some sort of injury that they'd suffered. My dad had his foot run over in the mine by a car, and he lost his little toe. 
And we went to the mine once. He took me to his mine where he worked. The tunnel was probably 15 feet wide, and the walls were all covered with a gray rock dust. And they spray it on the walls to keep the coal dust from getting into the air. If coal dust gets into the air and there's any kind of a spark, that's where the explosions come from - 
Which statement is true according to what you have heard?
</t>
  </si>
  <si>
    <t xml:space="preserve">28.  G8 and G20 to meet in Canada 
The G20 is now the main forum for global economic issues. But some of the G8 countries, who meet first, on Friday and Saturday, are the ones with the big economic problems. They have rising government debts, but President Obama especially is concerned that premature austerity measures might set back the economic recovery that is under way. Development issues are high on the G8 agenda and they'll discuss maternal and child health in low income nations. Campaigners say the G8 have failed to deliver aid promised at previous summits.
This summit will also discuss a range of diplomatic issues including North Korea, Iran's nuclear programme and the Middle East.
Security around the summit venues is tight, and there have been some arrests in Toronto. 
Which statement is correct according to the extract?
</t>
  </si>
  <si>
    <t xml:space="preserve">29. Pilkington Tiles
 Workers from Pilkington Tiles in Solford are protesting outside the factory today. They’re angry about the way they’ve been treated by their former employer and the new administrators who failed to turn up to a union meeting on Friday. More than two hundred staff were made redundant last week but some workers have been given temporary contracts to help complete outstanding orders. Alec McFadden from the T.U.C. says his members are just trying to get the money they’re owed.
Alec McFadden: When a company goes into receivership, the company that’s appointed to be the receiver, K.P.M.G., has a responsibility to call a meeting of all the creditors. The creditors include all the workforce cause they’re all owed money. This may hurry them along to have that meeting.
Why are the workers at Pilkington Tiles angry?
</t>
  </si>
  <si>
    <t xml:space="preserve">30. Harvard student faces being deported
 The immigration judge hears an unusual case next month involving a 19-year-old Harvard University student who’s fighting deportation to his native Mexico. Eric Balderas, a sophomore on full scholarship to Harvard, was detained last week while trying to fly back to Boston after visiting his mother in San Antonio. Balderas acknowledges he’s been in the country illegally since being brought here as a little boy. Harvard officials say they’ll try and help him stay. We spoke this morning with Balderas by phone, just a short time ago.
Eric Balderas: Um… I honestly don’t know what to expect right now. It has been a rough week. At the beginning my spirits had been broken but I think with all the support I’ve been getting and the weight of Harvard, I do feel confident that this will go through and I am feeling very optimistic now.
What can we say about Eric Balderas?
</t>
  </si>
  <si>
    <t xml:space="preserve">31. A work of art
 So far in this History of the World through things, we’ve encountered all kinds of objects, all eloquent but not all particularly valuable or attractive. But today’s object is, in any view, a great work of art. It’s a head cast in brass. It’s quite clearly the portrait of a person but we don’t know who. It’s without question by a very great artist but we don’t know who and it must have been made for a ceremony but we don’t know what. What is certain is that the head is African. It’s royal and it epitomizes the great Medieval Civilizations of West Africa of about seven hundred years ago. It was one of a group of heads discovered in 1938 in the grounds of a palace in Ife, Nigeria and they astonished the world with their beauty. They were immediately recognized as supreme documents of a culture that had left no written record and they embody the history of an African Kingdom that was one of the most advanced and urbanized of its day. 
Which statement is true according to what you have heard?
</t>
  </si>
  <si>
    <t xml:space="preserve">32. A war correspondent  talks about war in Africa.
Mr. JEFFREY GETTLEMAN : Well, what we're seeing across Africa today is many conflicts, internal conflicts that have an absence of ideology. They're more criminally driven wars. 
From the reading I've done and compared to the liberation wars of yesteryear, in Eritrea, in Zimbabwe, in Ethiopia, even in Angola, there were causes back then. And, of course, there was criminality and there was violence and there was gratuitous bloodshed, but it seemed like these rebel movements actually stood for something. They had popular support. 
For example in Eritrea, they had classrooms to teach people all sorts of things, like literacy and numeracy. A big part of that liberation movement wasn't just to have a separate country, but it was to revolutionize society. And men and women fought on the front lines together, and a whole society was behind this liberation movement, was behind the rebel group. 
Which statement is true according to what the speaker says?
</t>
  </si>
  <si>
    <t xml:space="preserve">34. FBI files on Ted Kennedy
 The Federal Bureau of Investigation has released thousands of files on Massachusetts Senator, Edward Kennedy, who died last August. The files detail constant suspected and confirmed death threats including a million-dollar offer by Robert Kennedy’s assassin S__?  to anyone who would kill Ted Kennedy. Among many other subjects, they also touch on the death of Mary Joe __ in the Chap__.
 Senator Ted Kennedy’s F.B.I. files are a peek into an extraordinary life. They contain hundreds and hundreds of pages of death threats. There are also investigations into assassination plots, Kennedy family correspondence with the F.B.I. and press clippings the Agency used to keep track of Ted Kennedy. 
What was revealed in the FBI files?
</t>
  </si>
  <si>
    <t xml:space="preserve">35. Gulf coast  beach weddings
As oil washes up on many Gulf Coast beaches, fishing and tourism have suffered. And so has the business of one Mississippi man who peddles in romance.
(Soundbite of waves) 
JULIE ROSE: Right here on the beach in downtown Gulfport, Mississippi. This is where Clyde Marcel makes his money. 
Mr. CLYDE MARCEL (Wedding Planner): Put a few chairs out. Put a little runway out and the preacher stands out there and the bride walks up, barefooted usually, on the sand. 
ROSE: So he plans beach weddings, in case you haven't guessed. 
ROSE: (And so), As reports of tar balls and oil mousse hit the Mississippi coast, Marcel's business is going bust. At least five brides have canceled on him in the last two months, even though his favorite wedding spot is still clean. ….. Marcel says he's losing about $30,000 a month. Normally his fall calendar would be filling up with weddings, but brides aren't calling. They're worried the beaches will still be oily months from now. He's worried about his long-term financial health. 
Which statement is correct?
</t>
  </si>
  <si>
    <t xml:space="preserve">36. Cuba prisoners
The Cuban government has agreed to free 52 political prisoners. That's according to Catholic Church leaders on the island. It's the largest amnesty in more than a decade. It would bring the number of political prisoners in Cuban jails to its lowest levels since Fidel Castro took power in 1959. The move is a result of new dialogue between the church and Raul Castro's government, and it also has implications for U.S.-Cuba relations. 
Reporter Nick Miroff covers Cuba, and he joins us to tell us more. 
Nick, tell us more about, first, the announcement yesterday from the Catholic Church. What did they say? 
NICK MIROFF: Well, the church sent out the announcement yesterday around noon indicating that a small group of prisoners were likely to be released in the next few days, and that over the course of the next three or four months, a total of 52 prisoners would be released. And again, that's the largest amnesty since Pope John Paul II's visit in 1998. 
What impression do we get from the extract?
</t>
  </si>
  <si>
    <t xml:space="preserve">37. A solar-powered plane
Imagine flying an airplane for 26 hours without using a single drop of fuel. Well, that is what Andre Borschberg did. He's the pilot of the Solar Impulse, an experimental solar-powered plane. 
Today, he completed a 26-hour test flight after gliding in loops over the Jura Mountains west of the Swiss Alps. The plane's 12,000 solar cells absorbed sunlight during the day to power its journey overnight. Andre Borschberg says the solo flight was an amazing experience
A former Swiss Air Force pilot, Borschberg says the Solar Impulse was totally unlike any other airplane he's flown. One thing in particular, it makes little noise. 
Mr. BORSCHBERG: It's extremely agreeable. I think, you know, it's the first time that when you fly an airplane, you can also listen to other sounds. So that's new. That's very uncommon, but I tell you, it's not unpleasant. 
What was particularly unusual for the pilot about the test flight?
</t>
  </si>
  <si>
    <t xml:space="preserve">38. Lindsay Lohan
In 2007 Lindsay Lohan pleaded guilty to two counts of being under the influence of cocaine and no contest to two drunk driving charges. She went to jail but spent only 84 minutes behind bars. She was also ordered to complete a series of alcohol education courses. But she failed to do them on time and missed a number of meetings. When the judge announced that she was now sentencing Lohan to 90 days in jail, the actress burst into tears.
She isn't required to go to jail until July 20th but when she's released she'll have to enter an in-patient rehabilitation programme.
Which of the statements below is true about Ms Lohan?
</t>
  </si>
  <si>
    <t xml:space="preserve">24. Drug war in Monterey
We're going next to Mexico, where the fight has come to one of the country's most prosperous cities. The northern Mexican city of Monterey had a reputation as a peaceful and hard-working place. It is also the capital of state of Nuevo Leon, and it's the scene of increasing tension. 
 …drug cartels are fighting for control of the city. 
JASON BEAUBIEN: Monterey has become famous for the Narco-Bloqueo, or the Narco-Blockade. Since the beginning of the year, members of the Zetas cartel have taken to shutting down the city's main thoroughfares whenever it suits them. 
Earlier this month, after the Mexican army captured, allegedly, the Zetas' top operative in Monterrey, gunmen waded into traffic with their weapons drawn. They pulled drivers out of their cars, trucks and buses, then turned the vehicles sideways in the streets. The blockades caused instantaneous gridlock. The idea was to try to block the soldiers from moving through the streets with their prisoner. 
Which of the following statements is true according to what you have heard?
</t>
  </si>
  <si>
    <t xml:space="preserve">23. McChrystal loses his job
Look through the history of this country and you find a constant theme that goes right back to the earliest days. It's the struggle to balance the relationship between the military and civilian leaders. The troops must fight a war but it's considered essential that civilians always remain in charge. 
That broad theme lay behind the strange events of this week when General Stanley McChrystal lost his job for remarks in a magazine. His replacement as commander in Afghanistan is General David Petraeus. He’s got a long record of adroitly managing his relationships with politicians and diplomats. 
MARTIN: General McChrystal lost his job because the comments he and his aides made and quoted in the magazine -Rolling Stone- revealed a rift between him and his staff on the one side and the civilian leaders who define the war policy on the other. 
Which of the following statements is true according to what you have heard?
</t>
  </si>
  <si>
    <t xml:space="preserve">27. Technology in football
Although England were comprehensively beaten by a vibrant and clinical German team, the dreadful mistake by Uruguayan referee, Jorge Larrionda, in failing to spot a shot from Frank Lampard that had clearly crossed the line, will reopen the debate about football's reluctance to adopt technology to help with controversial decisions.
TV replays showed the ball was at least two foot over the line but both the referee and his assistant failed to see it. The England manager, Fabio Capello, described the decision as 'incredible' afterwards, and insisted it had -changed the nature of the game-.
FIFA, world football's governing body, has been experimenting with various forms of
technology, including a microchip in the ball which sends a signal to officials when it is over the line. The latest experiment was rejected in March and before the World Cup started FIFA President  Sepp Blatter reaffirmed his belief that mistakes are part of the excitement of football.
Which of these statements are correct?
</t>
  </si>
  <si>
    <t xml:space="preserve">33. The Gringo Chief
In the Amazon, there are indigenous communities that have never had contact with the outside world. Others are fading fast. A few control swaths of jungle as big as countries. And here's one Indian nation that stands out despite its small numbers, the Cofan of northern Ecuador. They administer a territory nearly the size of Delaware, and their most prominent leader is a blue-eyed, gray-haired American known as -The Gringo Chief.-
 (Soundbite of music) 
JUAN FORERO: In a jungle clearing, dozens of Cofan Indians are celebrating. They've added 108 acres to their expanding territory and built a new headquarters. 
Randy Borman is the Cofan's chief of territories. 
Mr. RANDY BORMAN (Chief of Territories, Cofan Tribe): (Speaking foreign language) 
FORERO: He speaks in flawless Cofan and is dressed in a traditional black smock, wearing a necklace laced with jaguar and wild boar's teeth. Borman engineered this latest land acquisition, and he has many others. That's brought nearly 1,700 square miles of rainforest into the Cofan's domain. 
Why is Randy Borman  an important figure for the Cofan Indians?
</t>
  </si>
  <si>
    <t xml:space="preserve">40. Truancy
A big crackdown on anti social behavior in Oldham town centre gets underway today. There’ll be extra police, security staff and youth workers in the area. Inspector Melita Walswick from Oldham Police says there’ll also be a truancy sweep to pinpoint youngsters who aren’t in school – We have a certain amount of children who truant from school and whilst they’re truanting they come into the town centre.. so we’ll be targeting them in terms of sometimes they’re committing minor shoplifting offences. The stores don’t like to bother the police when it’s a pound or one pound fifty. The problem is when that happens is we’ve got the same people coming back time and time again because there’s no responsibility being taken for those actions.
How is the crackdown going to affect Oldham?
</t>
  </si>
  <si>
    <t>3. I wouldn't be so nervous if I hadn't drunk so much coffee. Choose the correct statement</t>
  </si>
  <si>
    <t>4.  Motivation, rather than experience, often determines success. Choose the correct statement</t>
  </si>
  <si>
    <t>5. I can't wait to get the new Harry Potter book. Choose the correct statement</t>
  </si>
  <si>
    <t>6. You can tell summer is getting closer because the days are getting longer. Choose the correct statement</t>
  </si>
  <si>
    <t xml:space="preserve">7. W- Isn't John giving you a lift to the station too?
M- Yes, but he has left me till last.
Q- What can be deduced from this conversation?
</t>
  </si>
  <si>
    <t>8. The weather prevented the outdoor barbecue taking place. Choose the correct statement</t>
  </si>
  <si>
    <t xml:space="preserve">9. W- Which hat would you like sir?
M- It's a hard one; I'm spoiled for choice.
Q- What does the man mean?
</t>
  </si>
  <si>
    <t xml:space="preserve">10. W- So, what's your decision on the sale of the house?
M- Due to a higher bid, we have to refuse yours; sorry.
Q- What does the man mean?
</t>
  </si>
  <si>
    <t xml:space="preserve">11. M- Is that red Porsche parked in front of the bookstore Mike’s?
W- It can’t be his.  He drives a black one.
Q-What does the man mean?
</t>
  </si>
  <si>
    <t xml:space="preserve">12. The latest war lasted a lot less time than I thought it would.
W – You’re telling me.  It was over in a flash.
Q-.What does the woman infer?
</t>
  </si>
  <si>
    <t xml:space="preserve">13. It wasn’t like Debbie and Jeff to fight like that in front of everybody.
W- I know. I could hardly believe my eyes.
Q- What does the woman mean?
</t>
  </si>
  <si>
    <t xml:space="preserve">14. The power’s down, so the lift is not working.
M- Well, I’ll call maintenance and get them to send someone to fix it.
Q- What does the man mean?
</t>
  </si>
  <si>
    <t xml:space="preserve">15. W- I’m bored. Let's do something! Why don't we go out for dinner or go dancing?
M- Sorry Betty but I’m busy. I'm watching TV. And besides, I’m expecting Harry and Sally to pop in. 
Q- What is the man waiting for?
</t>
  </si>
  <si>
    <t xml:space="preserve">16. W- I sometimes get the feeling that wars have become public spectacles  and that people are becoming insensitive to the most horrific events.
M- Television is most likely to blame for that.  It’s often difficult to distinguish reality from fiction.
Q- What does the man mean?
</t>
  </si>
  <si>
    <t xml:space="preserve">17. Pm- Okay, the questioning will begin now, and to be used as evidence, the contents of this conversation shall be recorded.
W - That's fine officer, but I'd like to state for the record that my client is here of his own free will to co-operate with this investigation.  We are not admitting to anything.
Q- What does the woman say?
</t>
  </si>
  <si>
    <t xml:space="preserve">18. I was really surprised by the low number of casualties the allies had.
W- Yes.  Modern warfare has come on in leaps and bounds in this regard and the enemy had no answer to their firepower. 
Q-What does the woman mean?
</t>
  </si>
  <si>
    <t xml:space="preserve">20. W- And what did you think about the new concept of having reporters embedded in some units?
M- In general I think risking your life for a good story is an incredibly dangerous thing to do. 
you have to admire the bravado of those journalists. 
M- That goes without saying but do you think they are adequately compensated?
W- Sometimes, a love of what you are doing is more important than financial rewards.
M- Perhaps, but the chances of being wounded are considerably higher than for other journalists.
W- So what other types of satisfaction do they get?
M- I’d say that the most important thing would be prestige closely followed by a huge adrenaline rush.
Q- What can be inferred from what the man says? 
</t>
  </si>
  <si>
    <t>2. We found a weak, old Bulldog lying helplessly by the roadside. Choose the correct statement</t>
  </si>
  <si>
    <t>1. I was fined for leaving my car parked there.   Choose the correct statement</t>
  </si>
  <si>
    <t xml:space="preserve">39. Processed food
While you're loading your cart at the grocery store, you're probably not thinking about who's canning the peas, packing the pineapple or picking the flies off the jam before it gets to your store shelf. 
Well, that may change after this roundup of summer job stories. Our topic today: The not-so bright side of processed foods. 
And let's start with former fly picker, Howard Green. Howard worked at a food processor in Hamilton, Ontario one summer. They made jam. And Howard writes this: When the product came off the line, it was poured into these large pails, which were set out in a large room to cool. As you can imagine, flies were plentiful and some would settle on the jam and become stuck there as the product cooled. 
Well, after the cooling was complete, my job was to take a spoon and go around the room making sure all the flies were picked off before the lids were placed on top.
Choose the statement which is correct according to what you have heard?
</t>
  </si>
  <si>
    <t xml:space="preserve">22. The World Cup and social media
NORRIS: Today we ask, are they tough enough for the World Cup? We're not talking about a soccer team or individual soccer players. We're talking about social media, specifically Facebook and Twitter. Both sites have become phenomenally popular around the globe since the last soccer championship, four years ago. 
Could all that World Cup chatter shatter the sites? Here to talk about that and about what's clearly the most wired World Cup ever, we turn to our tech guru Omar Gallaga. 
NORRIS: Omar, there are reports that beyond sites like Twitter and Facebook, the entire Internet is lumbering under the weight of all those people working at keyboards large and small. Just how big of an Internet event is this? 
GALLAGA: The closest comparison I've seen to it is the Obama inauguration, which was also during the week and had people glued to their computers. So on Friday, when the first matches started, we saw a huge spike in Internet traffic, surpassing the Obama inauguration. Over the weekend, it tapered off some as people saw the matches on actual TVs. But we're anticipating that during this week, as more matches continue, that we're going to see that spike again, as people are watching stuff at work and not able to get away to an actual television. 
Which of the statements is true according to what you have heard?
</t>
  </si>
  <si>
    <t>EXAMEN 3 SCRIPT</t>
  </si>
  <si>
    <t>EXAMEN DE SEPT 2011</t>
  </si>
  <si>
    <t>1. Billy hasn’t got up yet . Choose the correct statement</t>
  </si>
  <si>
    <t>3. I’d ring your mother now if I were you.  Choose the correct statement</t>
  </si>
  <si>
    <t>5. I don’t find school all that interesting. Choose the correct statement</t>
  </si>
  <si>
    <t xml:space="preserve">7. M- My cooking stinks so I’m thinking of taking some cooking classes.
W- What ever for? I’ve always found your cooking quite tasty.
Q- What can be inferred from this conversation? 
</t>
  </si>
  <si>
    <t xml:space="preserve">9. M- Have you downloaded that file yet? 
W- I’ve still a bit to go. I only have limited bandwidth.
Q- What can be inferred from this conversation?
M- I warned her not to eat that sandwich. 
Q- What does the man mean?
</t>
  </si>
  <si>
    <t xml:space="preserve">8. Mary was rushed to hospital with a stomach complaint. 
M- I warned her not to eat that sandwich. 
Q- What does the man mean?
</t>
  </si>
  <si>
    <t xml:space="preserve">6. If the phone rings one more time, I’ll scream. 
M- You can divert your calls to mine if it will help.
Q- What does the man offer to do?
</t>
  </si>
  <si>
    <t xml:space="preserve">4. W- Did you get on with Raymond better before than now? 
M- Let’s just say that we never have really seen eye to eye.
Q- What does the man mean?
</t>
  </si>
  <si>
    <t xml:space="preserve">13. W- Chloe forgot to press the save button and she lost some important information. 
M- Tell her not to worry. It’s a mistake anyone could make.
Q- What does the man mean?
</t>
  </si>
  <si>
    <t xml:space="preserve">14. W- Please officer, don't threaten my client.  As you have said. Someone could have stolen it from the car' when my client wasn't present. 
Pm - I'm presuming that, because otherwise your client would have been really silly to leave behind a card for the police to find!
Q- What does the second man say?
</t>
  </si>
  <si>
    <t xml:space="preserve">15. M- I’ve heard that taxes are on their way up.
W- What? Weren’t tax cuts an election promise?
Q- What does the woman mean? 
</t>
  </si>
  <si>
    <t xml:space="preserve">17. Then it does seem strange that even though we know that oil is not a renewable energy source, we keep using so much of it. It’s almost a complete dependence. 
W- It does, indeed. I think that one of the problems is that nobody knows for certain just when the stuff will run out for good. There are only rough estimations. 
W- It’s also ironic that the crisis isn’t as high on the political agenda as it should be in many of the world’s industrialised countries. 
M- You’re not wrong. You’d think that something so crucial to the way we live would be of more political importance. 
W- So, when do you think we’ll hit the so-called peak?
M- That’s a difficult question to answer. Some say that it has already been hit. Others say that we are a few years away from it. My opinion tends to favour the latter point of view. 
 Q-What does the man mean?
M- Me too! It’s gone down hill since they changed chefs.
Q- What can be inferred from this conversation?
</t>
  </si>
  <si>
    <t xml:space="preserve">18. W - Please officer, let's get on with the interrogation.  I'm sure you could be doing something more interesting than this.  My client is obviously the victim of some type of robbery 18
Pm -Mr. Black, do you mean to tell me that you haven't noticed nor reported missing, one of your credit cards?
Q - What does the second man ask?
</t>
  </si>
  <si>
    <t xml:space="preserve">20. And what did you think about the new concept of having reporters embedded in some units? 
M- In general I think risking your life for a good story is an incredibly dangerous thing to do. 
W- Yes.  You’d have to be on your toes the whole time.  If you let down your guard for a minute you’re gone.
M- You’d also have to be heavily reliant on the skill of the unit you were embedded in.
M- When I come to think about it, this type of journalism must be one of the world’s most dangerous professions.
W- Without doubt.  There aren’t a great deal more that spring to mind.
M- Well all I can say is that you will never catch me in their shoes.  Not for all the prestige in the world.
W- It’s not often that we agree, but for once I’d have to say you’re right.
Q-What can be deduced from this conversation?
</t>
  </si>
  <si>
    <t xml:space="preserve">10. I can’t believe how many public works are currently being done! 
W- It’s all the new mayor’s fault, you know.
Q- What does the woman mean?
</t>
  </si>
  <si>
    <t xml:space="preserve">11. M- Harry’s promotion came rather unexpectedly. 
W- You’re telling me. My jaw hit the ground when I heard the news.
Q- What does the woman mean?
</t>
  </si>
  <si>
    <t xml:space="preserve">12. It looks as though we won’t get this assignment finished on time. 
M- We should have started it a little sooner.
Q- What does the man mean?
</t>
  </si>
  <si>
    <t xml:space="preserve">16. I’ve stopped going to that little Italian place in George Street.
M- Me too! It’s gone down hill since they changed chefs.
Q- What can be inferred from this conversation?
</t>
  </si>
  <si>
    <t xml:space="preserve">19. W- Harry, what do you make of the looming energy crisis? 
M- Well, I don’t think it has to be a crisis. We’ve had plenty of time to find alternative energy sources and there are some viable solutions.
Q- What does the man mean?
</t>
  </si>
  <si>
    <t>b) 95% percent of the population is covered by health insurance</t>
  </si>
  <si>
    <t>b) He is influenced by an overactive imagination</t>
  </si>
  <si>
    <t>b) Is typically Bolivian</t>
  </si>
  <si>
    <t>b) Approve the use of proper nouns in Scrabble</t>
  </si>
  <si>
    <t>b) Cynical</t>
  </si>
  <si>
    <t>b) Bill Gates’ ideas have fallen behind the times</t>
  </si>
  <si>
    <t>b) There will be a downturn in the growth rate of the U.S. population</t>
  </si>
  <si>
    <t>b) Judges have less power than previously to decide whether a noncitizen will be deported after committing a crime</t>
  </si>
  <si>
    <t>b) Dictatorships inspire creative talent</t>
  </si>
  <si>
    <t>b) The obesity problem in Malaysia is entirely due to the high number of fast-food restaurants</t>
  </si>
  <si>
    <t>b) The indigenous population tried to prevent Mr. Correa from becoming president</t>
  </si>
  <si>
    <t>b) The firearm experiencing the most rapid sales growth is not stocked at Wal-Mart</t>
  </si>
  <si>
    <t>b) The French auction house admitted that the statue is not genuine</t>
  </si>
  <si>
    <t>b) 26 minutes is the ideal time for a nap</t>
  </si>
  <si>
    <t>b) It has been possible to obtain a condensed version of ‘One Hundred Years of Solitude</t>
  </si>
  <si>
    <t>b) Losses for the manufacturing industry in the south</t>
  </si>
  <si>
    <t>c) Medicare costs have recently dwindled</t>
  </si>
  <si>
    <t>a) Put restrictions on peoples’ diets</t>
  </si>
  <si>
    <t>a) The indigenous people want to develop projects on their ancestral land</t>
  </si>
  <si>
    <t>a) Has left experts doubtful as to whether it will be effective</t>
  </si>
  <si>
    <t>a) Book publishers in China are intimated by the crackdowns</t>
  </si>
  <si>
    <t>a) Wind energy could be an economical alternative to nuclear power</t>
  </si>
  <si>
    <t>a) Doctors working in retirement homes are financially better off now than previously.</t>
  </si>
  <si>
    <t>a) Been jailed for committing crimes while sleepwalking</t>
  </si>
  <si>
    <t>a) Change the national habit of arriving late for work only</t>
  </si>
  <si>
    <t>a) The number of Scrabble fans will remain more or less the same</t>
  </si>
  <si>
    <t>a) Encourage Jordanians to become more serious</t>
  </si>
  <si>
    <t>a) Will construct micro-reactors in 2014</t>
  </si>
  <si>
    <t>a) The U.S. will experience a renewed growth as a result of its past</t>
  </si>
  <si>
    <t>a) More guarantees for the protection of the rights of immigrants</t>
  </si>
  <si>
    <t>a) The cultural strength of America has increased over the past 60 years</t>
  </si>
  <si>
    <t>2. How did we survive without the Internet in the past? Choose the correct statement</t>
  </si>
  <si>
    <t xml:space="preserve">26  November elections USA
What might strongly influence the outcome of the elections?
</t>
  </si>
  <si>
    <t>c) People who are shown to be prone to illness find it difficult to obtain health insurance</t>
  </si>
  <si>
    <t>c) He doesn’t remember his violent dreams</t>
  </si>
  <si>
    <t>c) Differs from his fellow countrymen regarding promptness</t>
  </si>
  <si>
    <t>c) Eliminate the use of proper nouns in Scrabble</t>
  </si>
  <si>
    <t>c) Pessimistic</t>
  </si>
  <si>
    <t>c) The ideals of environmentalists and those of Bill Gates diverge on the nuclear issue</t>
  </si>
  <si>
    <t>c) The U.S. population will be resourceful and youthful</t>
  </si>
  <si>
    <t>c) It is difficult for immigrants to obtain correct legal advice</t>
  </si>
  <si>
    <t>c) To say that dictatorships are good for artistic life is ridiculous.</t>
  </si>
  <si>
    <t>c) The obesity campaign was initiated by teachers</t>
  </si>
  <si>
    <t>c) President Correa has fulfilled earlier promises made to the indigenous population</t>
  </si>
  <si>
    <t>c) Wal-Mart stopped selling firearms due to customer protests</t>
  </si>
  <si>
    <t>c) The features of the statue were inconsistent with the culture it allegedly represents</t>
  </si>
  <si>
    <t>c) Combining coffee with a short nap will revive you</t>
  </si>
  <si>
    <t>c) It has been possible to obtain a copy of ‘One Hundred Years of Solitude’ by paying an excessive amount</t>
  </si>
  <si>
    <t>c) The disfiguring of the landscape with the appearance of new cables</t>
  </si>
  <si>
    <t>2. What does the woman mean?</t>
  </si>
  <si>
    <t>3. What does the man mean?</t>
  </si>
  <si>
    <t>4. What does the woman mean?</t>
  </si>
  <si>
    <t>5. What does the man mean?</t>
  </si>
  <si>
    <t>6. What does the woman mean?</t>
  </si>
  <si>
    <t xml:space="preserve">21. Nigerian scams
What can be said about Nigerian gangsters?
</t>
  </si>
  <si>
    <t>A. They are similar to their rivals</t>
  </si>
  <si>
    <t>B. They always pose as American army officers</t>
  </si>
  <si>
    <t>C. They convince women to send them money</t>
  </si>
  <si>
    <t>D.They are clever and entertaining at heart</t>
  </si>
  <si>
    <t xml:space="preserve">22. Property market influences elections
Which statement is correct?
</t>
  </si>
  <si>
    <t xml:space="preserve">23. The Eiffel Tower
Which statement is correct?
</t>
  </si>
  <si>
    <t>D. This was the second evacuation in a short time</t>
  </si>
  <si>
    <t xml:space="preserve">24. Boat heads for Gaza
Which statement about the boat is correct according to what you have heard?
</t>
  </si>
  <si>
    <t xml:space="preserve">25. Training Afghan soldiers for handover
Which statement is true?
</t>
  </si>
  <si>
    <t xml:space="preserve">27. AIDS
Which statement is correct according to the annual report?
</t>
  </si>
  <si>
    <t>C. Countries in need have access to combination therapy</t>
  </si>
  <si>
    <t xml:space="preserve">28. Philanthropy
What can be said about Bill Gates and Warren Buffet?
</t>
  </si>
  <si>
    <t xml:space="preserve">29. Air crash
Which statement is correct?
</t>
  </si>
  <si>
    <t>D. The passengers were all from Germany</t>
  </si>
  <si>
    <t xml:space="preserve">30. The future of the US
What does the speaker say?
</t>
  </si>
  <si>
    <t xml:space="preserve">31. Banking in Afghanistan
What can be said about Afghanistan?
</t>
  </si>
  <si>
    <t xml:space="preserve">32. Joan Sutherland
What impression do we get from the extract?
</t>
  </si>
  <si>
    <t>B. Joan Sutherland was an imposing presence on stage</t>
  </si>
  <si>
    <t xml:space="preserve">33. Education
Which statement is correct about universities in England?
</t>
  </si>
  <si>
    <t xml:space="preserve">34. Insolvency practitioners
Which statement is true about the insolvency professionals?
</t>
  </si>
  <si>
    <t xml:space="preserve">35. The Sudan
Which statement is correct according to the report?
</t>
  </si>
  <si>
    <t xml:space="preserve">36. Pakistan’s anger
Which statement is correct? 
</t>
  </si>
  <si>
    <t xml:space="preserve">37. Yemen
Which statement is true according to the report?
</t>
  </si>
  <si>
    <t xml:space="preserve">38. Anti-obesity  campaign
What does Michael Bloomberg want to do?
</t>
  </si>
  <si>
    <t xml:space="preserve">39. Rainforests
What can be said about rainforests?
</t>
  </si>
  <si>
    <t xml:space="preserve">40. Torture
Which of the following statements is true?
</t>
  </si>
  <si>
    <t>1. What does the man mean?</t>
  </si>
  <si>
    <t>EXAMEN 5 SCRIPT</t>
  </si>
  <si>
    <t>1. Alan says he ’ ll take you to the match if he can find the tickets. He ’ s so absent minded! What does the man mean?</t>
  </si>
  <si>
    <t>2. It took me five years to master Chinese cooking. What does the woman mean?</t>
  </si>
  <si>
    <t>3. Intel uncovered a terrorist cell three days ago. What does the man mean?</t>
  </si>
  <si>
    <t>4. The price of gold has skyrocketed. What does the woman mean?</t>
  </si>
  <si>
    <t>5. With inflation on the rise and salaries frozen, more and more people are finding it difficult to make ends meet. What does the man mean?</t>
  </si>
  <si>
    <t>6. If you need to cancel class, please give us 24 hours notice, otherwise you will be charged for the class. What does the woman mean?</t>
  </si>
  <si>
    <t>7. W: Colonel, what leverage or what means are at your disposal to make people obey?
M: I don't want to discuss leverage; no threats are being made.
What is the woman asking?</t>
  </si>
  <si>
    <t>8. W: Some people are accusing the government of withholding information to avoid embarrassment.
M: I know that.  And all I can say to that is that it is simply untrue.          
What does the woman mean?</t>
  </si>
  <si>
    <t>9. M:  I bought this microwave oven here last week, I’ve used it about 3 times and already it’s not working.  Can I exchange it for another one?
W:  You sure can, sir.  Just as long as you have your sales receipt.
What does the man need to show the woman in order to exchange the oven?</t>
  </si>
  <si>
    <t>10. W: Are you still planning to spend your summer vacation in Greece this year?
M: That plan didn’t work out because air fares have gone up so much recently. 
What does the man mean?</t>
  </si>
  <si>
    <t>11. M:  My new boss is Ronald Keller.  I don’t know anything about him. I hope he’s a nice person.
W:  Oh, I know him very well.  We go way back.  Give him my regards when you see him.
What does the woman mean?</t>
  </si>
  <si>
    <t>12. W:  There’s something wrong with this computer. The screen is much too dark. 
M:  That’s easy to fix.  Just adjust the brightness.  It’s that button with the sunshine symbol right here. 
What will the woman probably do?</t>
  </si>
  <si>
    <t xml:space="preserve">13. M:We have to stop and make camp here for the night.                                                  
 W: Then we should put together a makeshift tent.
What does the woman mean? </t>
  </si>
  <si>
    <t xml:space="preserve">14. W: Your father was a major and you’re a colonel.                                                    
M: You know what they say. The apple doesn’t fall far from the tree.   What does the man mean? </t>
  </si>
  <si>
    <t>15. M:  Did you see the cool ski equipment Dan bought on his trip to Switzerland?
W:  Yeah, it must have cost him an arm and a leg!
What does the woman mean?</t>
  </si>
  <si>
    <t>16. M:  So Jack landed a job as accounts manager at a big software company. Good for him! I suppose he’s raking it in now.
  W:  Are you kidding? The job’s not as great as it sounds. From what I’ve heard, he’s still having problems making ends meet.
What does the woman mean?</t>
  </si>
  <si>
    <t>17. M: Are you feeling the effects of this bad economy?                                                               
W: Well, I certainly have had to tighten my belt.                                                                       
What does the woman mean?</t>
  </si>
  <si>
    <t xml:space="preserve">18. M: Tom really mangled that speech. It was awful!                                                                                                                                                                                                                                           W: I know. I couldn’t make head or tail of it.                                                                                          What can be inferred from the conversation? </t>
  </si>
  <si>
    <t>19. . M: I think I aced the test.                                                                                                            
 W: Really. I think I blew it.                                                                                                          
What has happened?</t>
  </si>
  <si>
    <t>20. M: It’s a shame the project manager is leaving. She was great.                                                  W: I know what you mean. Whoever takes her place will have a hard time filling her shoes.                                                                                                                                           What does the woman mean?</t>
  </si>
  <si>
    <t xml:space="preserve">34. Insolvency practitioners
It’s a busy time for insolvency practitioners. These are the corporate undertakers for firms which crash and burn. But how well do they fulfill their functions. Some creditors complain about unfair treatment at the hands of these professionals. In court cases examined by File on 4, judges have been stern in their criticism. The office of fair trading is calling for far-reaching reforms. Even practitioners themselves admit their business is open to abuse – “We have large sums of money in our possession, we have resolutions that allow us to draw fees almost with impunity. Against that background, you would always have a tendency for more misconduct to occur in the insolvency field  ..”
Which statement is true about the insolvency professionals?
</t>
  </si>
  <si>
    <t xml:space="preserve">25. News from Pakistan
But first the news from Pakistan seems to be relentlessly bleak with bombs and floods and now to top it all three of the country’s cricket players including the captain of the national side are being questioned by London’s Metropolitan Police on allegations of taking part in a betting scam. This morning Pakistan’s High Commissioner in London  condemned the decision by the  International Cricket Council to suspend the three Pakistani players. NAME?? Hassan  told the BBC that the ICC’s actions showed that they were, as he put it, playing to the public gallery.
What can be said about the Pakistani cricket players?
</t>
  </si>
  <si>
    <t xml:space="preserve">26. The News of the World
Several public figures including the former deputy Prime Minister, Lord Prescott, say they’re ready to take legal action to find out if the News of the World   gained access to private telephone messages. Lord Prescott said he was having difficulty getting Scotland Yard to confirm whether his phone was involved.
What can be said about Lord Prescott?
</t>
  </si>
  <si>
    <t xml:space="preserve">28. London bombing
And then you look up and you see not one not two but a thousand German aircraft stretching right across the horizon in  a front over 20 miles long coming in to bomb the East of London. That’s what happened 70 years ago today. I’m now standing under the wing of a Heinkel HE111. It looks pretty flimsy, the wing here, but it’s a massive thing. I’ve just been crawling around inside it, there’s a tiny space. This thing carried about 3 tons worth of bombs that would have been dropped on London, one of the thousand aircraft attacking the capital 70 years ago today.
What can be said abut the aircraft?
</t>
  </si>
  <si>
    <t xml:space="preserve">30. Foreign students in the UK
The number of foreign students allowed into the UK is unsustainable according to the Immigration Minister Damien Green. He’s due to make a speech on Monday evening calling for tighter controls on their entry into Britain. More than 300,000 foreign students were given visas to study here in the last academic year -  that’s up a third on the year before. And new research from the Home Office suggests that one in five students are still in Britain 5 years later. 
What can be said about the Immigration Minister?
</t>
  </si>
  <si>
    <t xml:space="preserve">31. Drugs on Britain’s streets
An investigation by the BBC’s Five Live breakfast programme has found that the purity of drugs available on Britain’s streets is at an all time low. According to the Police a range of increasingly dangerous substances is being used to bulk out recreational drugs that are then widely sold in clubs, pubs  and  on the street. Officers have seized ecstasy tablets that contained as little as 1% MDMA, the active chemical and cocaine that was as low as 3%. Dealers and former dealers have admitted to cutting the drugs with substances including horse tranquillizer, rat poison, a potentially carcinogenic painkiller, and in one case powdered glass.  
Choose the correct statement according to what you have heard
</t>
  </si>
  <si>
    <t xml:space="preserve">32. NY City playgrounds
New York City opened a new playground today. It's called the Imagination Playground, and it's made up of hundreds of giant blue foam tinker toys.  
(Soundbite of applause) 
Smith: The Imagination Playground began, as do many things in New York City, with a cranky architect. David Rockwell has two young kids, and he lives in Lower Manhattan, and as he watched them play on the same set of swings and monkey bars, he thought there must be a better way. 
Mr. David Rockwell (Architect): And I was obsessed with trying to figure it out. 
Smith: It turns out there is a theory of playgrounds that's been around for decades: Just get the big structures out of the way and let kids be kids. So Rockwell designed the park as a large figure eight with sand, water, pulleys and those blue blocks. 
Mr. Rockwell: And as you'll see, there's hundreds of movable objects. Nothing is tied down, and the options are endless. 
Which of the following statements is true according to what you have heard
</t>
  </si>
  <si>
    <t xml:space="preserve">33. Dale’s murder
 At the end of the legal process which involved a trial, an appeal and retrial, only one person is serving life for Dale’s murder. Three were convicted of violent disorder, three acquitted. They had been charged under Joint Enterprise. This ancient legal doctrine is often used to deal with gang related murder. For it to be applied it only needs to be proved that a person within the group could foresee that another person might kill or cause grievous bodily harm 
Which of the following statements is true?
</t>
  </si>
  <si>
    <t xml:space="preserve">34. The Divorce Ranch
Time now for StoryCorps. Today, a bit of forgotten history from Reno, Nevada. In 1931, the state passed a law that made it the easiest place in the country to get a divorce. All you had to do was establish residency, which took six weeks. People flocked to Reno, especially women. They stayed in resorts called divorce ranches for what became known as the Reno Cure. 
We'll hear now from two sisters who lived on one of those ranches: Beth Ward and Robbie McBride. Their family owned the Whitney Ranch and they talked with each other about life among the divorcees. 
Ms. ROBBIE MCBRIDE: Most of the guests came from New York, New Jersey. 
Ms. BETH WARD: At the end of their six weeks, mother would go to court with them and testify that they had been a resident at the ranch and she had seen them every day.
Choose the statement which is correct according to what you have heard.
</t>
  </si>
  <si>
    <t xml:space="preserve">36. Chilean miners’ update
The engineers are digging two escape tunnels for the men and plan to start on a third one soon. Work on the second of the tunnels is going particularly well. René Aguilar, one of the chief engineers at the site, said he expected the drill to reach the area where the miners are sheltering this weekend.
Then, the engineers will haul the drill up to the surface and start digging again, to widen the shaft until it's big enough to serve as an escape route. Aguilar said the team expected to rescue the men in early November.
The news has been welcomed by relatives of the men, who have been celebrating the birth of one of the miners' daughters. Baby Esperanza was born on Tuesday. Her father Ariel Ticona is trapped below ground.
Video images of the birth were sent down a supply chute to the miners' refuge so that he could watch them.
Choose the correct statement?
</t>
  </si>
  <si>
    <t xml:space="preserve">37. Artic claims
As temperatures rise and the polar ice caps melt, the race is on to unlock the treasures of
the Arctic.
This region is thought to contain one quarter of the world's untapped oil and gas reserves,
and there's stiff competition for them. America, Canada, Denmark and Norway have all
staked territorial claims in the Arctic, and so has Russia.
Three years ago, a Russian expedition planted a titanium flag on the ocean floor beneath the
North Pole. It was a symbol of Moscow's determination to protect what it sees as its national
interest.
In Moscow this week scientists, businessmen and politicians from Arctic nations will discuss
co-operation, but they're also expected to push their countries' claims in the region.
Choose the statement which is correct according to the extract
</t>
  </si>
  <si>
    <t xml:space="preserve">38. Betancourt
In 2002, the Colombian presidential candidate, Ingrid Betancourt was abducted by Marxist FARC guerillas and held captive for six whole years and for much of that time she endured pretty awful physical and mental torture. After a failed escape attempt 2005, she found herself chained by her neck to a tree in the Amazon jungle for 24 hours a day. She was eventually freed by the Colombian military along with 14 other captives who were being held by FARC. It is an extraordinary story - she’s now written her memoir – “Even silence has an end”. I spoke to her a few days ago in New York and asked her about the difficulty of recalling and then writing about that terrible ordeal.
What can be said about Ingrid Betancourt?
</t>
  </si>
  <si>
    <t xml:space="preserve">39. Obesity
PATTI NEIGHMOND: Philippa Clarke, a researcher at the University of Michigan, wanted to know what happens to people who've been overweight or obese since adolescence. She compared one group of 40-year-olds who were normal weight at high school graduation but who gained weight gradually over time to another group of 40-year-olds who were overweight since age 19. 
Ms. PHILIPPA CLARKE (University of Michigan): We found that those people who are persistently overweight were more likely to not have gone on to have any further education beyond their high school degree, to be receiving welfare or unemployment compensation at age 40, and to have no current partner. 
NEIGHMOND: Clarke says her study didn't address why, but she speculates these adults probably experienced discrimination as children, discrimination that diminished their self-esteem and, in turn, their aspirations
According to the conversation what can be said about obesity?
</t>
  </si>
  <si>
    <t xml:space="preserve">40. INDIA – Honour killings
COREY FLINTOFF: There's no more joyous celebration in India than a marriage, the central institution that unites extended families and fulfills the society's strongest values. But there's a dark side. Nearly every day, Indian media carry reports like this one on Delhi's News X Channel, on the murders of young people who tried to defy very specific local rules about who can marry whom. 
(Soundbite of news clip, News X Channel) 
Unidentified Woman: Delhi's New French Colony woke up to a shock this morning. A couple was found murdered in a suspected case of dishonor killing. The man's body bore strangulation marks, while the woman was found tied and frothing at the mouth. The girl's father and the guard of the building have been arrested. 
FLINTOFF: In northern India, the prohibitions usually involve couples who marry outside their caste or their bloodlines; a complicated system of lineage called a gotra. In rural areas, they're enforced by informal councils of village elders, called khap panchayat.
Which of the statements is true according to the extract?
</t>
  </si>
  <si>
    <t xml:space="preserve">21. Lindsay Lohan
In 2007 Lindsay Lohan pleaded guilty to two counts of being under the influence of cocaine and no contest to two drunk driving charges. She went to jail but spent only 84 minutes behind bars. She was also ordered to complete a series of alcohol education courses. But she failed to do them on time and missed a number of meetings. When the judge announced that she was now sentencing Lohan to 90 days in jail, the actress burst into tears.
She isn't required to go to jail until July 20th but when she's released she'll have to enter an in-patient rehabilitation programme.
Which of the statements below is true about Ms Lohan?
</t>
  </si>
  <si>
    <t xml:space="preserve">22. Processed food
While you're loading your cart at the grocery store, you're probably not thinking about who's canning the peas, packing the pineapple or picking the flies off the jam before it gets to your store shelf. 
Well, that may change after this roundup of summer job stories. Our topic today: The not-so bright side of processed foods. 
And let's start with former fly picker, Howard Green. Howard worked at a food processor in Hamilton, Ontario one summer. They made jam. And Howard writes this: When the product came off the line, it was poured into these large pails, which were set out in a large room to cool. As you can imagine, flies were plentiful and some would settle on the jam and become stuck there as the product cooled. 
Well, after the cooling was complete, my job was to take a spoon and go around the room making sure all the flies were picked off before the lids were placed on top.
Choose the statement which is correct according to what you have heard
</t>
  </si>
  <si>
    <t xml:space="preserve">23. Truancy
A big crackdown on anti social behavior in Oldham town centre gets underway today. There’ll be extra police, security staff and youth workers in the area. Inspector Melita Walswick from Oldham Police says there’ll also be a truancy sweep to pinpoint youngsters who aren’t in school – “We have a certain amount of children who truant from school and whilst they’re truanting they come into the town centre.. so we’ll be targeting them in terms of sometimes they’re committing minor shoplifting offences. The stores don’t like to bother the police when it’s a pound or one pound fifty. The problem is when that happens is we’ve got the same people coming back time and time again because there’s no responsibility being taken for those actions.
How is the crackdown going to affect Oldham?
</t>
  </si>
  <si>
    <t xml:space="preserve">24. Wimbledon victory
Just as he did when he claimed his first Wimbledon title in 2008, Rafael Nadal fell to the floor
to celebrate winning his eighth grand slam.
After missing out on the chance to defend his crown last year because of a knee injury, this
victory will mean everything to the Spaniard.
He was back on the biggest stage in tennis and he never looked like losing. The world
number one won the first set 6-3 in just 34 minutes. And although Thomas Berdych had
chances in the second set - wasting four break points - Nadal upped his game just at the
right time to take it 7-5.
Then with his Czech opponent serving to stay in the match he struck again, taking his first
Championship point with yet another powerful winner. So Nadal is Wimbledon champion
for the second time. And on this evidence he may well be the man to beat here for years to
come.
What can be said about Rafa Nadal?
</t>
  </si>
  <si>
    <t xml:space="preserve">27. Peace talks
A day after the first direct peace talks between Israeli and Palestinian leaders for nearly two years there‘s been an angry reaction from right wing activists in Israel and militant groups in Gaza. Hamas, which runs Gaza, wasn’t present at the Washington talks and its armed wing carried out a number of attacks against Israelis while negotiations were going on.
Which statement is true according to what you have heard?
</t>
  </si>
  <si>
    <t xml:space="preserve">29. Alcohol consumption
In Scotland ministers are proposing to set a minimum price for alcohol of forty five pence per unit. Dr O’Flanagan says that’s encouraging. ‘Certainly the British medical Association has been very strongly in favour of a minimum price per unit for a couple of years now .. and certainly, … concerns would be levels of consumption particularly amongst younger people 16-24 age group and a lower age of starting to drink. I think also though we need to maybe have the scales fall from our eyes on just how huge a problem alcohol is in the UK. We estimate around one point eight million people are heavy alcohol drinkers and have alcohol related problems and I think that’s a significant proportion of the UK …
Which of the following statements is correct?
</t>
  </si>
  <si>
    <t xml:space="preserve">35. Manchester Library
A fresh chapter in the life of Manchester Central Library begins today. The temporary City Library on Dean’s Gate will be its new home while a 3-year refurbishment is carried out. More than a million books and archives have been put into storage and Library spokesman Neil McKinnock says they’re trying to offer as wide a range of facilities as they can in the meantime.
“I think what we’ve done …..we’ve tried to … we’ve accommodated what we can. We’ve cherry picked some of the best bits of Central Library like the Local Studies and the Archives, the Music Room, the Chinese library.. so I think we’ll be able to offer a comprehensive library service for Manchester residents and visitors to the city.
What can be said about Manchester Central Library?
</t>
  </si>
  <si>
    <t xml:space="preserve">B.B.C. News. April 19 2011.
An international conference and summit are due to convene in Ukraine to raise money for continuing safety measures at the Chernobyl nuclear plant. The goal of the conference in Kiev is to raise $1billion to finance a new structure to contain the radiation. Representatives from more than 40 countries and international organizations are due to attend. It also coincides with the 25th anniversary of the accident later this month.                                                                                 The Chernobyl conference has been planned for years, but has gained a new impetus with the continuing emergency at the Fukushima nuclear power plant in Japan. Ukraine’s government, along with the European Union and the European Bank for Reconstruction and Development, are building a giant arch to cover Chernobyl’s exploded reactor and steel sarcophagus. The sarcophagus was hastily built around the reactor just after the accident in 1986 to contain the radiation and is now nearing the end of its life. The new structure will be the largest of its kind in the world- more than 100m high, 250m wide and 160m long. It will slide over the damaged reactor and is expected to give Ukraine 100 years to dispose of the nuclear waste.
</t>
  </si>
  <si>
    <t xml:space="preserve">The Guardian. April 20 2011.
Parcel bombs intended to kill or maim have been sent to the Celtic manager, Neil Lennon, and two other prominent fans of the club –the manager’s lawyer and a senior Labor politician. The three devices, discovered at several locations in the west of Scotland over the past month, are considered dangerous, a senior police source confirmed. One, addressed to Lennon at Celtic’s training ground, was intercepted by Royal Mail staff, but a second was forwarded to the constituency office of the Labor MSP Trish Godman, a former deputy presiding officer of the Scottish parliament and a Celtic fan. Detectives initially believed the parcels were elaborate hoaxes intended to distress their targets, but later decided that they were viable explosive devices. The third device was addressed to Paul McBride QC who, speaking at the Faculty of Advocates lawyer’s offices in Edinburgh, had made outspoken attacks on the Scottish Football Association for its treatment of Lennon over alleged disciplinary offences. It is understood that all devices were sent from within Scotland. Anti-terrorism branch officers were initially involved, but have ruled out loyalist terrorist involvement. Ministers in the Scottish government secretly convened a cabinet sub-committee meeting on Saturday to discuss the discoveries. News media were asked not to report the incidents to avoid prejudicing a police investigation. Police sources told the BBC the devices were liquid-based and not nail bombs, but were rudimentary and did not seem to have been made by someone with paramilitary training.
</t>
  </si>
  <si>
    <t>a) Was refused entry into Malawi because of his passport</t>
  </si>
  <si>
    <t xml:space="preserve">25. Which of the following is true? </t>
  </si>
  <si>
    <t xml:space="preserve">26. The article claims that; </t>
  </si>
  <si>
    <t>27. According to the report, the devices;</t>
  </si>
  <si>
    <t xml:space="preserve">21. According to the article; </t>
  </si>
  <si>
    <t xml:space="preserve">22. According to the article, Peter Solomon; </t>
  </si>
  <si>
    <t xml:space="preserve">23. The aim of the report, ‘No Easy Options’ is to; </t>
  </si>
  <si>
    <t xml:space="preserve">24. The international conference was planned; </t>
  </si>
  <si>
    <t xml:space="preserve">28. The article suggests that; </t>
  </si>
  <si>
    <t>29. The purpose of the dinner was;</t>
  </si>
  <si>
    <t xml:space="preserve">30. In general, the dinner could be described as being; </t>
  </si>
  <si>
    <t>a) The senators from rural states want the wolves to remain under protection</t>
  </si>
  <si>
    <t>a) Because of the nuclear emergency in Japan</t>
  </si>
  <si>
    <t>a) Green campaigners are opposed to the proposed measures</t>
  </si>
  <si>
    <t>a) Were found to be harmless</t>
  </si>
  <si>
    <t>a) The charity funds are not being used as intended</t>
  </si>
  <si>
    <t>a) To celebrate France’s glorious past</t>
  </si>
  <si>
    <t>a) Defend illegal immigrants</t>
  </si>
  <si>
    <t>a) Oil companies have little influence at government level discussions</t>
  </si>
  <si>
    <t>a) A magnificent success</t>
  </si>
  <si>
    <t>b) The wolves appear to be destroying other species</t>
  </si>
  <si>
    <t>b) Was previously a supporter of Mugabe</t>
  </si>
  <si>
    <t>b) To discuss the building of a new nuclear plant</t>
  </si>
  <si>
    <t>b) The oil industry has agreed to the proposed measures</t>
  </si>
  <si>
    <t>b) Were not sophisticated</t>
  </si>
  <si>
    <t>b) Mortenson has donated a lot of money to charity</t>
  </si>
  <si>
    <t>b) To experience the dining traditions of Louis XIV</t>
  </si>
  <si>
    <t>b) Explore whether illegal immigration should be reduced</t>
  </si>
  <si>
    <t>b) Oil executives were actively involved in planning the proposed measures</t>
  </si>
  <si>
    <t>b) Beset with catering problems</t>
  </si>
  <si>
    <t>c) Wildlife conservation groups are more concerned about elk than wolves</t>
  </si>
  <si>
    <t>c) Was declined refuge because of false documents</t>
  </si>
  <si>
    <t>c) Prior to the nuclear emergency in Japan</t>
  </si>
  <si>
    <t>c) The U.K. government is in favor of the proposed measures</t>
  </si>
  <si>
    <t>c) Were sent as an attempted terrorist attack</t>
  </si>
  <si>
    <t>c) Mortenson has been convicted of fraud</t>
  </si>
  <si>
    <t>c) To promote French culture and dining</t>
  </si>
  <si>
    <t>c) Argue in favor of the expulsion of all illegal immigrants</t>
  </si>
  <si>
    <t>c) Drilling operations of EU oil companies would not be exempt from the new measures</t>
  </si>
  <si>
    <t>c) A financial disaster</t>
  </si>
  <si>
    <t>d) There has never been a large-scale wolf hunt before</t>
  </si>
  <si>
    <t>d) Is paying tax while waiting for his appeal</t>
  </si>
  <si>
    <t>d) To discuss ways to dispose of nuclear waste</t>
  </si>
  <si>
    <t>d) European national governments have opposed the proposed measures</t>
  </si>
  <si>
    <t>d) Were discussed in the media</t>
  </si>
  <si>
    <t>d) Mortenson’s former associates are now running the charity</t>
  </si>
  <si>
    <t>d) To promote a hotel chain</t>
  </si>
  <si>
    <t>d) Explore ways to reduce illegal immigration</t>
  </si>
  <si>
    <t>d) The new proposed measures will be put into practice in July</t>
  </si>
  <si>
    <t>d) An experiment in cooking in difficult conditions</t>
  </si>
  <si>
    <t xml:space="preserve">B.B.C. News. April 15 2011.
Politicians in the U.S. Congress have for the first time removed a previously threatened animal from the nation’s endangered species list. The move is the culmination of a long dispute that has pitted wolves’ defenders against hunters who said the animals were devastating wild game they wanted for themselves. At the stroke of a pen, U.S. President Barack Obama on Friday stepped into a bloody fight between two American populations with clout in Washington and a loud voice in the news media – wolves and elk. Tucked into a budget bill Mr. Obama signed on Friday is a provision to remove grey wolves in a wide swath of the American West from the U.S. endangered species list. The move, sponsored by a bipartisan group of senators from rural western states and one of several policy measures grafted on to the budget, will eventually allow affected states to manage the size of wolf packs and, hunters say, help restore elk herds they say have been ravaged by hungry wolves.                                                                                                But wildlife conservation groups fear it could set a precedent for political interference in a process that has previously been left to biologists. The law removes federal protection from grey wolves in Montana, Idaho and parts of three other states. Montana and Idaho have already planned wolf hunts, and the wolves’ champions fear the worst. -We may soon be witnessing the second large-scale extermination of wolves in the west,- said Suzanne Stone of Defenders of Wildlife, which has fought vigorously to maintain the wolves’ federal protection.
</t>
  </si>
  <si>
    <t>Peter Solomon, 46, is a former trade union representative who spent 17 years in the transport sector. He is a hardworking taxpayer and father-of-three who, until recently, worked as a security guard in Manchester where he rented a flat. He is also an illegal immigrant. Solomon, a former train conductor, fled Zimbabwe in 2005 in fear for his life after threats from President Robert Mugabe’s supporters and allegations that he was disloyal. He sold his belongings to buy a Malawian passport for $1,000, knowing that Malawians did not then need U.K. visas. However, his use of the passport backfired as he was refused asylum last year on the grounds his is not Zimbabwean and should return to Malawi. After a spell in detention, he is awaiting his appeal in London, supported by the government’s National Asylum Support Service. He cannot work and is on medication for depression. -I’m a professional man, I want to contribute,-insists Solomon. -I can work hard and I want to pay tax, it makes no sense.-                                 Hard-hitting research by the Institute for Public Policy Research (IPPR), highlights how people like Solomon form part of a 618,000-strong underclass in U.K. society. Illegal, or irregular, immigrants include economic migrants stowing away to work clandestinely. Yet others fall into illegality, sometimes unwittingly, while some, like Solomon occupy a grey area. Today’s 151-page report, -No Easy Options-, attempts to deal pragmatically with a contentious issue. The report asks not if irregular immigration should be reduced, but how. -Our report is an attempt to steer a middle course between the ‘kick them all out’ and ‘let them all stay’ lines of argument,- says Tim Finch, the report’s co-author and former director of communications at the Refugee Council.</t>
  </si>
  <si>
    <t xml:space="preserve">The Guardian. April 19 2011.
European plans to crack down hard on oil companies with a series of measures to prevent a spill in EU waters like that of BP’s Gulf of Mexico disaster, are under attack from the U.K. and other national governments. The measures, backed by the EU’s energy chief, Gunter Oettinger, require companies to use a higher standard of equipment, pay for damage for which they are not liable now, and prove they have enough funds to clear up after any accident, before they can be licensed to drill. The rules will be brought forward in July, and would apply to new and controversial deepwater drilling operations being embarked upon by several firms, such as Chevron at its site west of Shetland, and Cairn Energy in Greenland.                                                              Green campaigners welcomed the tougher stance from the European commission, but warned that the proposals were under attack. Richard George, an oil campaigner for Greenpeace, said: -If these regulations pass they’ll be a good first step towards ensuring that the oil companies are held responsible for their spills. The concern right now is that national governments, with U.K. at the forefront, are working hard to water down these proposals at the behest of the oil companies. David Cameron needs to get behind efforts to prevent a Deepwater Horizon-style disaster in European waters.-                                                                                                                                      The oil industry is mounting a rearguard action, to get the rules changed before they can be brought into effect. 
</t>
  </si>
  <si>
    <t xml:space="preserve">The Guardian. April 18 2011.
Greg Mortenson, best-selling author, philanthropist, mountaineer and favorite of President Barack Obama is fighting off another title: fraudster. The influential author of ‘Three Cups of Tea’ has become the latest bestselling memoir writer to be accused of passing off fiction as fact. Mortenson’s book is an inspirational tale of a mountaineer who finds a remote village after failing to climb K2, the world’s second highest mountain. He is taken in by strangers and three cups of tea later he promises to build them a school. The charity inspired by the encounter has raised $60m and in 2009 said it was supporting 54 schools in Afghanistan serving 28,475 students, 21,165 of them girls. Obama donated $100,000 to the group from the proceeds of his Nobel prize. The book has become required reading for US servicemen heading for Afghanistan.                                                                                                                                                             But reporters for CBS’s 60 Minutes program visited almost 30 of the schools and claimed that roughly half were empty, built by someone else or not receiving any support. The program alleged that Mortenson’s charity, Central Asia Institute (CAI), spent more on book promotion and publicity than on building schools. Mortenson took private jets to events where he was paid $30,000 to speak, according to the program, and former associates accused him of using CAI as his own -private cash machine-. Mortenson denies the allegations.
</t>
  </si>
  <si>
    <t>Better, Not Bigger.The notion that our progress (and happiness) equates to our consumption became very strongly embedded in economic policy not least because we can measure consumption, and although we know it’s imperfect at some level, it works. There is however, a whole array of proposals aimed at readdressing this.                                                                                                                     For example, the Redefining Progress approach is based on broadening our conception of affluence beyond Gross Domestic Product (GDP) to the Genuine Progress Indicator. The ‘capability approach’, articulated by India’s Nobel Prize winning economist Amartya Sen and others, has provided the basis for the Human Development Index and mainstream acceptance of wider measures of welfare.                                                                                                                           Some are advocating economic changes that address the key problems affecting the world’s resources and climate systems. Jackson, believes, as many have long warned, that we must recognize that exponential growth interacts with resources so that we may begin to adjust our economic activity in the face of scarcity and constraint.                                                                         -Prosperity consists in our ability to flourish as human beings –within the ecological limits of a finite planet,- states Jackson in the report. -The challenge for our society is to create the conditions under which this is possible. It is the most urgent task of our times.-                                    So, beyond concepts of green growth or sustainable growth there is also that of ‘no growth’. The latter is distinguished by the fact that it does not equate ‘development’ with economic expansion. The so-called ‘steady state economy’ would look very different than our current system. We may share jobs, which would mean less income but, if we must still believe that time is money, increasing our time capital would afford us the luxury of doing the things that money can’t, or would no longer be needed to, buy. The Center for the Advancement of the Steady State Economy has summarized a number of policies from leading thinkers in this area</t>
  </si>
  <si>
    <t xml:space="preserve">The New York Times. April 8 2011.
The generals in crisp, white uniforms plotted their strategy in the grand Hall of Battles in the Palace of Versailles. They were not there to recall the military victories of France’s past depicted in the graphic paintings lining the walls, but to celebrate the ritual of dining. Inspired by the United Nations designation last year of the French meal as part of the -intangible cultural heritage of humanity-, 60 of the world’s big-name chefs gathered at Versailles on Wednesday to help prepare a $1,270-a-head dinner for 650 guests in black tie, fancy dress and a fair amount of fur and feathers. The dinner was a public relations extravaganza for the Relais and Chateaux hotel and restaurant group, which brought in its own chefs and paid $114,000 to rent Versailles for the night.                                                                                                                       Versailles is the most glorious chateaux in the world, the place where Louis XIV raised fine dining to an art. But it is also a museum without a kitchen. A long, white marble corridor with sculptures of kings and noblemen had to be lined with 17 portable work stations, each consisting of one table, one oven and one electric burner, but no gas or running water.  -Let’s be honest,- said Patrick Henriroux, chef of the two- star Michelin La Pyramide in Vienne near Lyon. -This is not about creating in a kitchen. It’s more like cooking on a camping trip.-                            Daniel Humm of New York’s Eleven Madison Park paced up and down the long corridor. Hèlène Darroze, one of only two women among the five dozen chefs, was hugged and kissed a lot. By most accounts, even their collective talent could not overcome the logistical hurdles. Guests muttered that the caviar dollops on the lightly smoked sea bass were too cold, the gelled lobster claws too bland and the canard de Challans too naked.
The New York Times. April 8 2011.
The generals in crisp, white uniforms plotted their strategy in the grand Hall of Battles in the Palace of Versailles. They were not there to recall the military victories of France’s past depicted in the graphic paintings lining the walls, but to celebrate the ritual of dining. Inspired by the United Nations designation last year of the French meal as part of the “intangible cultural heritage of humanity”, 60 of the world’s big-name chefs gathered at Versailles on Wednesday to help prepare a $1,270-a-head dinner for 650 guests in black tie, fancy dress and a fair amount of fur and feathers. The dinner was a public relations extravaganza for the Relais and Chateaux hotel and restaurant group, which brought in its own chefs and paid $114,000 to rent Versailles for the night.                                                                                                                       Versailles is the most glorious chateaux in the world, the place where Louis XIV raised fine dining to an art. But it is also a museum without a kitchen. A long, white marble corridor with sculptures of kings and noblemen had to be lined with 17 portable work stations, each consisting of one table, one oven and one electric burner, but no gas or running water.  -Let’s be honest,” said Patrick Henriroux, chef of the two- star Michelin La Pyramide in Vienne near Lyon. “This is not about creating in a kitchen. It’s more like cooking on a camping trip.-                           Daniel Humm of New York’s Eleven Madison Park paced up and down the long corridor. Hèlène Darroze, one of only two women among the five dozen chefs, was hugged and kissed a lot. By most accounts, even their collective talent could not overcome the logistical hurdles. Guests muttered that the caviar dollops on the lightly smoked sea bass were too cold, the gelled lobster claws too bland and the canard de Challans too naked.
</t>
  </si>
  <si>
    <t>Last March, Tim Jackson put forward the idea of prosperity without growth in a report published by the United Kingdom’s Sustainable Development Commission and followed up with a book of the same name released last November. The book is a best seller (ranked 1,729 on Amazon) and in it he argues convincingly that we can still prosper without adhering to the encoded mantra of expansion and growth that permeates modern market economies.                           More recently, in January 2010, Andrew Simms and Victoria Johnson at the New Economics Foundation (NEF) published a more emphatic message in their report entitled Growth Isn’t Possible. They argue that we should abandon the notion of growth altogether. The premise is that we need a new economic model -that allows the human population as a whole to thrive without having to rely on ultimately impossible endless increases in consumption.-                                        In influential forums – like the G8 or G20, for instance - while it is acceptable and even desirable to use the word ‘sustainability’ in communiqués, it is most certainly taboo to equate -no economic growth- to social good. However, such heresy nonetheless finds traction (if only in book sales), even when our world is suffering from the ills of economic recession.                              When addressing our environmental ills, the closest we ever seem to get is -decoupling-. This idea has been around for decades and essentially suggests that we can break the links between economic growth and nasty side effects like pollution (e.g., carbon dioxide).  Decoupling is done by producing things more efficiently –using less (and preferably renewable)  energy or using technology to capture the pollution. However, Jackson says that this relative decoupling is a myth – simply the acceptable face of sustainability that leaves our complex social and economic systems unchanged</t>
  </si>
  <si>
    <t>Just hours after returning to the United States on an overnight flight from Afghanistan Tuesday, General David Petraeus appeared at the Woodrow Wilson International Center for Scholars to talk about the U.S.  Central Command he heads and U.S. efforts in Iraq and Afghanistan, looking not the least bit jet lagged.                                                                                Petraeus is intelligent, well-spoken and polished, and his comments about the challenges facing the United States sounded more like those of a politician or diplomat than a general. He often speaks about his job in political terms and is keenly aware of the local political pressures, which have a huge impact on successful military outcomes.                                                                                    He talks about having “a constituency” in Iraq and Afghanistan of local residents who will -tolerate- the U.S. presence as long as they believe their future and those of their families will be improved by it. He also has a keen instinct and appreciation for the essential public relations aspects of his job and says the U.S. military should always -be first with the truth” when it comes to their actions abroad.                                                                                                       Petraeus has frequently been compared to warrior/president Dwight Eisenhower and has for years been mentioned as a potential presidential candidate. But the comparisons to Eisenhower may actually do the 57-year-old Petraeus a bit of a disservice.                                               Petraeus, a true warrior/scholar, graduated at the top of his class at West Point and has a Ph.D from Princeton, where the title of his dissertation was, -The American Military and the Lessons of Vietnam.- He has a reputation for courting not only his military and executive branch bosses but members of Congress and the media, who seem to largely be Petraeus fans.                                                            Republican Sen. Lindsey Graham told the -New York Times- last fall that Petraeus -understands the Congress better than any military commander I’ve ever met.- According to those who know him and have served with him, Petraeus is fiercely competitive, although he is smaller than one might expect at five feet nine inches tall, with a slight but athletic build</t>
  </si>
  <si>
    <t xml:space="preserve">35.The Sudan
The UN is stepping up pressure on Sudan to ensure that a referendum which could lead to the break-up of the country goes ahead as planned early next year. It all goes back to a peace deal reached in 2005 to end decades of civil war. As part of that agreement the people of southern Sudan were promised a chance to vote on whether to secede from the north.
Which statement is correct according to the report?
</t>
  </si>
  <si>
    <t xml:space="preserve">36. Pakistan’s anger
The US is trying to calm Pakistan’s anger over a helicopter strike that killed three Pakistani soldiers last week. Pakistan reacted by closing supply lines into Afghanistan. Now the Obama administration wants to defuse tensions over other issues. One is defining exactly what role Pakistan will play in neighbouring Afghanistan’s efforts at reconciliation with the Taliban. 
Which statement is correct? 
</t>
  </si>
  <si>
    <t xml:space="preserve">37. Yemen
Militants in Yemen have fired a rocket propelled grenade at a motorcade carrying British embassy staff. The convoy was hit by shrapnel slightly injuring one of the British diplomats. The attack comes just six months after Britain’s Ambassador to Yemen was targeted by a suicide bomber. In a separate attack a security guard shot dead a French employee working for a western oil company in Yemen
Which statement is true according to the report?
</t>
  </si>
  <si>
    <t xml:space="preserve">38. Anti-obesity campaign
New York mayor, Michael Bloomberg wants to bar poor people from using food stamps to buy soda and other sugary drinks. The ban would continue the city’s anti-obesity campaign. The city can’t impose it without permission from the Agriculture Department in Washington which runs the food stamp programme.
What does Michael Bloomberg want to do?
</t>
  </si>
  <si>
    <t xml:space="preserve">39. Rainforests
Rainforests, in particular near the Equator have incredibly significant impact on regional hydrology. They’re props to the water cycle and therefore losing them has serious implications for potential rainfall of very wide areas. There’s an estimate that agriculture in South America and even up into the Mid-west of the US would suffer grievously if the Amazon rainforest was to disappear for example
What can be said about rainforests?
</t>
  </si>
  <si>
    <t xml:space="preserve">40. Torture
Poland and Lithuania have joined a grim list of countries where people have been tortured in the name of the so-called War on Terror. It’s been known for a while that the CIA contracted out the torture of high-level terrorism suspects but an official who’s uncovered a secret network of  prisons in Europe has told the BBC there’s now evidence to a criminal standard of proof that Khnad Sheik Mohammed, the man accused of masterminding the 9/11 attacks was water-boarded in Poland months before it joined the European Union.
Which of the following statements is true?
</t>
  </si>
  <si>
    <t xml:space="preserve">21. Nigerian scams
A recent history of organised crime around the world makes the point that Nigerian gangsters tend not to be violent like their Columbian, Russian or  Sicilian rivals. They tend instead to be clever and inventive and at the heart of phone fraud and Internet scams. The BBC has conducted an investigation into their latest fraud – to pose as  American servicemen on internet dating sites, even stealing the identities of soldiers who’ve been killed in action to cheat money out of women.
What can be said about Nigerian gangsters?
</t>
  </si>
  <si>
    <t xml:space="preserve">22. Property market influences elections
Now it was the US housing market which began the global financial crisis three years ago and it’s still going to have an impact on the next American elections. The mid-term Congressional vote takes place in about six weeks time and the property market is bound to be one of the biggest underlying issues on voters’ minds. The problem is that politicians can’t really do very much about it. The market remains stagnant …
Which statement is correct?
</t>
  </si>
  <si>
    <t xml:space="preserve">23. The Eiffel Tower
Good evening. It was quite a sight this evening - 700 people evacuated out of the Eiffel Tower anxiously ushered down one thousand feet to the ground and it’s the second time this has happened in two weeks. There was no bomb but French officials have issued a high alert for a group of terrorists said to be targeting a number of countries including the USA.
Which statement is correct?
</t>
  </si>
  <si>
    <t xml:space="preserve">24. Boat heads for Gaza
A boat carrying Jewish activists from Israel, Europe and the US set sail on Sunday from Cyprus bound for Gaza in  an attempt to break Israel’s blockade of the Palestinian territory, but the organizers expect the vessel ‘The Irene’ will be intercepted by the Israeli authorities before it reaches port. A similar expedition in May ended with nine activists dead after Israeli commandos boarded their ship.
Which statement about the boat is correct according to what you have heard?
</t>
  </si>
  <si>
    <t xml:space="preserve">25. Train Afghan soldiers for handover
The West’s exit strategy from Afghanistan depends on handing over to Afghan troops but in order for that to happen those troops need to be trained and at the moment it seems there aren’t enough people to do the training. That’s the message that the head of the NATO training mission in Afghanistan has been giving to officials during a briefing at NATO Headquarters in Brussels
Which statement is true?
</t>
  </si>
  <si>
    <t xml:space="preserve">26  November elections
The United States is looking ahead to the mid-term Congressional elections in November and the outcome could well be determined by how well or perhaps more to the point how badly the Government is seen to have handled the economic crisis. President Obama’s various stimulus measures  have yet to produce the  sort of overall positive results  that the White House would have had wanted. But there is one sector where the strategy seems to have reaped dividends – the tax-payer-funded bailout of two of America’s giant car companies, general Motors and Chrysler, does appear to have worked. The companies are making money again
What might strongly influence the outcome of the elections?
</t>
  </si>
  <si>
    <t xml:space="preserve">27. AIDS
This annual report carries particular significance because world leaders had pledged to achieve widespread access to HIV drugs by the end of this year. The WHO, UNICEF and the UN’s  AIDS programme estimate that five and a quarter million people in developing countries now receive vital  combination therapy to slow down HIV. But the agencies believe fourteen and a half million people in total need drug treatment. Universal access to treatment has been achieved in countries such as Cambodia, Romania and Rwanda but the report highlights how many poorer nations who are most affected by HIV still don’t devote significant amounts of their own budgets to the problem.
Which statement is correct according to the annual report?
</t>
  </si>
  <si>
    <t xml:space="preserve">28. Philanthropy
Bill Gates and  Warren Buffet are famous for having billions of dollars and also for pledging to give most of it away to charity. They’re also on a mission to convince other billionaires to do the same. On Wednesday, they’re taking their message to China and they’re hosting a dinner in Beijing to learn more about philanthropy there and one of those involved is multi-millionaire businessman Cheng .. He’s already pledged to give away all his money when he dies.
What can be said about Bill Gates and Warren Buffet?
</t>
  </si>
  <si>
    <t xml:space="preserve">29. Air crash
A French report by corter?? pointed experts released overnight has concluded pilot error was to blame for the Airbus 320 crash which killed 5 New Zealanders and two German pilots. French prosecutors say they will not lay manslaughter charges against anyone over the Air New Zealand crash which occurred off the coast of France, you recall,  in 2008  
Which statement is correct?
</t>
  </si>
  <si>
    <t xml:space="preserve">30. The future of the US
How do you size up the situation today? There were a lot of similarities between 1994 and today in regard to the presidents – little difference. President Clinton ..  was ..had made himself unpopular because of his positions on the Crime Bill, gun control issues and certainly on health care. But those were specific issues. I think today there’s this palpable concern in the country -literally about the future of America. People are saying to us as we go round the country, an’ we talk to folks you know ‘I’m worried about that … you know ..the next few years ..an’ I ..and our kids aren’t gonna have any future, and  this country  is just goin to hell in a hand basket. 
What does the speaker say?
</t>
  </si>
  <si>
    <t xml:space="preserve">31. Banking in Afghanistan
What’s interesting about what we were doing in Afghanistan was something called EMPETA which is a person to person money transfer service, and that’s in a country where there’s very limited banking infrastructure. I think it’s about only three percent of people have access to regular bank and there’s very little trust in the formal banking infrastructure as well and relatively high levels of graft. So in a country like Afghanistan, that technology is highly disruptive and we think also the lessons we can learn there we can apply to other countries as well.
What can be said about Afghanistan?
</t>
  </si>
  <si>
    <t xml:space="preserve">32. Joan Sutherland
She toured Australia way back in the sixties sometime, I can’t exactly remember. I was sort of..very, very young at that time and you could hear this voice and this person … and of course, you know  she was a big lady so there was a huge presence when she was either on stage , in photos and everything and when you actually met her you know she was … she was a large lady
What impression do we get from the extract?
</t>
  </si>
  <si>
    <t xml:space="preserve">33. Education
The problem of university funding is one of the trickiest facing the coalition government at a time of austerity. Universities in England say they’re facing a financial black hole of more than a billion pounds in two years if they can’t charge more for tuition fees.  This government, like its predecessor won’t make up the gap. Students are going to have to pay more. But how to make it fair….
Which statement is correct about universities in England?
</t>
  </si>
  <si>
    <t xml:space="preserve">2. James Bailey and O.C.D.                                                                           
Why did James Bailey go to a treatment clinic? 
</t>
  </si>
  <si>
    <t xml:space="preserve">25. The AK-47
What impression do we get about the AK-47 from the extract?
</t>
  </si>
  <si>
    <t xml:space="preserve">39. I.O.T.C.- The Medieval University.                                                                                       
What is said about medieval universities?
</t>
  </si>
  <si>
    <t xml:space="preserve">40. Great Lives: Graham Greene.                                                                                                
What was true about Graham Greene’s writing habits?
</t>
  </si>
  <si>
    <t>EXAMEN 6/MP3/Q-01 EXAMEN 6.mp3</t>
  </si>
  <si>
    <t>EXAMEN 6/MP3/Q-02 EXAMEN 6.mp3</t>
  </si>
  <si>
    <t>EXAMEN 6/MP3/Q-03 EXAMEN 6.mp3</t>
  </si>
  <si>
    <t>EXAMEN 6/MP3/Q-04 EXAMEN 6.mp3</t>
  </si>
  <si>
    <t>EXAMEN 6/MP3/Q-05 EXAMEN 6.mp3</t>
  </si>
  <si>
    <t>EXAMEN 6/MP3/Q-06 EXAMEN 6.mp3</t>
  </si>
  <si>
    <t>EXAMEN 6/MP3/Q-07 EXAMEN 6.mp3</t>
  </si>
  <si>
    <t>EXAMEN 6/MP3/Q-08 EXAMEN 6.mp3</t>
  </si>
  <si>
    <t>EXAMEN 6/MP3/Q-09 EXAMEN 6.mp3</t>
  </si>
  <si>
    <t>EXAMEN 6/MP3/Q-10 EXAMEN 6.mp3</t>
  </si>
  <si>
    <t>EXAMEN 6/MP3/Q-11 EXAMEN 6.mp3</t>
  </si>
  <si>
    <t>EXAMEN 6/MP3/Q-12 EXAMEN 6.mp3</t>
  </si>
  <si>
    <t>EXAMEN 6/MP3/Q-13 EXAMEN 6.mp3</t>
  </si>
  <si>
    <t>EXAMEN 6/MP3/Q-14 EXAMEN 6.mp3</t>
  </si>
  <si>
    <t>EXAMEN 6/MP3/Q-15 EXAMEN 6.mp3</t>
  </si>
  <si>
    <t>EXAMEN 6/MP3/Q-16 EXAMEN 6.mp3</t>
  </si>
  <si>
    <t>EXAMEN 6/MP3/Q-17 EXAMEN 6.mp3</t>
  </si>
  <si>
    <t>EXAMEN 6/MP3/Q-18 EXAMEN 6.mp3</t>
  </si>
  <si>
    <t>EXAMEN 6/MP3/Q-19 EXAMEN 6.mp3</t>
  </si>
  <si>
    <t>EXAMEN 6/MP3/Q-20 EXAMEN 6.mp3</t>
  </si>
  <si>
    <t>EXAMEN 6/MP3/Q-21 EXAMEN 6.mp3</t>
  </si>
  <si>
    <t>EXAMEN 6/MP3/Q-22 EXAMEN 6.mp3</t>
  </si>
  <si>
    <t>EXAMEN 6/MP3/Q-23 EXAMEN 6.mp3</t>
  </si>
  <si>
    <t>EXAMEN 6/MP3/Q-24 EXAMEN 6.mp3</t>
  </si>
  <si>
    <t>EXAMEN 6/MP3/Q-25 EXAMEN 6.mp3</t>
  </si>
  <si>
    <t>EXAMEN 6/MP3/Q-26 EXAMEN 6.mp3</t>
  </si>
  <si>
    <t>EXAMEN 6/MP3/Q-27 EXAMEN 6.mp3</t>
  </si>
  <si>
    <t>EXAMEN 6/MP3/Q-28 EXAMEN 6.mp3</t>
  </si>
  <si>
    <t>EXAMEN 6/MP3/Q-29 EXAMEN 6.mp3</t>
  </si>
  <si>
    <t>EXAMEN 6/MP3/Q-30 EXAMEN 6.mp3</t>
  </si>
  <si>
    <t>EXAMEN 6/MP3/Q-31 EXAMEN 6.mp3</t>
  </si>
  <si>
    <t>EXAMEN 6/MP3/Q-32 EXAMEN 6.mp3</t>
  </si>
  <si>
    <t>EXAMEN 6/MP3/Q-33 EXAMEN 6.mp3</t>
  </si>
  <si>
    <t>EXAMEN 6/MP3/Q-34 EXAMEN 6.mp3</t>
  </si>
  <si>
    <t>EXAMEN 6/MP3/Q-35 EXAMEN 6.mp3</t>
  </si>
  <si>
    <t>EXAMEN 6/MP3/Q-36 EXAMEN 6.mp3</t>
  </si>
  <si>
    <t>EXAMEN 6/MP3/Q-37 EXAMEN 6.mp3</t>
  </si>
  <si>
    <t>EXAMEN 6/MP3/Q-38 EXAMEN 6.mp3</t>
  </si>
  <si>
    <t>EXAMEN 6/MP3/Q-39 EXAMEN 6.mp3</t>
  </si>
  <si>
    <t>EXAMEN 6/MP3/Q-40 EXAMEN 6.mp3</t>
  </si>
  <si>
    <t>a. He left his son in Egypt.</t>
  </si>
  <si>
    <t>b. He became king when he was a baby.</t>
  </si>
  <si>
    <t>c. He participated in the overthrow of Hosni Mubarak.</t>
  </si>
  <si>
    <t>d. He has declared plans to return to Egypt.</t>
  </si>
  <si>
    <t>a. To get help with drug addiction.</t>
  </si>
  <si>
    <t>b. To help a friend with behavioral problems.</t>
  </si>
  <si>
    <t>c. To get help for a mental disorder.</t>
  </si>
  <si>
    <t xml:space="preserve">d. To research a novel.                                                                                                           </t>
  </si>
  <si>
    <t>a. Markpress helped the Nigerian Government</t>
  </si>
  <si>
    <t>b. A public relations agency changed the way people saw war</t>
  </si>
  <si>
    <t>c. People in the west ignored  the Biafran war</t>
  </si>
  <si>
    <t>d. The Biafran  government transformed  relations with the West</t>
  </si>
  <si>
    <t>a. The truth about the seven dwarfs</t>
  </si>
  <si>
    <t>b. There are no diamond mines any more</t>
  </si>
  <si>
    <t>c. There is a shortage of miners</t>
  </si>
  <si>
    <t>d. Fewer Americans do physically demanding work</t>
  </si>
  <si>
    <t>a. It has cut economic ties with the Syrian regime</t>
  </si>
  <si>
    <t>b. It has objected to Syrian  treatment of demonstrators</t>
  </si>
  <si>
    <t>c. It found a new way to deal with dissidents</t>
  </si>
  <si>
    <t>d. It consulted with other Arab nations</t>
  </si>
  <si>
    <t>a. It favours  targeting coercive measures on Syria’s  natural resources</t>
  </si>
  <si>
    <t xml:space="preserve">b. It has suggested December as a deadline for a decision to be taken </t>
  </si>
  <si>
    <t>c. It wants to punish ordinary citizens</t>
  </si>
  <si>
    <t>d. It disagrees with Peter Harling’s assessment of sanctions</t>
  </si>
  <si>
    <t>a. It is a place to care for wounded troops</t>
  </si>
  <si>
    <t>b. It is a hospital and research centre</t>
  </si>
  <si>
    <t>c. It is  devoted exclusively to the study of malaria</t>
  </si>
  <si>
    <t>d. The hospital is temporarily closed</t>
  </si>
  <si>
    <t>a. It is a hospital and research centre</t>
  </si>
  <si>
    <t>b. They look more like trucks than cars</t>
  </si>
  <si>
    <t>c. Some models require a lot of fuel</t>
  </si>
  <si>
    <t xml:space="preserve">d. There was a shortage of oil </t>
  </si>
  <si>
    <t>a. It is  devoted exclusively to the study of malaria</t>
  </si>
  <si>
    <t>b. A survey found that young people don’t like it</t>
  </si>
  <si>
    <t>c. It helps young people to gain work experience</t>
  </si>
  <si>
    <t>d. It is only suitable for specific age groups</t>
  </si>
  <si>
    <t>a. The hospital is temporarily closed</t>
  </si>
  <si>
    <t>b. They organize tribute concerts to famous people</t>
  </si>
  <si>
    <t>c. They first called themselves Musical Box</t>
  </si>
  <si>
    <t>d. Pink Floyd fans were interested in seeing them perform</t>
  </si>
  <si>
    <t>a. The reaction of the public to televising in a public space</t>
  </si>
  <si>
    <t>b. How many hours broadcasting people can endure</t>
  </si>
  <si>
    <t>c. If the content televised makes people shop more</t>
  </si>
  <si>
    <t>d. If people prefer watching TV in the square to at home</t>
  </si>
  <si>
    <t>a. It was a website where criminals could learn English</t>
  </si>
  <si>
    <t>b. It facilitated breaking the law</t>
  </si>
  <si>
    <t>c. Anyone could become a member</t>
  </si>
  <si>
    <t>d. It is still a thriving business</t>
  </si>
  <si>
    <t>a. There are never any mining disasters now</t>
  </si>
  <si>
    <t>b. An attempt has been made to rescue 14 men and boys</t>
  </si>
  <si>
    <t>c. In  Wales, mining is not as important as it was in the past</t>
  </si>
  <si>
    <t>d. Rescue workers did not expect to find the miners</t>
  </si>
  <si>
    <t>a. Ecuador couldn’t have a court case in  the US</t>
  </si>
  <si>
    <t>b. Chevron is accused of contaminating the Ecuadorian rainforest</t>
  </si>
  <si>
    <t>c. Chevron sold its assets in Ecuador to pay the compensation</t>
  </si>
  <si>
    <t>d. Chevron is an American construction company</t>
  </si>
  <si>
    <t>a. It has been performed for forty years</t>
  </si>
  <si>
    <t>b. It was first staged in Russia</t>
  </si>
  <si>
    <t>c. It has obtained excellent reviews in Austria</t>
  </si>
  <si>
    <t>d. It was written by an SS officer</t>
  </si>
  <si>
    <t>a. The cost has plummeted</t>
  </si>
  <si>
    <t>b. It causes climate change</t>
  </si>
  <si>
    <t>c. There is only half as much as before</t>
  </si>
  <si>
    <t>d. It is being limited</t>
  </si>
  <si>
    <t>a. They crash into the Earth very infrequently</t>
  </si>
  <si>
    <t>b. All of them burn up</t>
  </si>
  <si>
    <t>c. They last for a year</t>
  </si>
  <si>
    <t>d. They survive the impact</t>
  </si>
  <si>
    <t>a. It is impossible to save now</t>
  </si>
  <si>
    <t>b. Money is losing its original qualities</t>
  </si>
  <si>
    <t>c. Credit cards have completely substituted cash</t>
  </si>
  <si>
    <t xml:space="preserve">d. Today, money has an eerie quality  </t>
  </si>
  <si>
    <t>a. She thinks it is a cosmetic reform</t>
  </si>
  <si>
    <t>b. She thinks women won’t be allowed to drive</t>
  </si>
  <si>
    <t>c. It implies they will eventually have other freedoms</t>
  </si>
  <si>
    <t>d. Men will then be pro-active</t>
  </si>
  <si>
    <t>a. Cloning babies is a reality now</t>
  </si>
  <si>
    <t>b. Cloning technology should not be abused</t>
  </si>
  <si>
    <t>c. Stem cells are easy to obtain</t>
  </si>
  <si>
    <t>d. The public supports reproductive cloning</t>
  </si>
  <si>
    <t>a.  Arafat was the first terrorist ever to speak at the UN</t>
  </si>
  <si>
    <t>b. The PLO requested a hearing in the United Nations</t>
  </si>
  <si>
    <t>c. Arafat received an invitation to speak at the UN</t>
  </si>
  <si>
    <t xml:space="preserve">d. Israelis and Jewish groups boycotted the event </t>
  </si>
  <si>
    <t>a. They confronted government soldiers at a fundraising event</t>
  </si>
  <si>
    <t>b. They tried to make  Gadaffi’s soldiers conscious of their actions</t>
  </si>
  <si>
    <t>c. They sold compact discs of Western music</t>
  </si>
  <si>
    <t>d. They tried to get into politics</t>
  </si>
  <si>
    <t>a. Daily demonstrations have been going on for a century</t>
  </si>
  <si>
    <t>b. Historically, protesters represented a wide range of political opinions</t>
  </si>
  <si>
    <t>c. In the 20th century demonstrations became fewer and fewer</t>
  </si>
  <si>
    <t>d. At the moment, protesters have occupied the JP Morgan building</t>
  </si>
  <si>
    <t xml:space="preserve">a. He kept in regular contact with his parents </t>
  </si>
  <si>
    <t>b. He went to Yemen and Pakistan  to fight with the Taliban</t>
  </si>
  <si>
    <t>c. He was involved in the September 11th attacks</t>
  </si>
  <si>
    <t>d. His parents believe he was wrongly accused</t>
  </si>
  <si>
    <t>a. It was found only in select  places</t>
  </si>
  <si>
    <t>b. It was used in the ghettoes during the New Orleans floods</t>
  </si>
  <si>
    <t>c. It was imported into the US from Vietnam by right-wing gun clubs</t>
  </si>
  <si>
    <t>d. The factory will stay open  to meet the demand</t>
  </si>
  <si>
    <t>a. Self diagnosis is on the increase</t>
  </si>
  <si>
    <t>b. A doctor who bought drugs on the internet died</t>
  </si>
  <si>
    <t>c. It is easy to tell when websites are false</t>
  </si>
  <si>
    <t>d. Viagra and tranquillizers are the most popular drugs on the internet</t>
  </si>
  <si>
    <t>a. He enjoys being connected all the time</t>
  </si>
  <si>
    <t>b. The events he sees on the net have an unreal quality</t>
  </si>
  <si>
    <t>c. He’s worried in case he gets a message during the night</t>
  </si>
  <si>
    <t>d. He doesn’t bother with social networks</t>
  </si>
  <si>
    <t>a. Child deaths are more frequent in Canada</t>
  </si>
  <si>
    <t>b. Parents have no rights in Ontario, Canada</t>
  </si>
  <si>
    <t>c. Parents are sometimes mistakenly accused of murder</t>
  </si>
  <si>
    <t>d. Experts never make mistakes in diagnosing the cause of death</t>
  </si>
  <si>
    <t>a. He was protesting against torture in Iranian prisons</t>
  </si>
  <si>
    <t>b. He studied abroad for a time</t>
  </si>
  <si>
    <t>c. He  was ignored by the international community</t>
  </si>
  <si>
    <t>d. He became a Canadian citizen</t>
  </si>
  <si>
    <t>a. Passengers usually remember flight safety rules in an emergency</t>
  </si>
  <si>
    <t>b. Courses on aircraft safety are now available on some airlines</t>
  </si>
  <si>
    <t>c. If travelers do an airline safety course they receive frequent flyer points</t>
  </si>
  <si>
    <t>d. The course takes place in real-life situations</t>
  </si>
  <si>
    <t>a. Commercial whaling has been going on for  twenty-five years</t>
  </si>
  <si>
    <t>b. Traditional hunting techniques must be used to kill whales</t>
  </si>
  <si>
    <t>c. Every country has been assigned a quota</t>
  </si>
  <si>
    <t>d. Despite a ban imposed many whales are still being killed</t>
  </si>
  <si>
    <t>a. It trades in spices</t>
  </si>
  <si>
    <t>b. It is recognizable by a brown envelope</t>
  </si>
  <si>
    <t>c. You can buy illegal drugs on it</t>
  </si>
  <si>
    <t>d. It is easy to get into the website</t>
  </si>
  <si>
    <t>a. He subjects were victims of major world catastrophes</t>
  </si>
  <si>
    <t>b. He served in the Vietnam War</t>
  </si>
  <si>
    <t>c. He  returned to the US to practice psychiatry</t>
  </si>
  <si>
    <t>d. His wife was from Hong Kong</t>
  </si>
  <si>
    <t>a. Florida  does not have a lot of tomato growers</t>
  </si>
  <si>
    <t>b. Today, tomatoes are home-grown</t>
  </si>
  <si>
    <t>c. Agri businesses have a negative effect on tomatoes</t>
  </si>
  <si>
    <t>d. Conditions in Florida are optimum for tomato-growing</t>
  </si>
  <si>
    <t>a. The company got into serious  financial difficulties</t>
  </si>
  <si>
    <t>b. The drink was too sugary</t>
  </si>
  <si>
    <t>c. Other companies competed with exactly the same product</t>
  </si>
  <si>
    <t>d. It had been losing customers for a long time</t>
  </si>
  <si>
    <t>a. The aftermath of World War II</t>
  </si>
  <si>
    <t>b. A comparison of  US and Pakistani cities</t>
  </si>
  <si>
    <t>c. What happens with the rapid growth of cities</t>
  </si>
  <si>
    <t>d. How quickly time passes</t>
  </si>
  <si>
    <t xml:space="preserve">a. The scientific community agree that earthquake prediction is  impossible </t>
  </si>
  <si>
    <t>b. Scientists in Italy failed to heed clear warning signs</t>
  </si>
  <si>
    <t>c. Scientists are responsible for the deaths of the earthquake victims</t>
  </si>
  <si>
    <t>d. In Aquila, thousands of lives were saved due to forecasts</t>
  </si>
  <si>
    <t>a. Van Gogh asked two boys to shoot him</t>
  </si>
  <si>
    <t>b. Art historians agree with the theory in the new biography</t>
  </si>
  <si>
    <t>c. A new book questions the fact that Van Gogh’s killed himself</t>
  </si>
  <si>
    <t>d. Van Gogh died in a wheat field</t>
  </si>
  <si>
    <t>a. They emphasized Theology in their curriculum.</t>
  </si>
  <si>
    <t>b. 800 years ago, there were 115 of them in Britain.</t>
  </si>
  <si>
    <t>c. They appeared first in Britain.</t>
  </si>
  <si>
    <t xml:space="preserve">d. Their model of education differed a lot from the modern one.                                          </t>
  </si>
  <si>
    <t>a. He wrote from nine until five o’clock every day.</t>
  </si>
  <si>
    <t>b. He wrote fewer than 200 words a day.</t>
  </si>
  <si>
    <t>c. He wrote in a form of short hand.</t>
  </si>
  <si>
    <t>d. He later reduced the number of words he wrote each day.</t>
  </si>
  <si>
    <t xml:space="preserve">1.  The Last King of Egypt.                                                                       
What can be said about the last king of Egypt? 
</t>
  </si>
  <si>
    <t xml:space="preserve">3. Tracing the origins of humanitarian intervention.
Which statement is true according to the extract?
</t>
  </si>
  <si>
    <t xml:space="preserve">4. Reflections on work.
What has changed on the American labour scene?
</t>
  </si>
  <si>
    <t xml:space="preserve">5. Turkey and Syria I.  
How has Turkey’s attitude to Syria changed?
</t>
  </si>
  <si>
    <t xml:space="preserve">6. Turkey and Syria   II.
According to the extract, what is the attitude of the European Union?
</t>
  </si>
  <si>
    <t xml:space="preserve">7. The Walter Reed Army Medical Centre.
What can be said about the Walter Reed Medical Centre?
</t>
  </si>
  <si>
    <t xml:space="preserve">8. SUVs.
Why were SUVs attacked?
</t>
  </si>
  <si>
    <t xml:space="preserve">9.  A helping hand.
What can be said about volunteer work?
</t>
  </si>
  <si>
    <t xml:space="preserve">10. Tribute bands.
Which sentence is correct about Australian Pink Floyd?
</t>
  </si>
  <si>
    <t xml:space="preserve">11. The big screen.
What does the Big Screen management want to observe?
</t>
  </si>
  <si>
    <t xml:space="preserve">12. Misha Glenny and his book Dark Market.
What can we say about Dark Market?
</t>
  </si>
  <si>
    <t xml:space="preserve">13. Mining accident in South Wales.
What impression do we get from the text?
</t>
  </si>
  <si>
    <t xml:space="preserve">14. Chevron vs. Ecuador.
Which statement is correct according to the extract?
</t>
  </si>
  <si>
    <t xml:space="preserve">15. The opera “Passenger”.
What can be said about the Passenger?
</t>
  </si>
  <si>
    <t xml:space="preserve">16. Solar energy.
What can be said about solar energy?
</t>
  </si>
  <si>
    <t xml:space="preserve">17. Nasa satellite re-enters the earth.
What can be said about some objects that crash into the Earth?
</t>
  </si>
  <si>
    <t xml:space="preserve">18. Money.
Which statement is correct according to the extract?
</t>
  </si>
  <si>
    <t xml:space="preserve">19. Saudi women.
What is Nadia Bakhurji’s opinion of women being able to vote?
</t>
  </si>
  <si>
    <t xml:space="preserve">20. CLONING REASEARCH – NPR.
Which statement is correct according to the extract?
</t>
  </si>
  <si>
    <t xml:space="preserve">21. Arafat at the UN in 1974  .
Which statement is correct according to what you have heard?
</t>
  </si>
  <si>
    <t xml:space="preserve">22. Libyan women revolutionaries.
What did one group of women do?
</t>
  </si>
  <si>
    <t xml:space="preserve">23. The history of protests on Wall Street.
What can be said about demonstrations  on Wall Street?
</t>
  </si>
  <si>
    <t xml:space="preserve">24. JOHN LIND – The American Taliban.
Which statement is true about John Lind?
</t>
  </si>
  <si>
    <t xml:space="preserve">26. Availability of unlicensed drugs.
Which statement is correct according to the extract?
</t>
  </si>
  <si>
    <t xml:space="preserve">27. The internet .
How does the speaker feel about the internet?
</t>
  </si>
  <si>
    <t xml:space="preserve">28. Child deaths.
Which statement is  correct according to what you have heard?
</t>
  </si>
  <si>
    <t xml:space="preserve">29. Maziar Bahari – journalist and film maker. 
Which statement is correct about Maziar Bahari according to the extract you have heard?
</t>
  </si>
  <si>
    <t xml:space="preserve">30. Airplane safety.
Which statement is true according to what you have heard?
</t>
  </si>
  <si>
    <t xml:space="preserve">31. Whaling.
Which statement is correct according to the extract?
</t>
  </si>
  <si>
    <t xml:space="preserve">32. Silk Road.
What can be said about the Silk Road website?
</t>
  </si>
  <si>
    <t xml:space="preserve">33. Robert J Lifdon.
Which statement is correct about Robert J Lifden according to what you have heard?
</t>
  </si>
  <si>
    <t xml:space="preserve">34. Tomatoes.
What does  speaker say?
</t>
  </si>
  <si>
    <t xml:space="preserve">35. Coca Cola in the 1980s.
What does the extract say about Coca Cola in the 1980s?
</t>
  </si>
  <si>
    <t xml:space="preserve">36. Reflections on Karachi.
What is the speaker interested in?
</t>
  </si>
  <si>
    <t xml:space="preserve">37. Earthquake prediction.
According to the extract which statement is correct?
</t>
  </si>
  <si>
    <t xml:space="preserve">38. Van Gogh.
Which statement is correct according to the extract?
</t>
  </si>
  <si>
    <t>EXAMEN 6 SCRIPT</t>
  </si>
  <si>
    <t>EXAMEN 100</t>
  </si>
  <si>
    <t>EXAMEN 100/MP3/Q-01 EXAMEN 100.mp3</t>
  </si>
  <si>
    <t>EXAMEN 100/MP3/Q-02 EXAMEN 100.mp3</t>
  </si>
  <si>
    <t>EXAMEN 100/MP3/Q-03 EXAMEN 100.mp3</t>
  </si>
  <si>
    <t>EXAMEN 100/MP3/Q-04 EXAMEN 100.mp3</t>
  </si>
  <si>
    <t>EXAMEN 100/MP3/Q-05 EXAMEN 100.mp3</t>
  </si>
  <si>
    <t>EXAMEN 100/MP3/Q-06 EXAMEN 100.mp3</t>
  </si>
  <si>
    <t>EXAMEN 100/MP3/Q-07 EXAMEN 100.mp3</t>
  </si>
  <si>
    <t>EXAMEN 100/MP3/Q-08 EXAMEN 100.mp3</t>
  </si>
  <si>
    <t>EXAMEN 100/MP3/Q-09 EXAMEN 100.mp3</t>
  </si>
  <si>
    <t>EXAMEN 100/MP3/Q-10 EXAMEN 100.mp3</t>
  </si>
  <si>
    <t>EXAMEN 104</t>
  </si>
  <si>
    <t>EXAMEN 104/MP3/Q-1.mp3</t>
  </si>
  <si>
    <t>EXAMEN 104/MP3/Q-2.mp3</t>
  </si>
  <si>
    <t>EXAMEN 104/MP3/Q-3.mp3</t>
  </si>
  <si>
    <t>EXAMEN 104/MP3/Q-4.mp3</t>
  </si>
  <si>
    <t>EXAMEN 104/MP3/Q-5.mp3</t>
  </si>
  <si>
    <t>EXAMEN 104/MP3/Q-6.mp3</t>
  </si>
  <si>
    <t>EXAMEN 104/MP3/Q-7.mp3</t>
  </si>
  <si>
    <t>EXAMEN 104/MP3/Q-9.mp3</t>
  </si>
  <si>
    <t>EXAMEN 104/MP3/Q-10.mp3</t>
  </si>
  <si>
    <t>EXAMEN 104/MP3/Q-11.mp3</t>
  </si>
  <si>
    <t>EXAMEN 104/MP3/Q-12.mp3</t>
  </si>
  <si>
    <t>EXAMEN 104/MP3/Q-13.mp3</t>
  </si>
  <si>
    <t>EXAMEN 104/MP3/Q-14.mp3</t>
  </si>
  <si>
    <t>EXAMEN 104/MP3/Q-15.mp3</t>
  </si>
  <si>
    <t>EXAMEN 104/MP3/Q-16.mp3</t>
  </si>
  <si>
    <t>EXAMEN 104/MP3/Q-17.mp3</t>
  </si>
  <si>
    <t>EXAMEN 104/MP3/Q-18.mp3</t>
  </si>
  <si>
    <t>EXAMEN 104/MP3/Q-19.mp3</t>
  </si>
  <si>
    <t>EXAMEN 104/MP3/Q-20.mp3</t>
  </si>
  <si>
    <t>EXAMEN 104/MP3/Q-21.mp3</t>
  </si>
  <si>
    <t>EXAMEN 104/MP3/Q-22.mp3</t>
  </si>
  <si>
    <t>EXAMEN 104/MP3/Q-24.mp3</t>
  </si>
  <si>
    <t>EXAMEN 104/MP3/Q-25.mp3</t>
  </si>
  <si>
    <t>EXAMEN 104/MP3/Q-26.mp3</t>
  </si>
  <si>
    <t>EXAMEN 104/MP3/Q-27.mp3</t>
  </si>
  <si>
    <t>EXAMEN 104/MP3/Q-28.mp3</t>
  </si>
  <si>
    <t>EXAMEN 104/MP3/Q-29.mp3</t>
  </si>
  <si>
    <t>EXAMEN 104/MP3/Q-30.mp3</t>
  </si>
  <si>
    <t>EXAMEN 104/MP3/Q-31.mp3</t>
  </si>
  <si>
    <t>EXAMEN 104/MP3/Q-32.mp3</t>
  </si>
  <si>
    <t>EXAMEN 104/MP3/Q-33.mp3</t>
  </si>
  <si>
    <t>EXAMEN 104/MP3/Q-34.mp3</t>
  </si>
  <si>
    <t>EXAMEN 104/MP3/Q-35.mp3</t>
  </si>
  <si>
    <t>EXAMEN 104/MP3/Q-36.mp3</t>
  </si>
  <si>
    <t>EXAMEN 104/MP3/Q-37.mp3</t>
  </si>
  <si>
    <t>EXAMEN 104/MP3/Q-38.mp3</t>
  </si>
  <si>
    <t>EXAMEN 104/MP3/Q-39.mp3</t>
  </si>
  <si>
    <t>EXAMEN 104/MP3/Q-40.mp3</t>
  </si>
  <si>
    <t>EXAMEN 104/MP3/Q-23.mp3</t>
  </si>
  <si>
    <t>EXAMEN 104/MP3/Q-8.mp3</t>
  </si>
  <si>
    <t>EXAMEN 7/MP3/Q-01 EXAMEN 7.mp3</t>
  </si>
  <si>
    <t>EXAMEN 7/MP3/Q-02 EXAMEN 7.mp3</t>
  </si>
  <si>
    <t>EXAMEN 7/MP3/Q-03 EXAMEN 7.mp3</t>
  </si>
  <si>
    <t>EXAMEN 7/MP3/Q-04 EXAMEN 7.mp3</t>
  </si>
  <si>
    <t>EXAMEN 7/MP3/Q-05 EXAMEN 7.mp3</t>
  </si>
  <si>
    <t>EXAMEN 7/MP3/Q-06 EXAMEN 7.mp3</t>
  </si>
  <si>
    <t>EXAMEN 7/MP3/Q-07 EXAMEN 7.mp3</t>
  </si>
  <si>
    <t>EXAMEN 7/MP3/Q-08 EXAMEN 7.mp3</t>
  </si>
  <si>
    <t>EXAMEN 7/MP3/Q-09 EXAMEN 7.mp3</t>
  </si>
  <si>
    <t>EXAMEN 7/MP3/Q-10 EXAMEN 7.mp3</t>
  </si>
  <si>
    <t>EXAMEN 7/MP3/Q-11 EXAMEN 7.mp3</t>
  </si>
  <si>
    <t>EXAMEN 7/MP3/Q-12 EXAMEN 7.mp3</t>
  </si>
  <si>
    <t>EXAMEN 7/MP3/Q-13 EXAMEN 7.mp3</t>
  </si>
  <si>
    <t>EXAMEN 7/MP3/Q-14 EXAMEN 7.mp3</t>
  </si>
  <si>
    <t>EXAMEN 7/MP3/Q-15 EXAMEN 7.mp3</t>
  </si>
  <si>
    <t>EXAMEN 7/MP3/Q-16 EXAMEN 7.mp3</t>
  </si>
  <si>
    <t>EXAMEN 7/MP3/Q-17 EXAMEN 7.mp3</t>
  </si>
  <si>
    <t>EXAMEN 7/MP3/Q-18 EXAMEN 7.mp3</t>
  </si>
  <si>
    <t>EXAMEN 7/MP3/Q-19 EXAMEN 7.mp3</t>
  </si>
  <si>
    <t>EXAMEN 7/MP3/Q-20 EXAMEN 7.mp3</t>
  </si>
  <si>
    <t>EXAMEN 7/MP3/Q-21 EXAMEN 7.mp3</t>
  </si>
  <si>
    <t>EXAMEN 7/MP3/Q-22 EXAMEN 7.mp3</t>
  </si>
  <si>
    <t>EXAMEN 7/MP3/Q-23 EXAMEN 7.mp3</t>
  </si>
  <si>
    <t>EXAMEN 7/MP3/Q-24 EXAMEN 7.mp3</t>
  </si>
  <si>
    <t>EXAMEN 7/MP3/Q-25 EXAMEN 7.mp3</t>
  </si>
  <si>
    <t>EXAMEN 7/MP3/Q-26 EXAMEN 7.mp3</t>
  </si>
  <si>
    <t>EXAMEN 7/MP3/Q-27 EXAMEN 7.mp3</t>
  </si>
  <si>
    <t>EXAMEN 7/MP3/Q-28 EXAMEN 7.mp3</t>
  </si>
  <si>
    <t>EXAMEN 7/MP3/Q-29 EXAMEN 7.mp3</t>
  </si>
  <si>
    <t>EXAMEN 7/MP3/Q-30 EXAMEN 7.mp3</t>
  </si>
  <si>
    <t>EXAMEN 7/MP3/Q-31 EXAMEN 7.mp3</t>
  </si>
  <si>
    <t>EXAMEN 7/MP3/Q-32 EXAMEN 7.mp3</t>
  </si>
  <si>
    <t>EXAMEN 7/MP3/Q-33 EXAMEN 7.mp3</t>
  </si>
  <si>
    <t>EXAMEN 7/MP3/Q-34 EXAMEN 7.mp3</t>
  </si>
  <si>
    <t>EXAMEN 7/MP3/Q-35 EXAMEN 7.mp3</t>
  </si>
  <si>
    <t>EXAMEN 7/MP3/Q-36 EXAMEN 7.mp3</t>
  </si>
  <si>
    <t>EXAMEN 7/MP3/Q-37 EXAMEN 7.mp3</t>
  </si>
  <si>
    <t>EXAMEN 7/MP3/Q-38 EXAMEN 7.mp3</t>
  </si>
  <si>
    <t>EXAMEN 7/MP3/Q-39 EXAMEN 7.mp3</t>
  </si>
  <si>
    <t>EXAMEN 7/MP3/Q-40 EXAMEN 7.mp3</t>
  </si>
  <si>
    <t>EXAMEN EMID 2012</t>
  </si>
  <si>
    <t>36,Which of the following reflects the woman’s opinion?</t>
  </si>
  <si>
    <t>a. It will destroy the natural environment of the area.</t>
  </si>
  <si>
    <t>a. To make locals regard foreign forces as friendly.</t>
  </si>
  <si>
    <t>a. He already has enough material for his classes.</t>
  </si>
  <si>
    <t>a. had a distanced relationship with his parents.</t>
  </si>
  <si>
    <t>a. They started a TV-campaign to collect aid for Haiti.</t>
  </si>
  <si>
    <t>a. Its use is restricted to the UK and Asia.</t>
  </si>
  <si>
    <t>a. They are in touch with the voters’ feelings.</t>
  </si>
  <si>
    <t>a. They are on the verge of extinction in the UK.</t>
  </si>
  <si>
    <t>a. has recently been connected to the electric grid.</t>
  </si>
  <si>
    <t>a. hired a priest to get rid of the spirits in her house.</t>
  </si>
  <si>
    <t>a. Its building originally served a different purpose.</t>
  </si>
  <si>
    <t>a. A $250 check will do little to improve the situation of most seniors.</t>
  </si>
  <si>
    <t>a. His flight had to make a detour to avoid Iceland.</t>
  </si>
  <si>
    <t>a. The countryside of the region where she is now.</t>
  </si>
  <si>
    <t>a. Traditionally, men had more free time to engage in hobbies or collecting.</t>
  </si>
  <si>
    <t>a. She regrets that there are so few women on British TV.</t>
  </si>
  <si>
    <t>a. twins should try to take more reponsibility for each other.</t>
  </si>
  <si>
    <t>a. She accepted the disease as an opportunity to better herself.</t>
  </si>
  <si>
    <t>a. Most parents are just making excuses for not wanting to discipline their children.</t>
  </si>
  <si>
    <t>a. They inspire other publishers to try to copy his style of writing.</t>
  </si>
  <si>
    <t>a. Certain songs trigger melancholic feelings in her.</t>
  </si>
  <si>
    <t>a. Future governments will be able to afford to build high-speed rail lines.</t>
  </si>
  <si>
    <t>a. Because they are viewed by the people as being progressive.</t>
  </si>
  <si>
    <t>a. What point is the speaker trying to make in this excerpt?</t>
  </si>
  <si>
    <t>a. are utilizing the information found on social networking websites.</t>
  </si>
  <si>
    <t>a. Alternatives to a surge, such as the use of unmanned vehicles, should be considered.</t>
  </si>
  <si>
    <t>a. People are now able to experience 3D effects even on a home theater system.</t>
  </si>
  <si>
    <t>a. People mistakenly think past drinking levels were lower than they actually were.</t>
  </si>
  <si>
    <t>a. It's the real-life version of the classic American immigrant story.</t>
  </si>
  <si>
    <t>a. They are mistrustful of any attempts to win their favor.</t>
  </si>
  <si>
    <t>a. By placing other priorities ahead of classes.</t>
  </si>
  <si>
    <t>a. They should be brought into line with the modern space industry’s needs.</t>
  </si>
  <si>
    <t>a. Children are really only open to music that has a young spin on it.</t>
  </si>
  <si>
    <t>a. Webster was in favor of much more radical spelling reform than actually took place.</t>
  </si>
  <si>
    <t>a. Because of the future responsibilities that a teacher will have.</t>
  </si>
  <si>
    <t>a. Women are necessary on boards to get a female perspective</t>
  </si>
  <si>
    <t>a. Her business suffered due to the street remodelling</t>
  </si>
  <si>
    <t>a. She had wanted to be a politician since she was a child.</t>
  </si>
  <si>
    <t>a. The audience shows no signs of tiring of big, loud action movies.</t>
  </si>
  <si>
    <t>a. People in the past idealized children and didn't like to think about them in economic terms</t>
  </si>
  <si>
    <t>b. It will connect the area with various important cities.</t>
  </si>
  <si>
    <t>b. To occupy an area controlled by the Taliban.</t>
  </si>
  <si>
    <t>b. He no longer works for N. Arizona University</t>
  </si>
  <si>
    <t>b. was subject to a series of rigid rules</t>
  </si>
  <si>
    <t>b. They interviewed two survivors of the earthquake for a report.</t>
  </si>
  <si>
    <t>b. It can be used with all types of cell phones.</t>
  </si>
  <si>
    <t>b. They talk about their private life.</t>
  </si>
  <si>
    <t>b. They are not found outside Russia nowadays.</t>
  </si>
  <si>
    <t>b. is a good example of progress in rural areas.</t>
  </si>
  <si>
    <t>b. finally found a reasonable explanation for the strange noises.</t>
  </si>
  <si>
    <t>b. Its architect’s works can be seen all over England.</t>
  </si>
  <si>
    <t>b. The U.S. government spends too much time and money appeasing seniors.</t>
  </si>
  <si>
    <t>b. He took spectacular photos of the volcano during the flight.</t>
  </si>
  <si>
    <t>b. Her most recent hiking experience in England.</t>
  </si>
  <si>
    <t>b. The traditional roles of men and women didn't allow women to develop an interest in collecting</t>
  </si>
  <si>
    <t>b. She calls into question the relevance of the quoted statistics.</t>
  </si>
  <si>
    <t>b. twins are strongly affected by each other's feelings and perspectives.</t>
  </si>
  <si>
    <t>b. She did not spend much time worrying about her her problems and moved on.</t>
  </si>
  <si>
    <t>b. In general, parents can be trusted to make decisions for their own children.</t>
  </si>
  <si>
    <t>b. They increase the amount of money that writers get as advances.</t>
  </si>
  <si>
    <t>b. It is difficult for her to remember the tune of certain pieces.</t>
  </si>
  <si>
    <t>b. Britain might not need the offer provided by high-speed trains.</t>
  </si>
  <si>
    <t>b. Because of the influence they have on the Communist Party.</t>
  </si>
  <si>
    <t>b. That it is unfair to protest against the Chinese Olympics but continue to buy.</t>
  </si>
  <si>
    <t>b. are creating new web applications in order to communicate.</t>
  </si>
  <si>
    <t>b. More troops should be provided, but only if they're dedicated to counter-terrorism activities.</t>
  </si>
  <si>
    <t>b. It's due to an effort to lure people away from television programming.</t>
  </si>
  <si>
    <t>b. Although English people have always drunk a lot, binge drinking is a modern phenomenon.</t>
  </si>
  <si>
    <t>b. The amazing fact that he arrived in the United States on his birthday.</t>
  </si>
  <si>
    <t>b. They believe that it is an attempt to gain support for Israel in the region</t>
  </si>
  <si>
    <t>b. By changing the policies in areas like the dormitories</t>
  </si>
  <si>
    <t>b. They should be made more precise in their restrictions</t>
  </si>
  <si>
    <t>b. It's better just to play the music since children get bored of lengthy explanations about the history of music</t>
  </si>
  <si>
    <t>b. Webster was finally able to change American spelling by introducing it in schoolbooks</t>
  </si>
  <si>
    <t>b. Because teachers are more critical of other teachers</t>
  </si>
  <si>
    <t>b. Women are more cooperative than men during boardroom meetings</t>
  </si>
  <si>
    <t>b. The cobblestone surface damages tyres of cars and buses</t>
  </si>
  <si>
    <t>b. After failing as a teacher and a social worker, she decided to become a politician.</t>
  </si>
  <si>
    <t>b. The system doesn't do enough to encourage small, low-budget films</t>
  </si>
  <si>
    <t>b. Considering children in economic terms makes people worse parents</t>
  </si>
  <si>
    <t>c. It is being met with scepticism by the local population.</t>
  </si>
  <si>
    <t>c. To prevent civilian deaths caused by insurgents’ attacks.</t>
  </si>
  <si>
    <t>c. He doesn’t have any interesting material to use.</t>
  </si>
  <si>
    <t>c. was secretly given food by the housekeeper</t>
  </si>
  <si>
    <t>c. They interviewed a TV-correspondent about Haiti.</t>
  </si>
  <si>
    <t>c. Its users can receive calls free of charge.</t>
  </si>
  <si>
    <t>c. They address environmental issues.</t>
  </si>
  <si>
    <t>c. They can often be seen flying near the sea shore.</t>
  </si>
  <si>
    <t>c. is gradually being abandoned by the farmers.</t>
  </si>
  <si>
    <t>c. tried to profit from the experience by selling the ghosts.</t>
  </si>
  <si>
    <t>c. Its art collection has always remained in England.</t>
  </si>
  <si>
    <t>c. The government needs to put the priorities of working people before those of seniors.</t>
  </si>
  <si>
    <t>c. His flight was altered to get a better view of the volcano.</t>
  </si>
  <si>
    <t>c. The fauna of the area where she is travelling.</t>
  </si>
  <si>
    <t>c. Collecting is simply a way to satisfy men's primal desire to hunt.</t>
  </si>
  <si>
    <t>c. She says that women find lots of career obstacles in the media.</t>
  </si>
  <si>
    <t>c. twins tend to bring each other down more than they help each other.</t>
  </si>
  <si>
    <t>c. She tried to focus on the positive as the only way to deal with difficult times in life.</t>
  </si>
  <si>
    <t>c. Parents ought to be much stricter about the amount of time children watch television.</t>
  </si>
  <si>
    <t>c. Their success provides publishers with funding for higher-quality literary works.</t>
  </si>
  <si>
    <t>c. Music has helped her through difficult times in life.</t>
  </si>
  <si>
    <t>c. High-speed lines will encourage more people to use trains.</t>
  </si>
  <si>
    <t>c. Because the Communist Party is gaining popularity.</t>
  </si>
  <si>
    <t>c. That China is too important economically to effectively protest against.</t>
  </si>
  <si>
    <t>c. are using the internet to reach new communities of people.</t>
  </si>
  <si>
    <t>c. Alternatives to a troop surge will likely not accomplish their goals</t>
  </si>
  <si>
    <t>c. There's a huge market of people who can't afford quality home theaters.</t>
  </si>
  <si>
    <t>c. The amount that people drink changes quite a bit over time.</t>
  </si>
  <si>
    <t>c. The fact that he was committed to a prison in Turkey but he was able to turn his life around in the U.S.</t>
  </si>
  <si>
    <t>c. They are waiting to see actions that should accompany his words.</t>
  </si>
  <si>
    <t>c. By using her connections in the school administration</t>
  </si>
  <si>
    <t>c. They should be enforced more vigorously</t>
  </si>
  <si>
    <t>c. Children are more open to music if they have an idea of its context</t>
  </si>
  <si>
    <t>c. Webster was reluctant to change spelling too much from its British origins</t>
  </si>
  <si>
    <t>c. Because of the economic impact that teachers make on a nation</t>
  </si>
  <si>
    <t>c. Most boards have a balanced number of men and women</t>
  </si>
  <si>
    <t>c. Closing the street to cars has made traffic problems worse</t>
  </si>
  <si>
    <t>c. She wanted to help people who weren't as priveleged as she was.</t>
  </si>
  <si>
    <t>c. Most people have lost the habit of going to the cinema since the films are so similiar</t>
  </si>
  <si>
    <t>c. Parents in the past thought about their chilren more in economic terms than they do nowadays</t>
  </si>
  <si>
    <t>d. It is welcomed by commuters who work in London.</t>
  </si>
  <si>
    <t>d. To test the effectiveness of the Afghan police.</t>
  </si>
  <si>
    <t>d. He doesn’t have tourism classes this semester.</t>
  </si>
  <si>
    <t>d. felt uncomfortable about his lifestyle</t>
  </si>
  <si>
    <t>d. They received two Haitian students at their school</t>
  </si>
  <si>
    <t>d. It has to be loaded up before use.</t>
  </si>
  <si>
    <t>d. They listen more to regular people’s opinions.</t>
  </si>
  <si>
    <t>d. The males and females are both quite large.</t>
  </si>
  <si>
    <t>d. is representative of India’s underdeveloped areas.</t>
  </si>
  <si>
    <t>d. offered to pay someone to take away the captured ghosts.</t>
  </si>
  <si>
    <t>d. Its paintings were brought to England from Poland.</t>
  </si>
  <si>
    <t>d. Social Security is not doing enough to provide financial stability to seniors.</t>
  </si>
  <si>
    <t>d. He was amazed by the extraordinary sight of the volcano.</t>
  </si>
  <si>
    <t>d. Her attempts at mountaineering in South England.</t>
  </si>
  <si>
    <t>d. Evidence has shown that men collected objects when they could not hunt.</t>
  </si>
  <si>
    <t>d. She feels young women in the media lack ambition and experience.</t>
  </si>
  <si>
    <t>d. whenever twins are together they share the same experiences.</t>
  </si>
  <si>
    <t>d. She thinks positive thinking has taken over the culture, sometimes in ridiculous ways.</t>
  </si>
  <si>
    <t>d. Parents need to find alternative activities for their children while they are indoors.</t>
  </si>
  <si>
    <t>d. They influence the literary preferences of publishers.</t>
  </si>
  <si>
    <t>d. Some music pieces bring back memories from times gone by.</t>
  </si>
  <si>
    <t>d. The building of high-speed lines will boost Britain’s railway industry.</t>
  </si>
  <si>
    <t>d. Because they are the institution preferred by the Cuban State.</t>
  </si>
  <si>
    <t>d. That boycotting Chinese airlines is the best way to influence its actions.</t>
  </si>
  <si>
    <t>d. are using online social networks to communicate amongst themselves.</t>
  </si>
  <si>
    <t>d. The surge should take place only if there is a plan for a withdrawal afterwards.</t>
  </si>
  <si>
    <t>d. The special experience of 3D is a way to get people back into theaters.</t>
  </si>
  <si>
    <t>d. People drink about the same nowadays as in the past.</t>
  </si>
  <si>
    <t>d. The fact that he embodies both the best and worst aspects of the American immigrant story</t>
  </si>
  <si>
    <t>d. They are impressed with the change in tone and rhetoric</t>
  </si>
  <si>
    <t>d. By organizing and including many students in her plans.</t>
  </si>
  <si>
    <t>d. They should be made more restrictive on space technologies</t>
  </si>
  <si>
    <t>d. It's best to explain about a lot of composers and instruments and let the children choose what to hear.</t>
  </si>
  <si>
    <t>d. Webster's first dictionary was unsuccessful because it was too close to British spelling</t>
  </si>
  <si>
    <t>d. Because they will be working with children.</t>
  </si>
  <si>
    <t>d. Nowadays boards select members based on merit</t>
  </si>
  <si>
    <t>d. Vehicle traffic has caused the paving to deteriorate quickly</t>
  </si>
  <si>
    <t>d. She wanted to work in a profession in which she could help people in need</t>
  </si>
  <si>
    <t>d. Most movies nowadays are formulaic and predictable</t>
  </si>
  <si>
    <t>d. Children were more of an economic burden on their parents in the past</t>
  </si>
  <si>
    <t>1. What does the speaker say about the building of the new railway line?</t>
  </si>
  <si>
    <t>2. What is the overall objective of the mentioned military operation?</t>
  </si>
  <si>
    <t>3. Why has he NOT recorded any podcasts for so long?</t>
  </si>
  <si>
    <t>4. As a child, the man…</t>
  </si>
  <si>
    <t>5. What did the students from London do?</t>
  </si>
  <si>
    <t>6. What do we learn about the Go SIM-Card?</t>
  </si>
  <si>
    <t>7. According to the extract, what is new about British politicians?</t>
  </si>
  <si>
    <t>8. What do we learn about Great Bustard birds?</t>
  </si>
  <si>
    <t>9. According to the speaker, this area…</t>
  </si>
  <si>
    <t>10. Ms Woodbree…</t>
  </si>
  <si>
    <t>11. What do we learn about the gallery?</t>
  </si>
  <si>
    <t>12. What does the speaker state about senior citizens in the U.S.?</t>
  </si>
  <si>
    <t>13. What do we find out about the man?</t>
  </si>
  <si>
    <t>14. What does the woman describe in this extract?</t>
  </si>
  <si>
    <t>15. According to the speaker, why are there more men who collect?</t>
  </si>
  <si>
    <t>16. What does the woman say about women in the media?</t>
  </si>
  <si>
    <t>17. The speaker says that…</t>
  </si>
  <si>
    <t>18. What can be inferred from the speaker’s comment?</t>
  </si>
  <si>
    <t>19. What does the speaker say about rationing television?</t>
  </si>
  <si>
    <t>20. According to the speaker, what effect do Dan Brown’s books have on the publishing world?</t>
  </si>
  <si>
    <t>21. Which statement is true about the woman?</t>
  </si>
  <si>
    <t>22. Which statement reflects the interviewee’s opinion?</t>
  </si>
  <si>
    <t>23. According to the speaker, why are the armed forces of Cuba the ‘key to the future’ of change in Cuba?</t>
  </si>
  <si>
    <t>24. What point is the speaker trying to make in this excerpt?</t>
  </si>
  <si>
    <t>25. According to the speaker, governmental organizations and NGOs:</t>
  </si>
  <si>
    <t>26. What is the speaker’s opinion about a surge in troops in Afghanistan?</t>
  </si>
  <si>
    <t>27. According to the speaker, why is there currently a boom in 3D films at movie theaters?</t>
  </si>
  <si>
    <t>28. According to the interview, which of the following is true?</t>
  </si>
  <si>
    <t>29. What does the speaker appreciate about this immigrant’s story?</t>
  </si>
  <si>
    <t>30. According to the speaker, what do people in the Arab world think of US President Barack Obama’s reconciliatory efforts?</t>
  </si>
  <si>
    <t>31. How does the speaker propose to deal with the budget problems at the school?</t>
  </si>
  <si>
    <t>32. According to the interviewee, what should be done about the export control laws in the Unites States?</t>
  </si>
  <si>
    <t>33. What does the violinist say about playing music for children?</t>
  </si>
  <si>
    <t>34. According to the passage, which of the following is true?</t>
  </si>
  <si>
    <t>35. According to the woman, why is educating teachers such a serious responsibility?</t>
  </si>
  <si>
    <t>37. What does May complain about?</t>
  </si>
  <si>
    <t>38. Which statement is true?</t>
  </si>
  <si>
    <t>39. What does the filmmaker say about films nowadays?</t>
  </si>
  <si>
    <t>40. According to the interview, which of the following is true?</t>
  </si>
  <si>
    <t>EXAMEN 105</t>
  </si>
  <si>
    <t>EXAMEN 105/MP3/Q-1.mp3</t>
  </si>
  <si>
    <t>EXAMEN 105/MP3/Q-2.mp3</t>
  </si>
  <si>
    <t>EXAMEN 105/MP3/Q-3.mp3</t>
  </si>
  <si>
    <t>EXAMEN 105/MP3/Q-4.mp3</t>
  </si>
  <si>
    <t>EXAMEN 105/MP3/Q-5.mp3</t>
  </si>
  <si>
    <t>EXAMEN 105/MP3/Q-6.mp3</t>
  </si>
  <si>
    <t>EXAMEN 105/MP3/Q-7.mp3</t>
  </si>
  <si>
    <t>EXAMEN 105/MP3/Q-8.mp3</t>
  </si>
  <si>
    <t>EXAMEN 105/MP3/Q-9.mp3</t>
  </si>
  <si>
    <t>EXAMEN 105/MP3/Q-10.mp3</t>
  </si>
  <si>
    <t>EXAMEN 105/MP3/Q-11.mp3</t>
  </si>
  <si>
    <t>EXAMEN 105/MP3/Q-12.mp3</t>
  </si>
  <si>
    <t>EXAMEN 105/MP3/Q-13.mp3</t>
  </si>
  <si>
    <t>EXAMEN 105/MP3/Q-14.mp3</t>
  </si>
  <si>
    <t>EXAMEN 105/MP3/Q-15.mp3</t>
  </si>
  <si>
    <t>EXAMEN 105/MP3/Q-16.mp3</t>
  </si>
  <si>
    <t>EXAMEN 105/MP3/Q-17.mp3</t>
  </si>
  <si>
    <t>EXAMEN 105/MP3/Q-18.mp3</t>
  </si>
  <si>
    <t>EXAMEN 105/MP3/Q-19.mp3</t>
  </si>
  <si>
    <t>EXAMEN 105/MP3/Q-20.mp3</t>
  </si>
  <si>
    <t>EXAMEN 105/MP3/Q-21.mp3</t>
  </si>
  <si>
    <t>EXAMEN 105/MP3/Q-22.mp3</t>
  </si>
  <si>
    <t>EXAMEN 105/MP3/Q-23.mp3</t>
  </si>
  <si>
    <t>EXAMEN 105/MP3/Q-24.mp3</t>
  </si>
  <si>
    <t>EXAMEN 105/MP3/Q-25.mp3</t>
  </si>
  <si>
    <t>EXAMEN 105/MP3/Q-26.mp3</t>
  </si>
  <si>
    <t>EXAMEN 105/MP3/Q-27.mp3</t>
  </si>
  <si>
    <t>EXAMEN 105/MP3/Q-28.mp3</t>
  </si>
  <si>
    <t>EXAMEN 105/MP3/Q-29.mp3</t>
  </si>
  <si>
    <t>EXAMEN 105/MP3/Q-30.mp3</t>
  </si>
  <si>
    <t>EXAMEN 105/MP3/Q-31.mp3</t>
  </si>
  <si>
    <t>EXAMEN 105/MP3/Q-32.mp3</t>
  </si>
  <si>
    <t>EXAMEN 105/MP3/Q-33.mp3</t>
  </si>
  <si>
    <t>EXAMEN 105/MP3/Q-34.mp3</t>
  </si>
  <si>
    <t>EXAMEN 105/MP3/Q-35.mp3</t>
  </si>
  <si>
    <t>EXAMEN 105/MP3/Q-36.mp3</t>
  </si>
  <si>
    <t>EXAMEN 105/MP3/Q-37.mp3</t>
  </si>
  <si>
    <t>EXAMEN 105/MP3/Q-38.mp3</t>
  </si>
  <si>
    <t>EXAMEN 105/MP3/Q-39.mp3</t>
  </si>
  <si>
    <t>EXAMEN 105/MP3/Q-40.mp3</t>
  </si>
  <si>
    <t>T TE. D. ANDRES TORRES CASO</t>
  </si>
  <si>
    <t>28800128</t>
  </si>
  <si>
    <t>EXAMEN DE NOV 12</t>
  </si>
  <si>
    <t>Afghan President Hamid Karzai has said international support after foreign forces withdraw in 2014 is crucial if Afghanistan is to remain stable. His comments opened a major global conference on Afghanistan’s future in the German city of Bonn. It comes 10 years after a similar gathering held in the city, weeks after the Taliban fell from power. But key player Pakistan is boycotting this round in protest at a Nato attack on a border checkpoint. NATO apologized for the air strike on 26 November 2011 in which 24 Pakistani troops were killed and US President Barack Obama also offered his condolences, but Pakistan has insisted it will not reverse its decision on the talks. President Karzai hailed the progress Afghanistan has made in the decade since the last conference, but warned that such gains were by no means secure. He said the conference presented an opportunity for Afghanistan to consolidate its gains.</t>
  </si>
  <si>
    <t>The Honduran Congress has voted to ban motorcyclists from riding with passengers in a bid to curb a spate of drive-by killings. The move follows two high-profile murders this week, both blamed on gunmen on motorbikes. Honduras has the world’s highest murder rate: 82 per 100,000 people a year. During a session held in private because of security fears, legislators approved a decree limiting the number of people allowed on a motorbike to just one. The measure, which will last for six months, was requested by President Porfirio Lobo, whose government is facing rising crime. Motorcycles have been used in several high-profile murders. Honduras is a key transit country for cocaine smuggled from South America and on to the US market. In November the Honduran authorities began deploying troops to carry out policing duties. The police force itself is undergoing a purge amid efforts to root out officers with links to organized crime.</t>
  </si>
  <si>
    <t>Prince Harry had to swap boats during his Jubilee tour when the speed boat he was travelling on broke down. Harry ‘abandoned ship’ and hopped on board a press and media boat following the tour. He was off the Bahamas as part of his official tour of the Caribbean and was supposed to join the crew of a Royal Bahamian Defense Force patrol boat on a naval exercise. He eventually landed on tiny Harbor Island, where he met crowds of tourists and locals.</t>
  </si>
  <si>
    <t xml:space="preserve">A six-year-old girl has survived after being trapped under ice in a river and spending four days in a coma. The girl and her brother were playing on ice when it gave way. Medics say that the girl has not suffered any injuries and that she has been sitting up in bed and enjoying an ice cream. </t>
  </si>
  <si>
    <t>Two daring commando raids by two nations in one day against Somali pirates show that some naval forces are taking a harder line, perhaps because nothing else they have tried has stopped the rise of lawlessness off the east coast of Africa. The raids by South Korea and Malaysia could be a sign of more aggressive tactics to come – both by navies and by pirates responding to them. Experts say pirates could increasingly use hostages as human shields if raids become more common. The European Union Naval Force refuses to raid hijacked ships out of concern for the safety of hostages, but frustration is rising. Despite patrols by an international flotilla of warships, drones patrolling the Indian Ocean and diverse strategies employed, including the sinking of pirate boats, Somali pirates have been relentless.</t>
  </si>
  <si>
    <t>A South African gold mining company owned by members of the Mandela and Zuma families is accused of exploiting its political connections to avoid punishment over its abuse of workers. The company is also accused of profiting from selling mine assets it does not own- a claim it vehemently denies.                                                                                                                                                            Aurora Empowerment Systems, took control of two gold mines just outside of Johannesburg around 18 months ago. Today, South Africa’s mining unions claim the company owes its workers more than 12m rand (1.8m) in unpaid salaries. The managing director of Aurora is Zondwa Gadafi Mandela, grandson of Nelson Mandela. The chairman is the nephew of President Jacob Zuma. Despite having no previous experience in the mining industry, a high court-appointed liquidator gave Aurora control of two gold mines after the previous owner went bust. Since then, the company has been at the centre of huge controversy in South Africa, with critics claiming that the company has committed multiple legal and regulatory infringements, but has escaped any kind of sanction because of the significant political connections of its senior management.</t>
  </si>
  <si>
    <t>Japan’s government is set to suspend all cattle shipments from Fukushima as concerns over radiation-tainted beef escalate. Senior Vice Health Minister Kohei Otsuka said beef from surrounding areas may also be affected. Increasing numbers of cows have been found to have consumed rice straw containing high levels of radioactive caesium. The straw was harvested from rice paddies in Fukushima prefecture after the devastating earthquake and tsunami knocked out critical cooling systems at the local nuclear plant leading to a meltdown. More than four months on, radioactive material continues to escape from the facility. Distributors across the country have bought meat from exposed cows and some of it could have already reached consumers. The major supermarket chain Aeon said that hundreds of kilos of the beef have been sold at 14 of its stores in Tokyo and the surrounding areas. The retailer said it would start to check beef shipments from all areas for contamination. The government has also acknowledged that the problem could be wider than just Fukushima.</t>
  </si>
  <si>
    <t xml:space="preserve">The man who led a legal battle which led to the recent discovery of treasure worth billions of dollars in an Indian Temple has died at the age of 70. Sundar Rajan, petitioned for the vaults of the sixteenth century temple in Kerala to be opened. Inside, investigators found gold and silver jewelry and precious stones which had been hidden for decades. Local legend had long held that vast riches had been interred in the walls and vaults of the temple. Sundar Rajan went to the Supreme Court asking that the state take over control of the temple, saying the current temple trust was incapable of protecting the wealth inside. The court ordered an inspection of the temple vaults and when inspectors broke through, they found huge amounts of treasure, including diamonds, jewelry pots and gold coins. Neither the state of Kerala nor the descendants of the royal family have made any claim on the treasure, which they say is the property of the temple and its deity. But the discovery has sparked a public debate, with many believing the items should be put in museums or sold and the profits used for the public good. </t>
  </si>
  <si>
    <t xml:space="preserve">I recently reported on an organization called KaBOOM! which helps residents in low-income communities across the United States build playgrounds and take steps towards re-creating their communities. In the poorest areas of the country, there is a severe shortage of quality play spaces for children; some areas have been described as ‘play deserts’. This problem has drawn the attention of child advocates and some, but not enough, policy makers. Park and recreation budgets are often the first to be slashed when budgets are tightened. In recent years, groups like KaBOOM! have helped to fill the gap by raising private funds to finance playgrounds. But KaBOOM! goes a step further: it shows locals how to organize and build playgrounds themselves. If each generation of citizens has to rediscover its capacity for societal renewal, the past can certainly serve as a guide. Why did community playgrounds and children’s vegetable gardens end? </t>
  </si>
  <si>
    <t>Six major US tobacco companies have defeated a lawsuit by hospitals seeking compensation for treating patients with smoking-related illnesses. Thirty-seven hospitals in the state of Missouri had claimed cigarette companies delivered an “unreasonably dangerous” product. They sought more than $455m reimbursement for treating uninsured smokers who had not paid for care. The hospitals treat many destitute, non-paying patients. They said medical ethics required them to treat people in need, regardless of their ability to pay. In the case, the hospitals claimed that tobacco companies manipulated the nicotine content in cigarettes and misrepresented the health effects of smoking. But a jury in St. Louis rejected their claim. An official from Lorillard, another company in the case, said: “Compelling evidence was presented to the jury, including testimony from hospital witnesses that confirmed the hospitals were not financially damaged as they asserted.”</t>
  </si>
  <si>
    <t>It’s three o’clock in the morning and Jaycee Solis is taking a call from a client who wants to book a flight from Detroit to New York. Jaycee’s American accent is so convincing that the US caller is almost certainly unaware that he’s on the other side of the world, in the Philippines. It’s this accent coupled with the high number of fluent English speakers that is making the Philippines the new destination of choice for international companies wanting to outsource their call centers. “In voice-based business, we really excel,” says Bong Borja , the Philippine president of a call center  company. To American ears, Filipinos often sound clearer than agents in India – the king of the call centre industry. Mr. Borja says. “That’s the reason some companies in India are moving to the Philippines.” Some are even run by Indians, and many employ a high number of Indian expatriates on their management staff. People with these management skills “can only be found in India – they have the expertise and they were there a couple of years ahead of us,” says Mr. Borja.</t>
  </si>
  <si>
    <t>Cuban and American politicians have celebrated together at the opening of Hemingway’s, an invitation –only bar located in a Washington DC embassy. It started like a typical Washington DC function. Men and women in dark suits milled around a formal room in the Swiss Embassy.  But after a series of speeches, guests were led to the back of the room, and into an entirely different experience. They had entered Hemingway’s, a bar celebrating the American writer who made his home in Cuba. There, the floors were covered in terracotta tile, while wooden fans whirred above. Bartenders poured cocktails under a brass replica of Hemingway’s signature. Aside from the fact that it serves liquor, Hemingway’s isn’t a bar in the traditional sense. Tucked inside the embassy, where the Cuban Interests Section resides, the bar has a strict invitation-only list. It will be used for entertaining guest of the Interest Section, so tourists hoping to catch happy hour are out of luck. It’s illegal for the bar to conduct any commerce, but the embassy is free from the trade embargo that forbids importing products from the communist country. So drinks were free, made with Cuban rum that’s normally impossible to find in the U.S.</t>
  </si>
  <si>
    <t>Last December a policeman in a small town near Rome put on a balaclava, kidnapped his neighbor’s teenage son and demanded an 85,000 euro ransom. Quickly tracked down and arrested by his fellow officers, he told them that he was up to his neck in debts as he lost everything at video poker. Bizarre stories like this are popping up more often as Italians develop a serious gambling habit. Italy has now moved into the number one spot for gambling in Europe after overtaking the U.K. The boom has been driven by the legalization of slot machines which have overtaken lotteries, horses and football to account for more than half of today’s total spending. “Until the 1990s it was disapproved of and the government’s tendency was to control it,” said sociologist Maurizio Fiasco. “Then it became a useful revenue.” While the gambling parlors provide a revenue for the cash-strapped government, the mafia has also moved in for its cut – allegedly using front companies to obtain licenses then laundering drug money through operations.</t>
  </si>
  <si>
    <t xml:space="preserve">A National Trust farm is to be run by online subscribers voting on which crops to grow and livestock to rear. For a 30-pound annual fee, 10,000 farm followers will help manage Wimpole Home Farm, in Cambridgeshire. The ‘My Farm’ project aims to reconnect people with where their food comes from. It was partly inspired by the online Face book game Farmville and follows the example of Ebbsfleet Football Club which is run on a similar basis. Wimpole Home Farm, which is converting to organic, is currently commercially self-sustaining. The 1,200 acre site is home to rare breeds of sheep, cattle, poultry, horses and goats and produces meat, eggs, wheat and oil seed rape. Subscribers will be expected to make key decisions on which crops to plant, which animals to buy and whether to put in measures such as new hedgerows to help wildlife. They will be asked to make 12 major monthly decisions during the course of the year as well as other choices. The options put to members will be within parameters dictated by climate, legislation, and the requirements of the environmental stewardship scheme which the farm is signed up to, as well as the heritage protection given to the estate. </t>
  </si>
  <si>
    <t>Arsenic mines and factories in Georgia abandoned after the fall of the Soviet Union are leaking toxic chemicals, and scientific studies show high rates of illness in local children. But it seems villagers in Uravi, high in the Caucasus mountains in north-west Georgia, are being kept in the dark and locals know nothing about the harm the pollution could be doing to their young. The government is aware of the problem, but with its economy still only 60% of what it was in Soviet times, the country just does not have the necessary resources, says environment minister Giorgi Khachidze. “All over the country we have the legacy of pesticides, landmines, abandoned factories, sources of radiation. Every day we get information about something and we just don’t have the money to sort out all these in a day.” Uravi is a beautiful spot, where hills dotted with small wooden houses rise up form the river to peaks covered in snow. But locals call this the Black Valley. Zaza Bochirishvili, who runs a local NGO campaigning on green issues, says the whole area is polluted. “All mountain rivers should have fish in them but this river does not.” Recent tests show arsenic levels in the soil around the village are 20-30 times higher than normal. Other scientific studies have found arsenic in the blood of local children.</t>
  </si>
  <si>
    <t>When Botswana achieved independence in 1966, it was one of Africa’s poorest countries with few schools or hospitals and only a handful of university graduates. Today the country has a national digital telephone network and universal access to health and education, which are largely funded by the government. Botswana has mineral wealth, mainly in the form of diamonds, as well as political stability. But these alone cannot explain why Botswana has fared so much better than many countries with similar starting positions. Along with efficient macroeconomic management, a key lesson from the Botswana experience is ensuring that economic growth translates into tangible social benefits for all. It means that growth needs to create jobs and incomes and that it must extend to the poorest in society. It also means that growth must lead to improvements in public services, particularly in health and education. This is not easy and in rural communities in Botswana, poverty remains at unacceptably high levels. For a number of reasons, many African countries continue to rely on the export of primary commodities rather than value addition and diversification of the economic base. The resultant capital-intensive growth has little direct effect on employment levels and few linkages to employment-intensive sectors such as agriculture. Thus, it is no wonder that despite years of strong economic growth, poverty remains so pervasive in so many resource-rich countries on the continent.</t>
  </si>
  <si>
    <t xml:space="preserve">Global warming has already harmed the world’s food production and has driven up food prices by as much as 20% over recent decades, new research has revealed. The drop in the productivity of crop plants around the world was not caused by changes in rainfall but was because higher temperatures can cause dehydration, prevent pollination and lead to slowed photosynthesis.                                                                                                                                                             Lester Brown, president of the Earth Policy Institute, said the findings indicate a turning point: “Agriculture as it exists today evolved over 11,000 years of reasonably stable climate, but that climate system is no more. Adaptation is difficult because our knowledge of the future is not strong enough to drive new investments”, he said. “So we just keep going, hoping for the best.” The scientists say their work shows how crucial it is to find ways to adapt farming to a warmer world, to ensure that rises in global population are matched by rising food production. “It is vital,” said Wolfram Schlenker, one of the research team. “If we continue to have the same seed varieties and temperatures continue to rise, then food prices will rise further. Addressing that is the big question.” </t>
  </si>
  <si>
    <t>Green, incredibly alcoholic and some say mind-altering-these are the qualities that led to absinthe being banned in France almost 100 years ago. But all that’s about to change, after the government voted to allow sales of the drink nicknamed the “green fairy”.                                                      “I will not be seen as a drug addict anymore,” says Clement Arnoux, an absinthe drinker. The green, anise-flavoured spirit is associated with many of the country’s most famous and esteemed artists and writers but it was banned in France in 1915 for its alleged harmful effect. Later, the rule was relaxed, allowing the drink to be sold as long as it was not called absinthe, and instead labelled “a spirit made from extracts of the absinthe plant.” Now the ban is expected to be lifted entirely any day now, after the French Senate voted in favour of the move in mid-April. While drinkers like Clement Arnoux are relieved that the stigma of illegality has gone, not everyone sees the change of law as cause for celebration. Absinthe is usually around 60 or 70% alcohol, though it is not designed to be drunk neat, but mixed instead with water. For some, the drink’s high proof is part of its appeal. Young people are “always looking for something more,” says Laurent Legay, who works with people with drink problems.</t>
  </si>
  <si>
    <t xml:space="preserve">Several months ago, parts of the Amazon rainforest were in the grip of one of the most severe droughts on record. Rivers levels were at historic lows and the impact on wildlife was severe. The number of pink river dolphins in a remote part of the Peruvian Amazon dropped by nearly half in October compared with 2009, as the level of the Samiria River, a major tributary of the Amazon, fell. Along a 20km stretch of the river, a population of 250 declined to about 140.But now a team of conservation experts working in the region has found that many species have recovered more quickly than expected. This includes the pink dolphins, which, according to surveys conducted in March, have seen their numbers increased by nearly 10%, compared to the same period last year, prior to the drought. The number of grey dolphins is also up from March 2010 – by 30%. The research is being carried out in a national reserve in the Amazon. “This reserve is flooded forest, where we get high levels and low levels in the rivers every year,” says Dr. Bodmer. “But the 2010 drought and the record floods the previous year were much worse.” Now the water levels are extremely high again and local officials have declared a state of emergency. “We are being hit on both sides – extremely high levels of water or droughts,” says Dr. Bodmer. </t>
  </si>
  <si>
    <t>She is the embodiment of modern Thai youth, dressed in flip flops, T-shirt and shorts and sipping an iced coffee with friends after university lectures. But 20-year-old Kanthoop is not just another university student. She has been spat at, publicly denigrated, threatened by police and faces up to 15 years in jail for little more, she says, than “having opinions.” To understand why Kanthoop might be so vilified is to understand Thai society. Twice a day time stands still in this nation of 69 million as the national anthem sputters out of public loudspeakers and everyone stands in silent salute. The routine testifies to the adoration Thai people feel for both their nation and their king. But that reverence is backed up by the world’s strictest pro-monarchy regulations, which sentences anyone who insults, defames or threatens the king to three to fifteen years imprisonment. Opponents argue that the law, known as Article 112, prevents healthy dialogue and is being used as a political tool to stifle dissent. Human rights groups, as well as the U.S, E.U. and U.N, have voiced concern over the way the law is used.</t>
  </si>
  <si>
    <t>1.- Which of the following is true?</t>
  </si>
  <si>
    <t xml:space="preserve">2.- Which of the following is true? </t>
  </si>
  <si>
    <t xml:space="preserve">3.-When did Prince Harry’s boat break? </t>
  </si>
  <si>
    <t xml:space="preserve">4.- What happened to the young girl? </t>
  </si>
  <si>
    <t>5.- The report states that;</t>
  </si>
  <si>
    <t>8.- According to the report;</t>
  </si>
  <si>
    <t>6.- It is stated in the article that Aurora;</t>
  </si>
  <si>
    <t xml:space="preserve">7.- According to the report; </t>
  </si>
  <si>
    <t>9.- According to the report;</t>
  </si>
  <si>
    <t xml:space="preserve">10.- One of the reasons that the hospitals lost the case appears to be that; </t>
  </si>
  <si>
    <t>11.- According to the report;</t>
  </si>
  <si>
    <t xml:space="preserve">13.- Which of the following is true? </t>
  </si>
  <si>
    <t>15.- What is said about gambling in Italy?</t>
  </si>
  <si>
    <t>17.- The ‘My Farm’ project was set up partly to;</t>
  </si>
  <si>
    <t>10.- The problem in Uravi has been worsened by;</t>
  </si>
  <si>
    <t>21.- According to the article, one of the most important reasons for Botswana’s success is that;</t>
  </si>
  <si>
    <t xml:space="preserve">23.- Food production has been negatively affected by; </t>
  </si>
  <si>
    <t xml:space="preserve">25.- The plan to legalize absinthe in France; </t>
  </si>
  <si>
    <t xml:space="preserve">27.- According to the article; </t>
  </si>
  <si>
    <t>20.- Which of the following is true?</t>
  </si>
  <si>
    <t xml:space="preserve">12.- The report states: </t>
  </si>
  <si>
    <t>14.- What is said about the bar, ‘Hemingway’s’?</t>
  </si>
  <si>
    <t xml:space="preserve">16.- What is said about the mafia? </t>
  </si>
  <si>
    <t>18.- When making decisions about the farm, subscribers will be obliged to consider;</t>
  </si>
  <si>
    <t xml:space="preserve">20.- What is said about the local population in Uravi? </t>
  </si>
  <si>
    <t xml:space="preserve">24.- In the future, it will be important to; </t>
  </si>
  <si>
    <t>26.- Previously in France;</t>
  </si>
  <si>
    <t xml:space="preserve">28.- It is stated in the article that the Amazon Rainforest; </t>
  </si>
  <si>
    <t>30.- What is stated in the report regarding Thai society?</t>
  </si>
  <si>
    <t>EXAMEN 8</t>
  </si>
  <si>
    <t>EXAMEN DE EMID/2012</t>
  </si>
  <si>
    <t>a) The summit on Afghanistan’s future is the first of its kind</t>
  </si>
  <si>
    <t>b) President Karzai has condemned the lack of progress in Afghanistan</t>
  </si>
  <si>
    <t>d) Pakistan spurned the proceedings</t>
  </si>
  <si>
    <t>a) The Honduran Congress is moving to protect privacy</t>
  </si>
  <si>
    <t>b) Efforts are being made to eliminate corruption in the military</t>
  </si>
  <si>
    <t>c) The military is now active in tackling crime problems in Honduras</t>
  </si>
  <si>
    <t>d) Motorbike riding will be banned for six months in Honduras</t>
  </si>
  <si>
    <t>a) When he was leaving the Bahamas</t>
  </si>
  <si>
    <t>b) When he arrived on Harbor Island</t>
  </si>
  <si>
    <t>c) During a naval exercise</t>
  </si>
  <si>
    <t xml:space="preserve">d) When he was close to the Bahamas </t>
  </si>
  <si>
    <t>a) She was wounded by the ice</t>
  </si>
  <si>
    <t>b) She was stuck under the ice</t>
  </si>
  <si>
    <t>c) She was pushed under the ice</t>
  </si>
  <si>
    <t>d) She was drowned under the ice</t>
  </si>
  <si>
    <t>a) The raids are reducing acts of piracy</t>
  </si>
  <si>
    <t>b) The European Union’s naval force participates in raids</t>
  </si>
  <si>
    <t>c) Hostages are increasingly being used as human shields</t>
  </si>
  <si>
    <t>d) The raids are carried out as a last resort</t>
  </si>
  <si>
    <t>a) Has been exempt from penalties because of its ties</t>
  </si>
  <si>
    <t>a) The tainted beef has been sold in Fukushima only</t>
  </si>
  <si>
    <t>b) Transportation of cattle from Fukushima has been postponed</t>
  </si>
  <si>
    <t>c) The radioactive material is no longer leaking out of the facilities</t>
  </si>
  <si>
    <t>d) Distributors are boycotting the purchase of beef</t>
  </si>
  <si>
    <t>a) Sundar Rajan didn’t have confidence in the state.</t>
  </si>
  <si>
    <t>b) There is contention over the fortune.</t>
  </si>
  <si>
    <t>c) Sundar Rajan was opposed to the opening of the vaults.</t>
  </si>
  <si>
    <t xml:space="preserve">d) The temple was never believed to contain such wealth. </t>
  </si>
  <si>
    <t>a) KaBOOM! has received the support of policy makers</t>
  </si>
  <si>
    <t>b) KaBOOM!’s beginning was influenced by budget cuts</t>
  </si>
  <si>
    <t>c) KaBOOM ! trains locals in fundraising methods</t>
  </si>
  <si>
    <t>d) KaBOOM! was founded in a previous era</t>
  </si>
  <si>
    <t>a) The Philippines has now taken the lead in the call centre business</t>
  </si>
  <si>
    <t>b) India has been the leader in the call centre business due to its high level of English</t>
  </si>
  <si>
    <t>c) Philippine success in the call centre business is due to its business skills</t>
  </si>
  <si>
    <t>a) The celebration took place in Havana</t>
  </si>
  <si>
    <t>b) Drinks were served free of charge</t>
  </si>
  <si>
    <t>c) Cuban rum was not available</t>
  </si>
  <si>
    <t>d) Tourists enjoy coming to the bar for ‘Happy Hour’</t>
  </si>
  <si>
    <t>a) It is making Italians progressively richer</t>
  </si>
  <si>
    <t>b) U.K. has more gamblers than Italy</t>
  </si>
  <si>
    <t>c) Slot machines dominate the gambling scene</t>
  </si>
  <si>
    <t>d) Gambling is still widely disapproved of</t>
  </si>
  <si>
    <t>a) Reacquaint people with food production</t>
  </si>
  <si>
    <t>b) Inspire people to grow their own food</t>
  </si>
  <si>
    <t>c) To encourage people to participate in the game Farmville</t>
  </si>
  <si>
    <t>d) To compete with the ‘My Football Club’ project</t>
  </si>
  <si>
    <t>a) The fall of the Soviet Union</t>
  </si>
  <si>
    <t>b) The fact that it is short of funds</t>
  </si>
  <si>
    <t>c) The nature of its landscape</t>
  </si>
  <si>
    <t>d) The fact that it has a predominantly young population</t>
  </si>
  <si>
    <t>b) The advantages of economic growth have reached many people</t>
  </si>
  <si>
    <t>a) Thai people commonly criticize their king</t>
  </si>
  <si>
    <t>b) Some organizations are disturbed by Article 112</t>
  </si>
  <si>
    <t>c) Kanthoop has been sentenced to jail</t>
  </si>
  <si>
    <t>d) Article 112 has been used to promote discussions</t>
  </si>
  <si>
    <t>c) The US was in opposition to the summit</t>
  </si>
  <si>
    <t xml:space="preserve">a) Many of the call centers are under Indian management </t>
  </si>
  <si>
    <t>b) American customers find it easier to speak with Indian agents</t>
  </si>
  <si>
    <t>c) Some Filipino call centers are moving to India</t>
  </si>
  <si>
    <t xml:space="preserve">d) More Filipinos are being trained for management positions </t>
  </si>
  <si>
    <t>a) It is now open to the public</t>
  </si>
  <si>
    <t>b) It is very conventional</t>
  </si>
  <si>
    <t>c) Access to it is restricted</t>
  </si>
  <si>
    <t xml:space="preserve">d) It turns over a large profit </t>
  </si>
  <si>
    <t>a) They have taken over the gambling business</t>
  </si>
  <si>
    <t>b) They access the gambling business through false enterprises</t>
  </si>
  <si>
    <t>c) Gambling is their main source of revenue</t>
  </si>
  <si>
    <t>d) They are rarely able to obtain licenses for businesses</t>
  </si>
  <si>
    <t>a) The opinions of experts</t>
  </si>
  <si>
    <t>c) Climatic conditions</t>
  </si>
  <si>
    <t>d) The rarity of the livestock breeds</t>
  </si>
  <si>
    <t>a) They are not being well-informed about the problem</t>
  </si>
  <si>
    <t>b) They are actively resolving the problem</t>
  </si>
  <si>
    <t>c) They are protesting the government’s inaction</t>
  </si>
  <si>
    <t xml:space="preserve">d) They are leaving the area </t>
  </si>
  <si>
    <t>a) Suffers a drought every year</t>
  </si>
  <si>
    <t>b) Rarely suffers flooding</t>
  </si>
  <si>
    <t>c) Suffered its worst drought in 2009</t>
  </si>
  <si>
    <t xml:space="preserve">d) Regularly suffers droughts and floods </t>
  </si>
  <si>
    <t>a) It venerates its monarchy</t>
  </si>
  <si>
    <t>b) It is hostile to outsiders</t>
  </si>
  <si>
    <t>c) It doesn’t value its youth</t>
  </si>
  <si>
    <t xml:space="preserve">d) Outsiders don’t understand it </t>
  </si>
  <si>
    <t>a) Mandula was quite fat when she was found.</t>
  </si>
  <si>
    <t>b) Csilla now has 7 cats living with her.</t>
  </si>
  <si>
    <t>c) Mandula likes eating almonds and watching TV.</t>
  </si>
  <si>
    <t>d) Csilla found homes for all of Mandula’s kittens.</t>
  </si>
  <si>
    <t>a) The landing could be easily seen and heard by the enemy.</t>
  </si>
  <si>
    <t>b) They tried to land the men and the equipment without being seen.</t>
  </si>
  <si>
    <t>c) They had muffled the equipment so that no light could be seen.</t>
  </si>
  <si>
    <t>d) They used secret codes so as to surprise the enemy.</t>
  </si>
  <si>
    <t>a) Some land mines have been found near the Iron Curtain.</t>
  </si>
  <si>
    <t>b) There has been a proposal to protect the Iron Curtain from demolition.</t>
  </si>
  <si>
    <t>c) The land around the Iron Curtain is home to many types of wildlife.</t>
  </si>
  <si>
    <t>d) Some German states want to develop the Iron Curtain area.</t>
  </si>
  <si>
    <t>a) He/she changes plans easily.</t>
  </si>
  <si>
    <t>b) He/she is domineering.</t>
  </si>
  <si>
    <t>c) He/she is firm.</t>
  </si>
  <si>
    <t>d) He/she has a masculine nature.</t>
  </si>
  <si>
    <t>a) They receive a check for $20,000 in prize money.</t>
  </si>
  <si>
    <t>b) They receive a green jacket which they keep for life.</t>
  </si>
  <si>
    <t>c) They present a green jacket to the next year’s winner.</t>
  </si>
  <si>
    <t>d) They can wear their green jacket to other golf tournaments.</t>
  </si>
  <si>
    <t>a) warm the alioli sauce.</t>
  </si>
  <si>
    <t>b) make a paste with the asparagus.</t>
  </si>
  <si>
    <t>c) add the alioli sauce before serving.</t>
  </si>
  <si>
    <t>d) fry the asparagus.</t>
  </si>
  <si>
    <t>a) Mr. Karnis used to have to wait to travel across borders.</t>
  </si>
  <si>
    <t>b) Central Europeans have to show their passports at borders.</t>
  </si>
  <si>
    <t>c) Mr. Karnis enjoys travelling with his neighbor on holidays.</t>
  </si>
  <si>
    <t>d) Rudolf Karnis and Peter Svancar both live in Poland.</t>
  </si>
  <si>
    <t>a) A health inspector closed a restaurant selling poison mushrooms.</t>
  </si>
  <si>
    <t>b) A restaurant manager’s attempt to save money caused a big problem.</t>
  </si>
  <si>
    <t>c) Several people became ill after eating mushrooms they collected.</t>
  </si>
  <si>
    <t>d) Several people have accused the manager of poisoning them.</t>
  </si>
  <si>
    <t>a) Burning biomass produces more electricity than burning fossil fuels.</t>
  </si>
  <si>
    <t>b) There should be more credits available for funding biomass projects.</t>
  </si>
  <si>
    <t>c) Fears about the efficiency of biomass need to be considered.</t>
  </si>
  <si>
    <t>d) Replacing fossil fuels with biomass would reduce our carbon footprint.</t>
  </si>
  <si>
    <t>a) The line between renewable and non-renewable energies is very thin.</t>
  </si>
  <si>
    <t>b) Carbon dioxide produced by burning biomass and fossil fuel cannot be equated.</t>
  </si>
  <si>
    <t>c) Biomass energy has become a cheap and competitive alternative fuel.</t>
  </si>
  <si>
    <t>d) Scientists need to study and clarify the benefits of biomass energy.</t>
  </si>
  <si>
    <t>a) New methods of testing have exposed much higher numbers of microbes in water and
air supplies than previously suspected.</t>
  </si>
  <si>
    <t>b) There are no effective ways to decrease the amount of bacteria you are exposed to in
the shower.</t>
  </si>
  <si>
    <t>c) Bacteria builds up over time, so the longer your shower, the more bacteria you are
exposed to.</t>
  </si>
  <si>
    <t>d) There are some simple steps you can take to greatly reduce the amount of bacteria
inhaled while in the shower.</t>
  </si>
  <si>
    <t>a) He doesn't understand how someone could undertake this kind of disgusting research.</t>
  </si>
  <si>
    <t>b) Even though this type of research is important, we shouldn't think about it in our day to
day lives.</t>
  </si>
  <si>
    <t>c) We would be better off if scientists didn't undertake this kind of research because it just
makes us more paranoid.</t>
  </si>
  <si>
    <t>d) The research is rather pointless since so much of the bacteria can't be identified with
current techniques.</t>
  </si>
  <si>
    <t>a) Young stars have come to expect the same treatment and paychecks as established
stars.</t>
  </si>
  <si>
    <t>b) Among older viewers, films starring young actors are still not as popular as adult
dramas.</t>
  </si>
  <si>
    <t>c) Some flawed films have proven to be very popular based on the appeal of LaBeouf.</t>
  </si>
  <si>
    <t>d) Adults' taste in films are now more aligned with those of younger viewers.</t>
  </si>
  <si>
    <t>a) LaBeouf is representative of a youth fad that will pass quickly.</t>
  </si>
  <si>
    <t>b) The failure of recent adult dramas to perform at the box office is clearly due to the
quality of the films themselves.</t>
  </si>
  <si>
    <t>c) LaBeouf and other young stars are displacing more talented actors because they are
so much in demand.</t>
  </si>
  <si>
    <t>d) LaBeouf and other young stars are displacing more talented actors because they are
so much in demand.</t>
  </si>
  <si>
    <t>a) Many U.S. citizens have recently begun demanding insurance for illegal workers,
especially those working dangerous jobs.</t>
  </si>
  <si>
    <t>b) Having illegal workers take part in a universal care system would likely benefit the
whole system.</t>
  </si>
  <si>
    <t>c) It makes financial sense to develop a separate system of health care solely for illegal
immigrants.</t>
  </si>
  <si>
    <t>d) Importing legal workers from other countries would be more beneficial than insuring
illegal workers already in the U.S.</t>
  </si>
  <si>
    <t>a) Insuring illegal workers is a good idea as long as we oblige them to leave before they
get old.</t>
  </si>
  <si>
    <t>b) Insuring illegal workers would only encourage more to come to the U.S., which over
time, would burden the system.</t>
  </si>
  <si>
    <t>c) The fact that many of the workers are criminals makes the plan politically untenable.</t>
  </si>
  <si>
    <t>d) Though a good idea, his plan to insure illegal immigrants is unlikely to ever take place.</t>
  </si>
  <si>
    <t>a) The rise of computers and cellphones should take most of the blame for the decline.</t>
  </si>
  <si>
    <t>b) Nothing good comes out of learning to write on computers and text messages.</t>
  </si>
  <si>
    <t>c) The unreliability of early ballpoint pens discouraged people from learning to write well.</t>
  </si>
  <si>
    <t>d) The skills improved by learning to handwrite are more useful than those improved by
learning to type.</t>
  </si>
  <si>
    <t>a) Handwriting, like many other skills in human history, will likely pass into obscurity.</t>
  </si>
  <si>
    <t>b) Handwriting will become a hobby that people will develop despite its anachronism.</t>
  </si>
  <si>
    <t>c) Sending children to handwriting schools would be useful only if other subjects were
taught.</t>
  </si>
  <si>
    <t>d) Like horseback riding and sailing, handwriting will likely develop into a pastime for the
elite.</t>
  </si>
  <si>
    <t>a) Canadians still remain skeptical of the U.S.’s governing style.</t>
  </si>
  <si>
    <t>b) Canadians generally support their American counterparts.</t>
  </si>
  <si>
    <t>c) Canadians have softened their views towards the U.S.</t>
  </si>
  <si>
    <t>d) Canadians have placed great expectations in America’s new government.</t>
  </si>
  <si>
    <t>a) Canadians share the same anti-American sentiments as those of other countries.</t>
  </si>
  <si>
    <t>b) The capitalist market in America is just as cruel and outdated as it ever was.</t>
  </si>
  <si>
    <t>c) Canadians have begun shedding some of their fearful anti-Americanism.</t>
  </si>
  <si>
    <t>d) Canada's own financial disaster has caused them sympathy for the American plight.</t>
  </si>
  <si>
    <t>a) solutions for global warming must be developed in the First World and disseminated to
developing countries.</t>
  </si>
  <si>
    <t>b) contraception campaigns in the developing world will solve the problem of global
warming.</t>
  </si>
  <si>
    <t>c) a cap-and-trade program for babies could be a viable solution to curb population
growth.</t>
  </si>
  <si>
    <t>d) in poor countries, women control the number of children that a family has.</t>
  </si>
  <si>
    <t>a) Limits should be palced on the number of children per family in those places.</t>
  </si>
  <si>
    <t>b) The developed nations must restrict their industrialization.</t>
  </si>
  <si>
    <t>c) They must develope using new, cleaner technologies.</t>
  </si>
  <si>
    <t>d) Contraception and education campaigns should reduce the population before they
industrialize</t>
  </si>
  <si>
    <t>a) Special-interest groups abuse the system to further their own goals.</t>
  </si>
  <si>
    <t>b) The same progressives who created the system have, over time, crippled it to the point
of ineffectiveness.</t>
  </si>
  <si>
    <t>c) California´s system means that anyone can propose a spending bill as long as they
have enough public support.</t>
  </si>
  <si>
    <t>d) California´s system of democracy encourages spending while making it difficult to raise
money.</t>
  </si>
  <si>
    <t>a) Though the system had admirable goals at its creation, nowadays it is ineffective.</t>
  </si>
  <si>
    <t>b) Unions should have done more to prevent rich people and business from taking
advantage of the system.</t>
  </si>
  <si>
    <t>c) The idea of the initiative system was flawed from the start.</t>
  </si>
  <si>
    <t>d) California is an example of how the power of demoncracy works in practice.</t>
  </si>
  <si>
    <t>a) We must focus on issues of the mistreatment of animals before opening such an
expensive health centre.</t>
  </si>
  <si>
    <t>b) The centre should be opened, but should not include facilities for euthanasia.</t>
  </si>
  <si>
    <t>c) Given the amount of money spent on the treatment of humans, we can afford to help
animals.</t>
  </si>
  <si>
    <t>d) The centre should be opened, but the money should not come from the NHS budget.</t>
  </si>
  <si>
    <t>a) Even if animals didn´t feel the same emotional range as humans, we would still have to
care for them</t>
  </si>
  <si>
    <t>b) It´s only acceptable to euthanize those animals which have been mistreated,
abandoned, or live in pain.</t>
  </si>
  <si>
    <t>c) It is immoral to spend money on expensive veterinarian facilities while many humans
are in need of health care.</t>
  </si>
  <si>
    <t>d) We must provide care for domesticated animals because we have made them
dependent on us.</t>
  </si>
  <si>
    <t>a) Documentary filmmakers have been unjustly accused of manipulating facts.</t>
  </si>
  <si>
    <t>b) The truth presented in documentary films may be more skewed than the viewer
expected.</t>
  </si>
  <si>
    <t>c) Documentary filmmakers are solely interested in presenting the facts and the higher
truth.</t>
  </si>
  <si>
    <t>d) The conventional ethics learned at the school of journalists was corroborated.</t>
  </si>
  <si>
    <t>a) Some documentary filmmmakers find it acceptable to manipulate small facts in the
name of social justice.</t>
  </si>
  <si>
    <t>b) Documentary filmmakers seeking an audience or funding should manipulate facts.</t>
  </si>
  <si>
    <t>c) Documentaries, which concern issues of social justice, have a greater responsibility to
be accurate.</t>
  </si>
  <si>
    <t>d) Filmmakers who are passionate about their subject matter shouldn't be restricted by
the truth.</t>
  </si>
  <si>
    <t>a) has run into problems finding volunteers willing to live the rest of their lives on Mars.</t>
  </si>
  <si>
    <t>b) is unlikely to be carried out in the coming decades due to its prohibitive cost.</t>
  </si>
  <si>
    <t>c) has been regarded with suspicion by the scientific community.</t>
  </si>
  <si>
    <t>d) has met with interest despite some misinformation surrounding the idea.</t>
  </si>
  <si>
    <t>a) NASA has done a good job maintaining public interest in the space program despite
some unexciting missions.</t>
  </si>
  <si>
    <t>b) NASA needs to have a bold, exciting mission to recapture the public interest.</t>
  </si>
  <si>
    <t>c) NASA needs to undertake smaller missions with a reduced budget before considering
his Mars plan.</t>
  </si>
  <si>
    <t>d) NASA should excite the public by returning to the Moon, then set its sights on Mars.</t>
  </si>
  <si>
    <t>1.- According to the text, …</t>
  </si>
  <si>
    <t>2.-What happened the night of the operation?</t>
  </si>
  <si>
    <t>3.- Which statement is true?</t>
  </si>
  <si>
    <t>4.- Which of these statements is true about a Taurus person?</t>
  </si>
  <si>
    <t>5.- Which statement is true about winners of the Masters Golf Tournament?</t>
  </si>
  <si>
    <t>6.- To prepare this dish you have to..</t>
  </si>
  <si>
    <t>7.- Which statement is true?</t>
  </si>
  <si>
    <t>8.- Which statement is true?</t>
  </si>
  <si>
    <t>9.- According to the text, which of the following is true?</t>
  </si>
  <si>
    <t>10.- Which of the following is NOT true?</t>
  </si>
  <si>
    <t>11.- What was one conclusion of the article?</t>
  </si>
  <si>
    <t>12.- What is the writer's opinion of this type of microbiological research?</t>
  </si>
  <si>
    <t>13.- According to the article, what are some of the recent changes taking place in Hollywood?</t>
  </si>
  <si>
    <t>15.- According to the article, which of the following statements are true?</t>
  </si>
  <si>
    <t>17.- What is the writer's opinion about the decline of handwriting skills?</t>
  </si>
  <si>
    <t>19.- Which of the following statements is true?</t>
  </si>
  <si>
    <t>21.- It can be concluded from the article that:</t>
  </si>
  <si>
    <t>23.- Which of these statements, according to the article, is NOT true?</t>
  </si>
  <si>
    <t>25.- Which of the following statements best reflects the writer’s opinion about the veterinarian
health centre?</t>
  </si>
  <si>
    <t>27.- According to what is stated in the article:</t>
  </si>
  <si>
    <t>29.- The author´s proposed plan…</t>
  </si>
  <si>
    <t>14.- The writer of the article believes that:</t>
  </si>
  <si>
    <t>16.- Which of the following statements best reflects the writer's opinion?</t>
  </si>
  <si>
    <t>18.- What are the writer's thoughts about the future of handwriting?</t>
  </si>
  <si>
    <t>20.- Which of the following statements best reflects the writer's opinion?</t>
  </si>
  <si>
    <t>22.- Which of following opinions on how to prevent global warming in the developing world best
reflects that of the author:</t>
  </si>
  <si>
    <t>24.- Which of the following statements best reflects the writer's opinion?</t>
  </si>
  <si>
    <t>26.- What does the writer believe about the moral relationship between humans and animals?</t>
  </si>
  <si>
    <t>28.- According to the article, which of the following statements is true?</t>
  </si>
  <si>
    <t>30.- The author believes that…</t>
  </si>
  <si>
    <t>EXAMEN 9</t>
  </si>
  <si>
    <t>A rare Jane Austen manuscript will remain in the UK after being sold for 993,250 pounds in London. Auction house Sotheby’s had originally valued the unfinished novel entitled ‘The Watsons’ as no more than 300,000 pounds. The manuscript, originally owned privately, was purchased by the Bodleian Libraries of Oxford. It is thought Austin wrote the tale, about a young woman who returned home to her father’s household after being brought up by a wealthy aunt, in 1804. Richard Ovenden, from Bodleian Libraries said they were “delighted to have secured such a valuable part of our literary heritage.” “We are glad it will now stay in Britain,” he added, saying the “priceless manuscript” would be made available to the general public as early as this autumn. Much of the money came from the National Heritage Memorial Fund (NHMF) through an 894,700 pound grant.</t>
  </si>
  <si>
    <t>An explosion in the population of the predatory lionfish in Caribbean waters, where it has no natural predators, is posing a widespread threat to marine wildlife. In 2008 the first lionfish was spotted at Bloody Bay on Little Cayman. One year later, there were hundreds, and now thousands. And they have gone south as far as Venezuela. “This isn’t just an invasion,” explained Dr. Carrie Manfrino, Research Director at the Central Caribbean Marine Institute. “This is an explosion. No invasive tropical fish species has ever survived so successfully outside its own home ecosystem like this.”  Regular diving expeditions to cull lionfish have been authorized by Cayman Islands Department of the Environment in collaboration with the Institute. But no-one is sure that anyone can catch enough lionfish to make a difference. One study in the Bahamas showed that lionfish reduced native species populations on one reef by almost 80%.</t>
  </si>
  <si>
    <t>Police investigating a massive online shopping scam have arrested around 90 people across Romania. The suspects are accused of cheating online shoppers of an estimated $20 million by selling fictitious goods on sites such as eBay and Craigslist.org. Hundreds of victims, most of them in the United States, paid for their purchases, but never received them. Prosecutors say the fraudsters used false identities to transfer money back to Romania from abroad. Police searched more than 110 houses in nine cities. They believe an organized crime gang with a broad network posted false adverts for goods such as cars, motorbikes, boats and electronics. An estimated 1,000 shoppers were cheated in the scam. Romanian investigators on the case are working closely with the U.S. authorities.</t>
  </si>
  <si>
    <t>Somewhere in the Netherlands, a post woman is in trouble. When I visited her, bad health, snow and ice and chaos in her personal life had left her months behind on her deliveries. She rents a privatized ex-council flat with her partner and so many crates of mail had built up that is was getting hard to move around. Twice a week, one of the private mail companies she was working for dropped off three or four crates of letters, magazines and catalogues. She was sorting and delivering the new crates but the winter backlog was difficult to clear.</t>
  </si>
  <si>
    <t>A national newspaper has been accused of hacking into the mobile phones of crime victims. Journalists at the News of the World have already been caught secretly listening to voicemails of celebs to get stories. But now it seems things might have gone further and police are investigating. In one case, it’s claimed people listened to the messages of parents desperately trying to find their missing daughter.</t>
  </si>
  <si>
    <t xml:space="preserve">The ability to breathe has been restored to mice with spinal cord injuries, in what US researchers describe as a medical first. Human trials could begin soon, which could be “potentially life-changing.” Damage at the top of the spinal cord, around the neck, can interrupt messages to the diaphragm – a layer of muscle involved in breathing. The cord is notoriously resistant to repair. Techniques such as nerve grafts, which worked in the arms and legs, had shown limited success with the spinal cord, doctors said. The spinal cord scars after it is damaged, and molecules prevent nerves repairing and forming new connections. The researchers used a nerve graft to form a bridge across the scar at the same time as injecting an enzyme which attacked the inhibitory molecules. Three months later, tests showed the mice had recovered 80-100% of breathing function. Researchers hope to begin trials in humans. </t>
  </si>
  <si>
    <t>In 1957 a 30-year-old engineer named Max Mathews got an IBM 704 mainframe computer at the Bell Telephone Laboratories in Murray Hill, N. J., to generate 17 seconds of music, then recorded the result for prosperity. While not the first person to make sound with a computer, Max was the first one to do so with a combination of hardware and software that allowed the user to specify what tones he wanted to hear. This piece of music, called “The Silver Scale” and composed by a colleague at Bell Labs, was never intended to be a masterpiece. It was a proof-of-concept, and it laid the groundwork for a revolutionary advancement in music, the reverberations of which are felt everywhere today. When Max died in April at the age of 84,he left a world where the idea that computers make sound is noncontroversial; even banal. In 2011, Musicians make their recordings using digital audio workstations, and perform with synthesizers, drum machines and laptop computers. As listeners, we tune in to digital broadcasts from satellite radio or the Internet.</t>
  </si>
  <si>
    <t>School sports days are no longer competitive. That is what popular wisdom would have us believe. Of course, those who claim it most fervently are conveying anger that their right to cause others offence and physical injury is being controlled. But do they have a point? I have just returned from my daughter’s sports day at which she won the 100m sprint. Her school operates a pretty traditional kind of event. But then just because an event doesn’t involve running or jumping, that doesn’t mean it’s not competitive. More recent sports days have consisted of traditional races, which children clearly win or lose. Children are going to fail at stuff. They do not have to be taught how to do it. But it probably doesn’t hurt them to see that it happens to everyone. And, particularly when the kids who don’t shine in the classroom get a chance to show off in some other arena, I reckon that affording them a moment of glory is an admirable thing.</t>
  </si>
  <si>
    <t>When it comes to overhauling the banks, there is one rule: if it isn’t hurting, it isn’t working. Bankers must face some pain if taxpayers are to be made safer and economies more productive. This is not about retribution or vindictiveness, but an acknowledgement of the reality that the scale of the changes to the banking system necessary to avoid a rerun of the great crisis of 2008-09 are big and radical. And this has been a matter of consensus between regulators, central bank chiefs, economists and politicians. In the run-up to the last general election, Vince Cable and George Osborne competed with each other for the prize of being toughest on the banks. Yet, listening to Mr. Osborne’s speech, it was clear that he had nothing to say that would cause any banker much discomfort. He briefed newspapers of his support for a ring fence around the retail operations of big banks, so that giant losses from their investment operations would not force the tax payers to step in again.</t>
  </si>
  <si>
    <t>The IMF in choosing Christine Lagarde has picked another European Managing Director. It has never picked from outside the continent. Less usually, Europe is the setting for her biggest challenge, the crisis in the euro zone. The IMF and the euro zone countries have been trying to find a way through that does not involve a default by any euro country. It is increasingly difficult to achieve that. In the financial markets, the view is that Greece will at some stage default, or restructure its government debt. If it comes to that, Ms. Lagarde’s objective will shift from preventing a restructuring to managing it. The fact that the euro crisis is the IMF’s biggest problem has been used both by supporters and opponents of Ms. Lagarde’s candidature. Ms. Lagarde’s European roots define her other big challenge: her relations with the IMF’s emerging and developing country members.  They have had repeated assurances that the post-war carve up of the IMF and World Bank leadership was over. Ms Lagarde will have to work to persuade the emerging economies that she has their interests at heart.</t>
  </si>
  <si>
    <t>A Libyan-owned merchant cargo ship named ‘The Rim’, flying the North Korean flag, has been hijacked by Somali pirates in the Gulf of Aden, according to the European Union naval coalition in the gulf.                                                                                                                                                                       European naval officers said the pirates seized ‘The Rim’ off the southern coast of Yemen and were taking it to the Somali Basin. The ship was not registered with the European Union’s force which escorts ships from the World Food Program delivering humanitarian aid. The European flotilla also conducts antipiracy patrols in the gulf and the waters off Somalia. A piracy monitoring group said that the vessel usually carries a crew of 17, and “based on outdated crew lists it could be assumed that they are holding Romanian and Libyan nationalities.” Somali pirates attacked 217 ships last year, according to the Piracy Reporting Centre. There were 47 successful hijackings, with 867 crew members being taken hostage. Somali attacks accounted for more than half of all hijackings worldwide last year, the bureau said, with the numbers of attacks and hijackings both rising sharply compared to 2008.</t>
  </si>
  <si>
    <t>The latest assignment for Rankin saw him fly to Sange in troubled eastern Congo with Oxfam. The town’s population has doubled in size as people have fled the fighting, and Oxfam is trying to provide clean water and sanitation.                                                                                                                                                           Among the displaced masses is 25-year-old Zafrani and her husband Farbrize. The couple got married, only to have to abandon their home when the conflict got too close.  On arrival in Sange, they were taken in by 45-year-old Annie. “In the Congo anyone can be in need of help at any time. Today it is our friends; tomorrow it could be us,” Annie explains. What most struck Rankin about the DRC, was that he never heard anyone moan. “In London people are always griping-about their relationships, their mortgages,” he said. “In the Congo there’s none of that constant analysis and portraying yourself as a victim. People live with conflict and poverty, but there’s so much humanity, a deep instinct to help one another.”                                                                                                                                                      The subjects of Rankin’s photos stare out of the white canvas. It is only reading the captions that you get a sense of the reality: a country wracked by violence, lives shattered by loss and upheaval. But these people are not presented as victims but ordinary folk, full of love-for a partner, for a baby, for knowledge, or simply for looking good. It is a deliberate strategy adopted by British photographer Rankin: “I wanted people to relate to their humanity, the expression on their faces. These are neither ugly images of brutality nor sentimental images of suffering. I wanted it to be like looking in the mirror.”</t>
  </si>
  <si>
    <t xml:space="preserve">President Mahmoud Ahmadinejad claimed today that Iran has produced its first batch of uranium enriched to a higher level, just two days after it said it began the process as part of its controversial nuclear program.                                                                                                                                                                                                                                                                           The US and some of its allies accuse Tehran of using its civilian nuclear program as a cover to build nuclear weapons but Tehran denies the charge, saying the program is aimed at generating electricity.   Enriching uranium produces fuel for nuclear power plants but can also be used to create material for atomic weapons if enriched to 90% or more.                                                                                                                                                                                                               Iran announced on Tuesday that it was beginning the process of enriching its uranium stockpile to a higher level. The international community reacted by starting the process to impose new sanctions on Iran. Tehran has said it wants to further enrich the uranium –which is still substantially below the 90% plus level used in nuclear warheads – as part of a plan to fuel its research reactor that provides medical isotopes to hundreds of thousands of Iranians undergoing cancer treatment. But western countries say Tehran is not capable of turning the material into the fuel rods needed by the reactor and fear that Iran wants to enrich the uranium to make nuclear weapons.                                                                                            </t>
  </si>
  <si>
    <t>The strangest of all the strange things about North Korea, is that it’s surprisingly easy to go there. I’d always thought that it was only a bit less difficult than going to the moon but my amazing revelation is this: type “North Korea” and “tourism” into Google, and you’ll find Koryo Tours, a British-run travel firm. A couple of clicks and a certain amount of cash later, and you too could find yourself on a vintage Russian jetliner heading towards the Democratic People’s Republic of Korea.                                                                                                                                                      It’s exciting. Because barely 1,500 people a year visit North Korea. As we land on an empty runway, and walk into an empty terminal, it feels like entering a fold in the space-time continuum. Our mobile phones are immediately confiscated. The investment bankers in the group ( we have three of them, two of whom have been recently made redundant- there’s obviously something about having  experienced the disintegrating edge of capitalism that makes North Korea an attractive holiday destination) look like they might cry. And yet, for what the West calls a rogue state and the most easterly point on the axis of evil, it doesn’t seem very evil. It takes a while to clear customs, not because our belongings are searched or we’re interrogated about the purpose of our visit, but because, as becomes clear when we see the luggage carousel, we’re the only passengers who’ve failed to pack at least two flat-screen TVs.  And when we meet our guides by the departures board they’re smiling expansively.</t>
  </si>
  <si>
    <t>Leaving the house in your pyjamas is nothing unusual in Shanghai, where locals blame their not getting dressed on high temperatures. However, when Expo 2010 begins in the city, the local authorities are planning to crack down on public pyjama-wearers. The slogan for their campaign: “Be civilized for the Expo: don’t wear your pyjamas outdoors.”                               Shanghai is expecting 70 million visitors when it hosts the World Expo -the international technology, science and economy fair. The city has been preparing for the six-month event for the past eight years. But there are still a few finishing touches. Xiaodong Du is a student in Shanghai. He writes: “Back in the 1960’s and even earlier, pyjamas were considered a luxury and only worn by two kinds of people. The first- the wealthy, who wore pyjamas to demonstrate that they enjoyed an easy life. The second - people who worked in the entertainment industry, such as dancers, because they thought it charming. Up to the 1970s, wearing pyjamas became increasingly more popular, and seeing them in the street became part of the urban landscape of Shanghai.</t>
  </si>
  <si>
    <t xml:space="preserve">Kathryn Bigelow has become the first woman to win the best directing Oscar, as her Iraq war drama ‘The Hurt Locker’ took six prizes, including best film.                                                                            “It’s the moment of a lifetime,” said Bigelow – only the fifth woman to be nominated in Academy Awards history.                                                                                                                                             Jeff Bridges and Sandra Bullock won the top acting Oscars for their roles in Crazy Heart and The Blind Side.                                                                                                                                                            Bridges, playing a hard-living country singer, beat George Clooney, Morgan Freeman, Jeremy Renner and Britain’s Colin Firth to win with his fifth Academy Award nomination. An emotional Bullock picked up the coveted best actress award, just a day after winning the Razzie for worst actress, for her role in ‘All About Steve.’                                                                                                                   Christoph Waltz and Mo’Nique were winners of the supporting acting awards, categories they were both widely tipped to win. Waltz won for his role as a diabolical SS officer in ‘Inglorious Bastards’, while Mo’ Nique triumphed for her role in ‘Precious.’ </t>
  </si>
  <si>
    <t xml:space="preserve">Paul Oparaji is the chairman of a local neighborhood watch group in Enugu- quite normal for a pensioner, one might think. But in Nigeria “neighborhood watch” means taking to the streets with a gun or machete and possibly lynching armed robbers.                                                                     At an age where other men are keen to put their feet up and enjoy the company of their family, Mr Oparaji is a vigilante, prepared to dispense what he calls “jungle justice.”                              Every night at around 22.30, he and 18 other men strap their ancient shotguns to their backs and walk through their neighborhood banging a large metal bell to let the people in their houses know someone is watching over them, and let the robbers know someone is coming. This “informal policing” happens in cities across Nigeria. The vigilantes are the only ones that stand between robbers and residents. And if they get caught, a robber can expect to be killed before the authorities arrive. The police say the presence of vigilante groups is “welcome.” “They pre-date the police, and they compliment our efforts. Any vigilantes who kill suspects would face the law,” he said.                                                                                                                                           Vigilante expert, Chris Ugwu says many Nigerians see the rule of law as an alien concept. “Some police have been compromised- the robber hands over some money and is released. He will go back and gloat to the people who handed him over.”   </t>
  </si>
  <si>
    <t xml:space="preserve">The outback is a different place to what I had expected: welcoming, safe, the snakes all asleep in this season. We’re in John’s country, his home. John Kemarre Cavanaugh is a traditional landowner who still follows traditional Aboriginal law. He comes from a family of healers and cracks jokes about “witch doctors”. He’s invited me to his country east of Alice Springs, along with his “old men”, Ken and Frankie Tilmouth, who are his ritual caretakers, related through a maternal line. He can’t tell stories in his land or make decisions about the land without their presence and approval. And he fulfills the same role for them on their land.                                                                                                                                        ‘Australia’, the movie with Nicole Kidman, dramatizes what happened to the “stolen generation”, children born of Aboriginal mothers but fathered by white men, removed from their mothers and sent to missions. But full-blooded Aboriginal children were taken away from their families too, and this is a story less well-known.                                                                                      John was born in 1957 and taken away from his parents by missionaries. Early one morning he sits by the coals of the night’s fire, drawing with a stick in the sand. The dormitory of Santa Theresa Mission, a line coming from either side, showing the yard separated, one side for boys, the other for girls. John’s parents were nearby, and he would see them lining up to collect rations, but he couldn’t wave to them. They’d just look at each other across the yard in silence.  John ran away from the mission several times.                                                                                                                                                       What amazes me about John is that he’s still open-hearted, not bitter or angry, though he’d be more than justified. He wants to share his story, wants to invite outsiders to his land, wants different peoples to understand each other.  </t>
  </si>
  <si>
    <t xml:space="preserve">Elzbieta and Viera, mother and daughter, stand in their garden looking down at the Roma (Gypsy) children tobogganing in the winter snows. All that separates them is a new, white concrete wall. Beyond the wall stand the mud hovels where many Roma live here in Ostrovany, in eastern Slovakia.                                                                                                                                                            “I don’t mind them really,” says Viera. “We put up with them pretty well actually, considering they’ve built their homes on land which doesn’t belong to them. But I have one rule in our relations with them: don’t do to others what you would not like done to yourself.”                                    She is talking about the theft of fruit, vegetables and even the metal fence posts from their gardens, which she and the others blame on the Roma. It went on for years, she says, until the local council responded to their complaints and spent 13,000 euros of public funds on the wall.                                                                                                                                                                         “The wall does not segregate the Roma, nor does it limit their access to main roads or services,” says the Mayor of Ostrovany. “The only criticism I am willing to accept, is that public money was used to protect private property. But the public money is also used to help the Roma. We help some people one day, others the next.” </t>
  </si>
  <si>
    <t xml:space="preserve">The European Commission has cleared the way for a genetically modified potato to be grown in the E.U.-only the second GM product it has allowed. The starch of the Amflora potato can be utilised for industrial uses like making paper, and animal feed- but not for human consumption.                                                                                                                                                      Environmental groups have strongly opposed the introduction of GM crops. But the Commission insisted its decision was based on “a considerable volume of sound science.”                              The Amflora variety was developed by German chemical and biotechnology firm BASF, for the special qualities of its starch. But it has been a political hot potato for seven years. BASF applied to grow it in Sweden in 2003. Sweden agreed but was obliged to seek EU permission. The Council of ministers – the committee of national governments-has been unable to agree to a decision, passing the issue back into the hands of the Commission.                                                                                                                    Even though it has now been cleared, individual countries still have the right to decide whether it should be grown on their territory.                                                                                                  Some countries remain firmly opposed to the cultivation of GM crops, arguing that they could eventually reduce biodiversity and natural resistance to pests and disease, and that it is very hard to stop them cross-pollinating with non-GM crops. </t>
  </si>
  <si>
    <t xml:space="preserve">1.- The Jane Austen manuscript; </t>
  </si>
  <si>
    <t xml:space="preserve">2.- According to the report; </t>
  </si>
  <si>
    <t xml:space="preserve">3.- Which of the following is true? </t>
  </si>
  <si>
    <t xml:space="preserve">4.- Which of the following is true?                                                                                                   </t>
  </si>
  <si>
    <t>5.- Which of the following is true?</t>
  </si>
  <si>
    <t>6.- The article claims that;</t>
  </si>
  <si>
    <t xml:space="preserve">7.- The report claims;  </t>
  </si>
  <si>
    <t>8.- The article appears to support the view that;</t>
  </si>
  <si>
    <t>9.- The report suggest that;</t>
  </si>
  <si>
    <t xml:space="preserve">10.- According to the report;  </t>
  </si>
  <si>
    <t xml:space="preserve">11.- The ship named the Rim is normally used; </t>
  </si>
  <si>
    <t>13.- What comment did Rankin make about the people of the Congo?</t>
  </si>
  <si>
    <t xml:space="preserve">15.- According to the article, Iran claims to be in the process of; </t>
  </si>
  <si>
    <t xml:space="preserve">17.- The writer discovered that North Korea is; </t>
  </si>
  <si>
    <t xml:space="preserve">19.- It seems that Shanghai residents claim their unusual habit is due to; </t>
  </si>
  <si>
    <t xml:space="preserve">21.- Katherine Bigelow is; </t>
  </si>
  <si>
    <t xml:space="preserve">23.- The article states that the vigilante groups in Nigeria; </t>
  </si>
  <si>
    <t xml:space="preserve">25.- According to the article traditional landowners; </t>
  </si>
  <si>
    <t xml:space="preserve">27.- Viera states that she; </t>
  </si>
  <si>
    <t>29.- According to the article, the decision to grow a genetically modified potato in Europe;</t>
  </si>
  <si>
    <t xml:space="preserve">12.- From the article, we know; </t>
  </si>
  <si>
    <t xml:space="preserve"> 14.- Rankin wanted to portray;</t>
  </si>
  <si>
    <t xml:space="preserve">16.- The western countries; </t>
  </si>
  <si>
    <t xml:space="preserve">18.- The travelers are delayed at customs because; </t>
  </si>
  <si>
    <t xml:space="preserve">20.- According to Xialdong Du, the habit was originally a symbol of; </t>
  </si>
  <si>
    <t xml:space="preserve">22.- Sandra Bullock has; </t>
  </si>
  <si>
    <t xml:space="preserve">24.- What is said about the vigilante groups? </t>
  </si>
  <si>
    <t xml:space="preserve">26.- What is said about John? </t>
  </si>
  <si>
    <t xml:space="preserve">28.- According to the Mayor of Ostrovany; </t>
  </si>
  <si>
    <t>30.-  One of the reasons given for the opposition to GM crops is;</t>
  </si>
  <si>
    <t>a) Was sold by the National Heritage Memorial Fund.</t>
  </si>
  <si>
    <t>b) Fetched 300,000 pounds.</t>
  </si>
  <si>
    <t>c) Is set in 1804.</t>
  </si>
  <si>
    <t>d) Was purchased by subsidy.</t>
  </si>
  <si>
    <t>a) Attempts to reduce the lionfish population are having an effect.</t>
  </si>
  <si>
    <t>b) The prospect of reducing the lionfish population remains in doubt.</t>
  </si>
  <si>
    <t>c) The native species populations are beginning to reduce the lionfish population.</t>
  </si>
  <si>
    <t xml:space="preserve">d) It is doubtful that the lionfish could survive in Venezuelan waters. </t>
  </si>
  <si>
    <t>a) The goods were being sold on fictitious websites</t>
  </si>
  <si>
    <t>b) Suspects have been arrested in the USA</t>
  </si>
  <si>
    <t xml:space="preserve">c) The professed merchants used counterfeit credentials </t>
  </si>
  <si>
    <t>d) The victims were over charged for their purchases</t>
  </si>
  <si>
    <t>a) The post woman has separated from her partner</t>
  </si>
  <si>
    <t>b) The post woman has an excess of mail to deliver</t>
  </si>
  <si>
    <t>c) The post woman delivers mail to private companies</t>
  </si>
  <si>
    <t>d) The post woman has to leave her flat</t>
  </si>
  <si>
    <t>a) The newspaper has been accused of listening to celebrities’ voicemails</t>
  </si>
  <si>
    <t>b) The newspaper has been charged with listening to crime victim’s voicemails</t>
  </si>
  <si>
    <t>c) The situation is being examined</t>
  </si>
  <si>
    <t>d) The parents couldn’t find their missing daughter</t>
  </si>
  <si>
    <t>a) It is not overly complicated to repair the spinal cord.</t>
  </si>
  <si>
    <t>b) Human trials on patients with damaged spinal cords have begun.</t>
  </si>
  <si>
    <t>c) Techniques to heal arms and legs have been completely unsuccessful with the spinal cord.</t>
  </si>
  <si>
    <t xml:space="preserve">d) Researchers have found a way to bypass blemished tissue.  </t>
  </si>
  <si>
    <t>a) Max Mathews was the first person to select pitch on a computer.</t>
  </si>
  <si>
    <t>b) Max Mathews was the foremost person to make sound with a computer.</t>
  </si>
  <si>
    <t>c) “The Silver Scale” is said to be the work of a genius.</t>
  </si>
  <si>
    <t xml:space="preserve">d)  “The Silver Scale” is still widely listened to today.  </t>
  </si>
  <si>
    <t>a) Traditional school sports are politically correct.</t>
  </si>
  <si>
    <t>b) Traditional school sports are now obsolete.</t>
  </si>
  <si>
    <t>c) It does no harm to expose children to failure.</t>
  </si>
  <si>
    <t xml:space="preserve">d) A child’s academic achievements should be valued above all else. </t>
  </si>
  <si>
    <t>a) Revenge is the reason that the banks are being overhauled.</t>
  </si>
  <si>
    <t>b) Politicians have tried to be lenient with the banks.</t>
  </si>
  <si>
    <t>c) Mr. Osborne supports the protection of the tax payer from the banks’ potential losses.</t>
  </si>
  <si>
    <t xml:space="preserve">d) Mr. Osborne has generated worry among bankers.  </t>
  </si>
  <si>
    <t>a) Ms. Lagarde’s focus as managing director will depend on circumstances.</t>
  </si>
  <si>
    <t>b) The selection of Ms Lagarde by the IMF has been met with unanimous approval.</t>
  </si>
  <si>
    <t>c) The developing countries have confidence in Ms. Lagarde’s objectives.</t>
  </si>
  <si>
    <t xml:space="preserve">d) Ms. Lagarde will aim to prevent a restructuring of Greece’s government debt.   </t>
  </si>
  <si>
    <t>a) To carry out anti-piracy attacks</t>
  </si>
  <si>
    <t>b) To transport goods</t>
  </si>
  <si>
    <t>c) To help provide aid to developing countries</t>
  </si>
  <si>
    <t>d) As a cruise liner</t>
  </si>
  <si>
    <t>a) They complain more than people in London</t>
  </si>
  <si>
    <t>b) They see themselves as victims</t>
  </si>
  <si>
    <t>c) They show great compassion</t>
  </si>
  <si>
    <t>d) They are very analytical</t>
  </si>
  <si>
    <t>a) Enriching its uranium supply</t>
  </si>
  <si>
    <t>b) Preparing fuel for its research reactor</t>
  </si>
  <si>
    <t>c) Producing nuclear weapons</t>
  </si>
  <si>
    <t xml:space="preserve">d) Generating electricity  </t>
  </si>
  <si>
    <t>a) Hostile to Western visitors</t>
  </si>
  <si>
    <t>b) Complicated to visit</t>
  </si>
  <si>
    <t>c) Readily accessible</t>
  </si>
  <si>
    <t>d) Overrun with tourists</t>
  </si>
  <si>
    <t>a) The approaching expo</t>
  </si>
  <si>
    <t>b) A special campaign</t>
  </si>
  <si>
    <t>c) The local authorities’ orders</t>
  </si>
  <si>
    <t xml:space="preserve">d) The heat  </t>
  </si>
  <si>
    <t>a) The first woman to be nominated for an Oscar</t>
  </si>
  <si>
    <t>b) One of five women who have won an Oscar</t>
  </si>
  <si>
    <t>c) The first woman to direct a film</t>
  </si>
  <si>
    <t xml:space="preserve">d) One of five women who have been nominated for an Oscar </t>
  </si>
  <si>
    <t>a) Are a hindrance to the police</t>
  </si>
  <si>
    <t>b) Are a form of assistance to the police</t>
  </si>
  <si>
    <t>c) Have completely replaced the police</t>
  </si>
  <si>
    <t>d) Are rapidly disappearing</t>
  </si>
  <si>
    <t>a) Make decisions independently</t>
  </si>
  <si>
    <t>b) Often exchange land</t>
  </si>
  <si>
    <t>c) Always approve of each others’ decisions</t>
  </si>
  <si>
    <t>d) Make decisions together</t>
  </si>
  <si>
    <t>a) Condones the Roma</t>
  </si>
  <si>
    <t>b) Tolerates the Roma</t>
  </si>
  <si>
    <t>c) Supports the Roma</t>
  </si>
  <si>
    <t xml:space="preserve">d) Is opposed to the Roma </t>
  </si>
  <si>
    <t>a) Has been met with conflicting viewpoints</t>
  </si>
  <si>
    <t>b) Has been met with enthusiasm all round</t>
  </si>
  <si>
    <t>c) Has already been the reason for several protests</t>
  </si>
  <si>
    <t xml:space="preserve">d) Has been rejected </t>
  </si>
  <si>
    <t>a) The confirmed nationalities on board are Romanian and Libyan</t>
  </si>
  <si>
    <t>b) The ship belongs to North Korea</t>
  </si>
  <si>
    <t>c) More than 50% of hijackings were carried out by Somali pirates in 2009</t>
  </si>
  <si>
    <t xml:space="preserve">d) The number of attacks is generally decreasing       </t>
  </si>
  <si>
    <t>a) They suffering of the Congolese</t>
  </si>
  <si>
    <t>b) The resilience of the Congolese</t>
  </si>
  <si>
    <t>c) The Congolese conflict</t>
  </si>
  <si>
    <t>d) The normality of the Congolese</t>
  </si>
  <si>
    <t>a) Don’t believe Iran is capable of enriching uranium</t>
  </si>
  <si>
    <t>b) Don’t believe Iran can prepare the reactor for its designated task</t>
  </si>
  <si>
    <t>c) Don’t want to place more sanctions on Iran</t>
  </si>
  <si>
    <t xml:space="preserve">d) Want to study Iran’s cancer treatment program </t>
  </si>
  <si>
    <t>a) They are not carrying electronic gadgets</t>
  </si>
  <si>
    <t>b) They are being interrogated by officials</t>
  </si>
  <si>
    <t>c) They are being searched by police</t>
  </si>
  <si>
    <t xml:space="preserve">d) Their plane is being inspected </t>
  </si>
  <si>
    <t>a) Poverty</t>
  </si>
  <si>
    <t>b) A comfortable life</t>
  </si>
  <si>
    <t>c) The entertainment industry</t>
  </si>
  <si>
    <t>d) Refinement</t>
  </si>
  <si>
    <t>a) Won awards for best and worst actress</t>
  </si>
  <si>
    <t>b) Won an award for best actress only</t>
  </si>
  <si>
    <t>c) Won an award for worst actress only</t>
  </si>
  <si>
    <t>d) Not won an award</t>
  </si>
  <si>
    <t>a) They always hand robbers over to the police</t>
  </si>
  <si>
    <t>b) They are above the law</t>
  </si>
  <si>
    <t>c) They sometimes consist of policemen</t>
  </si>
  <si>
    <t>d) They sometimes punish robbers themselves</t>
  </si>
  <si>
    <t>a) His story was made into a movie</t>
  </si>
  <si>
    <t>b) He is now bitter about his experience</t>
  </si>
  <si>
    <t>c) He is surprisingly warm and friendly</t>
  </si>
  <si>
    <t xml:space="preserve">d) He remains wary of outsiders </t>
  </si>
  <si>
    <t>a) The Roma are prevented from accessing public facilities</t>
  </si>
  <si>
    <t>b) The wall was built to segregate the Roma</t>
  </si>
  <si>
    <t>c) The public are angry about the building of the wall</t>
  </si>
  <si>
    <t>d) The Roma are not exempt from financial assistance</t>
  </si>
  <si>
    <t>a) They promote disease</t>
  </si>
  <si>
    <t>b) They require more care than traditional crops</t>
  </si>
  <si>
    <t>c) They may mix with traditional crops</t>
  </si>
  <si>
    <t>d) They are already found in all the EU countries</t>
  </si>
  <si>
    <t>EXAMEN 7</t>
  </si>
  <si>
    <t>EXAMEN 8/MP3/Q-01 EXAMEN 8.mp3</t>
  </si>
  <si>
    <t>a) A healthy, affectionate child</t>
  </si>
  <si>
    <t>b) A boy to play with their son</t>
  </si>
  <si>
    <t>c) A child that had been severely neglected</t>
  </si>
  <si>
    <t>d) A  child that could not see or hear</t>
  </si>
  <si>
    <t>EXAMEN DPTº 2012</t>
  </si>
  <si>
    <t>EXAMEN 8/MP3/Q-02 EXAMEN 8.mp3</t>
  </si>
  <si>
    <t>a) It is dome-shaped</t>
  </si>
  <si>
    <t>b) The windows are huge</t>
  </si>
  <si>
    <t>c) The seats are more comfortable</t>
  </si>
  <si>
    <t>d) You can find things to play with</t>
  </si>
  <si>
    <t>EXAMEN 8/MP3/Q-03 EXAMEN 8.mp3</t>
  </si>
  <si>
    <t>a) Women still do not earn the same as men</t>
  </si>
  <si>
    <t>b) Women have to support the household alone</t>
  </si>
  <si>
    <t>c) Women earn less and less each year</t>
  </si>
  <si>
    <t>d) Husbands are beginning to earn less</t>
  </si>
  <si>
    <t>EXAMEN 8/MP3/Q-04 EXAMEN 8.mp3</t>
  </si>
  <si>
    <t>a) It was previously a retirement home</t>
  </si>
  <si>
    <t>b) It has been robbed on several occasions</t>
  </si>
  <si>
    <t>c) Lots of people want to buy it</t>
  </si>
  <si>
    <t>d) The playing fields it overlooks are a nightmare</t>
  </si>
  <si>
    <t>EXAMEN 8/MP3/Q-05 EXAMEN 8.mp3</t>
  </si>
  <si>
    <t>a) There are few really successful people in society</t>
  </si>
  <si>
    <t>b) Names of influential people are at times not known</t>
  </si>
  <si>
    <t>c) All business people influence society a lot</t>
  </si>
  <si>
    <t>d) Discount products are the most influential</t>
  </si>
  <si>
    <t>EXAMEN 8/MP3/Q-06 EXAMEN 8.mp3</t>
  </si>
  <si>
    <t>a) Cone snail shells are already in use</t>
  </si>
  <si>
    <t>b) The invertebrate world is limited</t>
  </si>
  <si>
    <t>c) New species are crucial to progress in medicine</t>
  </si>
  <si>
    <t>d) There are few resources left for use in medicine</t>
  </si>
  <si>
    <t>EXAMEN 8/MP3/Q-07 EXAMEN 8.mp3</t>
  </si>
  <si>
    <t>a) He wasn’t interested in his studies</t>
  </si>
  <si>
    <t>b) He does not have a degree</t>
  </si>
  <si>
    <t>c) He concentrated on his band</t>
  </si>
  <si>
    <t>d) He failed to make the most of his studies</t>
  </si>
  <si>
    <t>EXAMEN 8/MP3/Q-08 EXAMEN 8.mp3</t>
  </si>
  <si>
    <t>a) The speakers work in the same office</t>
  </si>
  <si>
    <t>b) One of the speakers goes running after work</t>
  </si>
  <si>
    <t>c) The second speaker works in a shop</t>
  </si>
  <si>
    <t>d) Both speakers enjoy chatting with clients</t>
  </si>
  <si>
    <t>EXAMEN 8/MP3/Q-09 EXAMEN 8.mp3</t>
  </si>
  <si>
    <t>a) He was a follower of Slobodan Milosevic</t>
  </si>
  <si>
    <t>b) He believes in non-violent struggle</t>
  </si>
  <si>
    <t>c) He learned his strategies from Arab revolutionaries</t>
  </si>
  <si>
    <t>d) He is a preacher from Belgrade</t>
  </si>
  <si>
    <t>EXAMEN 8/MP3/Q-10 EXAMEN 8.mp3</t>
  </si>
  <si>
    <t>a) Abdul Nasser Garem  is schizophrenic</t>
  </si>
  <si>
    <t>b) He attended art school in Saudi Arabia</t>
  </si>
  <si>
    <t>c) He taught art in the Saudi Arabian Army</t>
  </si>
  <si>
    <t>d) He  taught himself about art</t>
  </si>
  <si>
    <t>EXAMEN 8/MP3/Q-11 EXAMEN 8.mp3</t>
  </si>
  <si>
    <t>a) The role of NGOs is being questioned</t>
  </si>
  <si>
    <t>b) Haiti needs more NGOs</t>
  </si>
  <si>
    <t>c) There was an earthquake in Haiti 5 years ago</t>
  </si>
  <si>
    <t>d) The NGOs have set up a republic in Haiti</t>
  </si>
  <si>
    <t>EXAMEN 8/MP3/Q-12 EXAMEN 8.mp3</t>
  </si>
  <si>
    <t>a) Little girls in Iran love Barbie dolls</t>
  </si>
  <si>
    <t>b) Some shops in  Iran were closed for selling Barbie dolls</t>
  </si>
  <si>
    <t>c) The authorities wanted an Iranian Barbie doll</t>
  </si>
  <si>
    <t>d) The Iranian Barbie doll has a horse and soldiers</t>
  </si>
  <si>
    <t>EXAMEN 8/MP3/Q-13 EXAMEN 8.mp3</t>
  </si>
  <si>
    <t>a) A virus is similar to a bacteria</t>
  </si>
  <si>
    <t>b) Bacteria  cause only minor illnesses</t>
  </si>
  <si>
    <t>c) In five hours a virus can destroy its surroundings</t>
  </si>
  <si>
    <t>d) A virus cannot make copies of itself</t>
  </si>
  <si>
    <t>EXAMEN 8/MP3/Q-14 EXAMEN 8.mp3</t>
  </si>
  <si>
    <t>a) Carter’s decree allowed them to return home</t>
  </si>
  <si>
    <t>b) Those in prison  would be released</t>
  </si>
  <si>
    <t>c) Deserters would be pardoned</t>
  </si>
  <si>
    <t>d) All of those who resisted the draft lived in Canada</t>
  </si>
  <si>
    <t>EXAMEN 8/MP3/Q-15 EXAMEN 8.mp3</t>
  </si>
  <si>
    <t>a) Visiting all the principal museums free of charge</t>
  </si>
  <si>
    <t>b) People are too lazy to travel</t>
  </si>
  <si>
    <t>c) Virtual tourism would improve the world</t>
  </si>
  <si>
    <t>d) Almost everyone has travelled the world</t>
  </si>
  <si>
    <t>EXAMEN 8/MP3/Q-16 EXAMEN 8.mp3</t>
  </si>
  <si>
    <t>a) Reading is not important anymore</t>
  </si>
  <si>
    <t>b) Reading is a boring activity</t>
  </si>
  <si>
    <t>c) The best novel worldwide wins the Booker prize</t>
  </si>
  <si>
    <t xml:space="preserve">d) A large number of British adults struggle to read </t>
  </si>
  <si>
    <t>EXAMEN 8/MP3/Q-17 EXAMEN 8.mp3</t>
  </si>
  <si>
    <t>a) Other countries are growing</t>
  </si>
  <si>
    <t>b) Small farmers in Africa are not protected</t>
  </si>
  <si>
    <t>c) Local people receive more land</t>
  </si>
  <si>
    <t>d) Ninety-nine deals have been made</t>
  </si>
  <si>
    <t>EXAMEN 8/MP3/Q-18 EXAMEN 8.mp3</t>
  </si>
  <si>
    <t>a) Anthrax infection could cause loss of life</t>
  </si>
  <si>
    <t>b) The military have yet to be tested</t>
  </si>
  <si>
    <t>c) An anthrax infection is spread in one way only</t>
  </si>
  <si>
    <t>d) Adults have been tested several times</t>
  </si>
  <si>
    <t>EXAMEN 8/MP3/Q-19 EXAMEN 8.mp3</t>
  </si>
  <si>
    <t>a) One per cent of the population receives half of it</t>
  </si>
  <si>
    <t>b) It has gone down for the majority of people</t>
  </si>
  <si>
    <t>c) In the 1970s there was income equality</t>
  </si>
  <si>
    <t>d) Americans got incredibly rich over the last 30 years</t>
  </si>
  <si>
    <t>EXAMEN 8/MP3/Q-20 EXAMEN 8.mp3</t>
  </si>
  <si>
    <t>a) He likes wearing suits</t>
  </si>
  <si>
    <t>b) The clubs he goes to are formal</t>
  </si>
  <si>
    <t>c) He is twenty-five years old</t>
  </si>
  <si>
    <t>d) He couldn’t live without sports shoes</t>
  </si>
  <si>
    <t>EXAMEN 8/MP3/Q-21 EXAMEN 8.mp3</t>
  </si>
  <si>
    <t>a) To make their parents angry</t>
  </si>
  <si>
    <t>b) To convince parents to buy</t>
  </si>
  <si>
    <t>c) To advertise new toys</t>
  </si>
  <si>
    <t>d) To make trick adverts</t>
  </si>
  <si>
    <t>EXAMEN 8/MP3/Q-22 EXAMEN 8.mp3</t>
  </si>
  <si>
    <t>a) Wearing uniforms stops brainwashing</t>
  </si>
  <si>
    <t>b) Advertisers come to the school on Fridays</t>
  </si>
  <si>
    <t>c) Advertising compels parents to spend money</t>
  </si>
  <si>
    <t xml:space="preserve">d) Adidas and Nike give out free stuff on Fridays </t>
  </si>
  <si>
    <t>EXAMEN 8/MP3/Q-23 EXAMEN 8.mp3</t>
  </si>
  <si>
    <t>a) She is very motivated</t>
  </si>
  <si>
    <t>b) She and her sister will buy a flat in Tuscany</t>
  </si>
  <si>
    <t>c) She has bought a flat with her sister</t>
  </si>
  <si>
    <t>d) She’s going to work in the BBC</t>
  </si>
  <si>
    <t>EXAMEN 8/MP3/Q-24 EXAMEN 8.mp3</t>
  </si>
  <si>
    <t>a) He was a Dell employee</t>
  </si>
  <si>
    <t>b) He complained every day about Dell</t>
  </si>
  <si>
    <t>c) In the end he got his money back</t>
  </si>
  <si>
    <t xml:space="preserve">d) Other people objected to his criticisms </t>
  </si>
  <si>
    <t>EXAMEN 8/MP3/Q-25 EXAMEN 8.mp3</t>
  </si>
  <si>
    <t>a) He left his previous job</t>
  </si>
  <si>
    <t>b) He likes his new job</t>
  </si>
  <si>
    <t>c) He has a yearly contract now</t>
  </si>
  <si>
    <t>d) He will retire in four years</t>
  </si>
  <si>
    <t>EXAMEN 8/MP3/Q-26 EXAMEN 8.mp3</t>
  </si>
  <si>
    <t>a) He was born and brought up in the USA</t>
  </si>
  <si>
    <t>b) He has admitted his guilt</t>
  </si>
  <si>
    <t>c) He has worked for prominent firms in the USA</t>
  </si>
  <si>
    <t>d) He was a captain in the Indian Army</t>
  </si>
  <si>
    <t>EXAMEN 8/MP3/Q-27 EXAMEN 8.mp3</t>
  </si>
  <si>
    <t>a) They are paid by the government</t>
  </si>
  <si>
    <t>b) Few people work at the fire stations</t>
  </si>
  <si>
    <t>c) Volunteers make up the majority</t>
  </si>
  <si>
    <t>d) They all work in hospitals during the day</t>
  </si>
  <si>
    <t>EXAMEN 8/MP3/Q-28 EXAMEN 8.mp3</t>
  </si>
  <si>
    <t>a) Swimming is something very new for her</t>
  </si>
  <si>
    <t>b) She takes children to a swimming pool once a week</t>
  </si>
  <si>
    <t>c) All the children have intensive swimming lessons</t>
  </si>
  <si>
    <t xml:space="preserve">d) She takes the children to the beach </t>
  </si>
  <si>
    <t>EXAMEN 8/MP3/Q-29 EXAMEN 8.mp3</t>
  </si>
  <si>
    <t>a) We are exposed to flavours and odours before we are born</t>
  </si>
  <si>
    <t>b) After we are born we begin to distinguish flavours</t>
  </si>
  <si>
    <t>c) The maternal diet has little influence on our reaction to foods</t>
  </si>
  <si>
    <t>d) Chemicals affect what food we like later in life</t>
  </si>
  <si>
    <t>EXAMEN 8/MP3/Q-30 EXAMEN 8.mp3</t>
  </si>
  <si>
    <t>a) It is dealing with the principal issues</t>
  </si>
  <si>
    <t>b) It does not want to interfere in so many areas</t>
  </si>
  <si>
    <t>c) It even deals with minor issues in Pakistani society</t>
  </si>
  <si>
    <t>d) Pakistani people are tired of its interference</t>
  </si>
  <si>
    <t>EXAMEN 8/MP3/Q-31 EXAMEN 8.mp3</t>
  </si>
  <si>
    <t>a) Pupils organize question and answer sessions</t>
  </si>
  <si>
    <t>b) Teenage  pupils are extremely curious about science</t>
  </si>
  <si>
    <t>c) The speaker does not like  pupils to question him</t>
  </si>
  <si>
    <t>d) In science class the teacher has no weak point</t>
  </si>
  <si>
    <t>EXAMEN 8/MP3/Q-32 EXAMEN 8.mp3</t>
  </si>
  <si>
    <t>a) He picked up an intestinal infection</t>
  </si>
  <si>
    <t>b) He was left alone with a high temperature</t>
  </si>
  <si>
    <t>c) It took some time for him to get medication</t>
  </si>
  <si>
    <t>d) He could only eat a little</t>
  </si>
  <si>
    <t>EXAMEN 8/MP3/Q-33 EXAMEN 8.mp3</t>
  </si>
  <si>
    <t>a) She hopes to do very well in her A-levels</t>
  </si>
  <si>
    <t>b) She is very optimistic about her future career</t>
  </si>
  <si>
    <t>c) She has already got a manager in London</t>
  </si>
  <si>
    <t>d) Her parents live in London</t>
  </si>
  <si>
    <t>EXAMEN 8/MP3/Q-34 EXAMEN 8.mp3</t>
  </si>
  <si>
    <t>a) The world no longer depends on coal</t>
  </si>
  <si>
    <t>b) Using natural gas is controversial</t>
  </si>
  <si>
    <t>c) Alternative energy sources have ousted coal</t>
  </si>
  <si>
    <t>d) The world is still greatly reliant on coal</t>
  </si>
  <si>
    <t>EXAMEN 8/MP3/Q-35 EXAMEN 8.mp3</t>
  </si>
  <si>
    <t>a) They appeared in very populated urban areas</t>
  </si>
  <si>
    <t>b) They were similar to a comfortable room</t>
  </si>
  <si>
    <t>c) They worked like a railway</t>
  </si>
  <si>
    <t>d) Posh hotels were against machines</t>
  </si>
  <si>
    <t>EXAMEN 8/MP3/Q-36 EXAMEN 8.mp3</t>
  </si>
  <si>
    <t>a) People are speaking  openly about it</t>
  </si>
  <si>
    <t>b) People have protested in the streets about it</t>
  </si>
  <si>
    <t>c) It has  made little difference to population size</t>
  </si>
  <si>
    <t xml:space="preserve">d) The rules are going to be relaxed now </t>
  </si>
  <si>
    <t>EXAMEN 8/MP3/Q-37 EXAMEN 8.mp3</t>
  </si>
  <si>
    <t>a) Premiums for bad drivers</t>
  </si>
  <si>
    <t>b) How people drive in general</t>
  </si>
  <si>
    <t>c) A mobile phone application</t>
  </si>
  <si>
    <t>d) Insurance companies</t>
  </si>
  <si>
    <t>EXAMEN 8/MP3/Q-38 EXAMEN 8.mp3</t>
  </si>
  <si>
    <t>a) It visits the sites of events in World War II</t>
  </si>
  <si>
    <t>b) Its vessels are normal but computerized</t>
  </si>
  <si>
    <t>c) It offers customers a tour on land and water</t>
  </si>
  <si>
    <t>d) It limits the sightseeing experience</t>
  </si>
  <si>
    <t>EXAMEN 8/MP3/Q-39 EXAMEN 8.mp3</t>
  </si>
  <si>
    <t>a) Her grandmother was Russian</t>
  </si>
  <si>
    <t>b) She was very close to her grandmother</t>
  </si>
  <si>
    <t>c) Her grandmother witnessed historical events</t>
  </si>
  <si>
    <t>d) She regrets having thrown personal letters away</t>
  </si>
  <si>
    <t>EXAMEN 8/MP3/Q-40 EXAMEN 8.mp3</t>
  </si>
  <si>
    <t>a) The speaker worked as an engineer for Bosch</t>
  </si>
  <si>
    <t>b) The job in Germany was interesting for him</t>
  </si>
  <si>
    <t>c) His parents encouraged him to leave home</t>
  </si>
  <si>
    <t>d) He was fed up with his current job</t>
  </si>
  <si>
    <t>EXAMEN 8 SCRIPT</t>
  </si>
  <si>
    <t xml:space="preserve">5. Influential business people  
 Interviewer: So what is it that makes a businessman or business woman influential? 
DS: Well, first we ought to think about what we mean by influential. Lots of business people enjoy success but relatively few become influential, really have an influence, on the people around them, on society, on the world - 
Interviewer. Ok, so who would you say were influential? What names come to mind? 
DS. Well, sometimes it isn’t the names that come to mind, sometimes it’s the product. Obviously we’ve got the big names - Bill Gates, Henry Ford, people like that. Sometimes the names are not familiar at all - like Sam Walton. 
Interviewer: Sam who? 
DS: Exactly! (both laugh) Sam Walton was the man who perfected the idea of the discount store. The Wal-Mart stores are his.
Which statement is correct?
</t>
  </si>
  <si>
    <t xml:space="preserve">6. Nature’s Medicine Cabinet                                                                
Presenter: Whether it’s sea cucumbers from the 3,000 meter depth of an ocean trench or insects from the high canopy of a rain forest, every new species we discover seems to bring us a wealth of biochemical information. Knowledge that can help us create new drugs and new medical procedures.                                                                                                                                                Speaker 1: There’s an immense amount of resource here that’s currently only just starting to be tapped; cone snail shells to produce massively more potent pain-killers than we’ve been using …..There’s an immense array of things that people are now discovering in the invertebrate world that are of use to us in medicine.                                                                                                                                       
Which of the following is of new species discovered?                                                                                                        
</t>
  </si>
  <si>
    <t xml:space="preserve">8. What does work demand?   
Stacey Monroe, who's an executive assistant, does what I do most of the day: She sits at a computer keyboard. 
Stacey Monroe: I am definitely sitting in front of the computer 90 percent of the time. But that other 10 percent is a lot of physical running...  ...through my office to track down my boss, to tell him he's late for a meeting...  ...or that he has a phone call. 
Christine Hart: My name is Christine Hart, and I am a cashier. In my position, I would say I interact with people a lot, especially because I work at a higher-end, sort of typical retail store. You ask people, you know, where they're from, what convention they're in town for, you know, how their day is going so far. So that's probably the most enjoyable part of the job, the small talk. 
Which sentence is correct according to what you have heard?
</t>
  </si>
  <si>
    <t xml:space="preserve">9. A Serb teaches Arab revolutionaries      
The Arab world delivered a surprising message this year. Revolts across the region revealed a generation willing to use non-violent protests to oust unpopular leaders. But that did not surprise Srdja Popovic, a campaigner for non-violent strategies. He was the student leader of a movement that toppled Serbian dictator Slobodan Milosevic in 2000. He also helped train Arab revolutionaries
He seems an unlikely international trouble maker, a lanky biologist from Belgrade, Srdja Popovic preaches the gospel of non-violent struggle to a class at Columbia University in New York. He is passionate about the success of young Arab revolutionaries who came to learn from him in Belgrade
The history really proves that there are fair chances that most of the Arab world will end up in some kind of democracy.
What can we say about Srdja Popovic?
</t>
  </si>
  <si>
    <t xml:space="preserve">10. Saudi army officer            
First, Abdul Nassar Garem . has two personalities. By day he’s a Lieutenant Colonel in the Saudi Arabian Army and by night he’s a conceptual artist. His installation Message/messenger  recently sold for a record price of almost eight hundred and fifty thousand dollars at  auction in Dubai. He donated the proceeds to a charity called Edge of Arabia which he co-founded to encourage art education. Abdul Nasser has become one of the Gulf’s most talked about he artists. He was rejected by art school in Saudi Arabia. He learned about art through books and the internet but saw no career path, so he joined the Army, where he had to hide his other life.
Which of the following statements is correct according to what you have heard?
</t>
  </si>
  <si>
    <t xml:space="preserve">11. NGOs in Haiti      
NGOs are facing what some describe as a mid-life crisis. Hard questions are being asked. Should  international  NGOs be a conduit for aid and are they ignorant of local realities, wasteful and undermining of democracy.  As we approach the second anniversary of Haiti’s earthquake we look at the Caribbean country sometimes referred to as the Republic of NGOs. Estimates suggest that in Haiti there are more non-governmental organizations per capita than in any other country, many of them ushered in by the huge earthquake in 2010.
Which statement is correct according to the extract?
</t>
  </si>
  <si>
    <t xml:space="preserve">14. Vietnam draft dodgers       
Thirty-five years ago this week, the US president pardoned thousands of Americans who had evaded the military draft during the Vietnam War. Many of them had fled to Canada to avoid serving as soldiers and until then couldn’t return home. It’s January 1977 and on his first full day in the White House President Jimmy Carter signs a historic decree aimed at healing some of the deep wounds left behind by  the Vietnam War. Jimmy Carter had announced his plans for an unconditional pardon a few months earlier during his campaign for the presidency. His predecessor Gerald Ford had said draft dodgers could only come home if they did two years public works. Either way it was a highly controversial proposal. Allthough draft dodgers could come home, what Carter was saying was that he wouldn’t release those jailed for refusing to serve or forgive those who had deserted the Army.
What can be said about the draft dodgers of the Vietnam War?
</t>
  </si>
  <si>
    <t xml:space="preserve">15. Virtual world wonders    
Something that would make the world a better place is a website financed by philanthropists to make available to anyone with access to the internet high quality videos containing guided tours of the world’s most spectacular natural sites, museums, monuments and art and artefact collections. The videos would be narrated by leading experts and translated into as many languages as possible. Through this website seeing the world would cease being the preserve of the rich. At the click of a mouse anyone could go on a virtual helicopter tour of the Grand Canyon, walk virtually through the Louvre or virtually attend a ritual ceremony of the whirling dervishes. With such a website no one would be denied an opportunity to see Vienna’s art treasures merely for lack of money.
What is the speaker suggesting?
</t>
  </si>
  <si>
    <t xml:space="preserve">16. Reading       
We all understand that children need to read, need to enjoy the pleasures of discovery of reading and I think that we all of us understand that that carries on through our entire lifespan. There is perfectly sensible research that gives overwhelming evidence that reading enhances our enjoyment of life our very happiness and indeed our success, it is an essential life skill. We had a short while ago the Booker Prize, a particularly vibrant moment in the bookseller’s calendar sponsored by the Man Group because it focuses a huge amount of interest on the best novels of the moment. The Man Group though also -  and I particularly salute them for this – do an awful lot of further funding and charitable giving around  literacy. They have reacted to the appalling statistics that we have. I think it is currently said that one in six of the adults in this country have difficulty reading.
What does the speaker say?
</t>
  </si>
  <si>
    <t xml:space="preserve">18. Anthrax vaccination   
Melissa Block, host: Vaccinations for children are controversial to begin with, so imagine the concerns surrounding a vaccine for anthrax. The Obama administration is in the midst of a debate over whether to test the existing anthrax vaccine on kids. It's already been tested on adults and administered to millions of members of the military, especially those involved in bioterrorism defense. 
Well, tomorrow, a government advisory group is scheduled to vote on a recommendation that the vaccine be tested on kids. Washington Post science reporter Rob Stein is following the story. And Rob, first of all, remind us just what anthrax is, what it can do. 
Rob Stein: Yeah. Anthrax can be a life threatening infection that's caused by a bacterium that produces a toxin and it can be very, very dangerous and very serious. There are several ways to get exposed to it. You can get exposed to it through your skin, by ingesting it or by inhaling it, which can be the most serious way of getting infected
Which statement is true according to the extract?
</t>
  </si>
  <si>
    <t xml:space="preserve">20. The way men dress  
A journalist is asking questions about the way men dress
J: Hello. I’m doing some research for an article about the way men dress. Can I ask you some questions?
M: Yeah, no problem
J: Do you mind telling me what you wear to go out in the evening?
M: In the evening? What? You mean clubs and that sort of thing?
J: Yes, when you go clubbing.
M: Well, I dress exactly like this.
J: You don’t dress up then?
M: Well, put it this way – I don’t put a suit on. The clubs I go to don’t let men in if they’re wearing suits.
J: Really? Well, how strange. One more question. I’d just like to know if there’s an item of clothing you couldn’t live without.
M: Trainers. Definitely couldn’t live without them. I’ve got about twenty-five pairs.
What can be said about the man?
</t>
  </si>
  <si>
    <t xml:space="preserve">22. The effects of advertising on children    
A teacher talks about the effects of advertising on children in her school
Basically children nowadays are being constantly brainwashed by all the advertising that goes on around them. Usually, the pupils at our school wear uniforms, but Friday is a non-uniform day, and that’s when you really see the power of advertising. The kids are dressed from head to toe in labels, mainly sports stuff like Adidas, Nike, that sort of thing. And they all look the same. There’s a great deal of pressure on parents to buy children all these labels and gadgets. I feel sorry for the families who don’t have much money, because the pressure is just the same.
Which statement is correct according to the extract?
</t>
  </si>
  <si>
    <t xml:space="preserve">23. Making plans          
Listen to a woman talk about things she hopes to do 
I’m having a holiday in Italy for a couple of weeks, staying in a villa in Tuscany. Then I’m going to look for a job. I want to work in the media – advertising or the BBC would be perfect. My sister and I are going to buy a flat together, somewhere central, so we’ll have to start looking soon. I’m very excited about the future and I’m also highly ambitious.
What can be said about the woman?
</t>
  </si>
  <si>
    <t xml:space="preserve">24. Blogging  
Listen to this extract about a persistent blogger
Jeff Jarvis started his blog in nineteen ninety-five complaining about a Dell computer that he’d just bought. He wrote blogs every week describing the service that he received from Dell.  He was very direct in his criticism and described all the conversations he had, the e-mails he sent and the reactions he received. His blog started to become famous and more and more people started their own blogs complaining about Dell. Finally, Jarvis wrote to the chief marketing officer of Dell. It was only then that he received an apology and was offered a refund.
What can we say about Jeff Jarvis?
</t>
  </si>
  <si>
    <t xml:space="preserve">25. Work situation   
Listen to a man speak about his present work situation
Things haven’t been very easy since I was made redundant. I found a job with another company in the end, but I’m not very keen on it. The new company will only give me a monthly contract. I won’t reach retirement age for another four years so I really need a more reliable source of income, something with more of a guarantee.  
What can be said about the speaker?
</t>
  </si>
  <si>
    <t xml:space="preserve">26. Insider trading   
MELISSA BLOCK, host: And to New York now, where a prominent businessman surrendered to authorities today to face charges of insider trading. Federal prosecutors say Rajat Gupta passed important company secrets about Goldman Sachs and Procter and Gamble to a friend and business partner who ran a hedge fund. Gupta served on the boards of both companies and pleaded not guilty earlier today. 
ILYA MARRITZ: Well, Rajat Gupta is one of the best connected businessmen in the country. He was born in India, but he made his career here in the United States. He was managing director of McKinsey and Company from 1994 to 2007. And in that role, he gave advice to captains of industry, people like Jeffrey Immelt at General Electric. 
Later on, he served on the boards of Procter and Gamble, who make household products; and Goldman Sachs, who make financial products. And it was in that role as director of two major publically traded companies that Gupta allegedly passed these secrets to his friend, Raj Rajaratnam, who ran the New York hedge fund. And then, Rajaratnam traded on that information, prosecutors say ..
Which statement is correct about Rajat Gupta according to what you have heard?
</t>
  </si>
  <si>
    <t xml:space="preserve">27. Guatemala fire fighters   
Now, Guatemala has one of the highest murder rates in the world and drug trafficking and gang violence often lead to shoot-outs on the streets of the capital. The people responsible for picking up the pieces after these incidents are the bomberos at Guatemala City. These fire fighters and paramedics are the first to respond in an emergency but many of them are volunteers who work in offices, clinics and schools during the day and take on emergency work at night. Luis does volunteer shifts at a fire station close to the centre of the capital Guatemala City and next door to one of the country’s biggest public hospitals. Although a handful of paid staff work at the station, the vast majority of the firemen here are volunteers, who give up their time freely to be both paramedics and fire fighters. It’s the same situation at fire stations across the country.
Which sentence is correct about the emergency services staff?
</t>
  </si>
  <si>
    <t xml:space="preserve">28. Swimming lessons      
Every Tuesday, I volunteer to drive several kids from school to the local swimming pool. They go once a week for six weeks for a full hour. It's actually a new experience for my  children to be able to swim during school hours; usually, P.E., or Physical Education, doesn't involve getting wet. So, this is a real treat. The first week, the children were separated into swimmers and non-swimmers. Since then, the swimmers can spend half of their swimming session playing with beach balls on teams. They also are allowed to use various diving boards, while the non-swimmers have an intensive swimming lesson.
Which sentence is correct according to the speaker?
</t>
  </si>
  <si>
    <t xml:space="preserve">29. What influences food intake ?       
Now the eating habits  we develop early in life can be very hard to change so it’s no wonder that people can struggle to maintain a diet and find it very hard to shift weight that they’ve already gained. Marian Hetherington is Professor of Biopsychology at the University of Leeds where she works on understanding appetite and eating behaviour.  So, Marian, what are the factors that we think influence how we behave towards food?
Well, there’s some evidence to suggest that influences on food intake actually occur very early on in life. In fact inuteral experiences seem to be really interesting and really important. There’s some very elegant data from Joy Monella who’s at the Monel Chemical Census Centre in Philadelphia and she has shown that the foetus is exposed to flavours from the maternal diet. So right from the very beginning of life there’s an experience of flavour, an experience of odours and that these can have an important effect on later food intake.
What does the extract say about how food affects our eating habits?
</t>
  </si>
  <si>
    <t xml:space="preserve">30. Pakistan’s Supreme Court   
In Pakistan, there are longstanding tensions between the elected government and the military intelligence establishment. And now, a third player has entered the fray, Pakistan's Supreme Court. It is led by a firebrand chief justice and it is aggressively taking on social and political topics, as well as sensitive national security issues. As NPR's Jackie Northam reports from Islamabad, some are applauding the court's decisions, while others fear it is overstepping its bounds
Jackie Northam: The high court building, with its modern geometric design, is impressive. Some lawyers say it is also fast becoming a bastion of judicial activism, taking on cases that touch every part of Pakistani society. .. The Supreme Court has even extended its reach into local issues such as traffic control. … Tariq Mehmood, a retired judge, says the high court is filling a gap.
What is said about the Supreme Court in Pakistan?
</t>
  </si>
  <si>
    <t xml:space="preserve">31. Teaching science to teenagers             
The may not all be Einstein but I do think that all children are fascinated by science. When I started teaching as you said in Newcastle I quickly learnt that science lessons were a chance for teenagers to delve into the big philosophical questions about existence and our part and our place in the universe. The chance to engage with the natural curiosity of teenagers has always given me a real buzz. There’s one thing you can guarantee is the last few questions you can’t answer.  And that’s part of being a teacher,  it’s actually being   challenged to re-explain the knowledge you thought you had and to learn it again in such a way that you can actually explain it to somebody else, somebody with a mind very sharply looking for your faults. 
What impression do we get from the extract?
</t>
  </si>
  <si>
    <t xml:space="preserve">32. Travel diary   
While I was travelling I got an incredibly painful tropical ear infection after I fell into a stinking latrine. Feeling like death I lay in bed with a raging fever for what felt like a lifetime. Racked with pain I couldn’t face eating anything and I lost so much weight that I looked like a skeleton. Eventually, I managed to get hold of some antibiotics which brought me back from death’s door.
What can we say about the speaker?
</t>
  </si>
  <si>
    <t xml:space="preserve">33. A girl’s plans for her future     
You’re leaving school now, aren’t you?
Yes, my A-levels start next week but I’m not too bothered about the results because when I Ieave school I’m gonna concentrate on my music career. I’m lead singer in a band and I don’t need any qualifications to be a pop star. I see my future very clearly – I’m going to be incredibly famous and fabulously rich.
So you’ve already got a contract then…
Ah, no, not as such … actually we haven’t got a manager yet …but the minute I’ve taken my last exam I’m gonna find a really good one.
So, do you intend to continue living at home?
No way! I’m moving to London just as soon as I’ve left school. London’s where it all happens in the music industry.
What can we say about the girl?
</t>
  </si>
  <si>
    <t xml:space="preserve">34. The future of coal   
Most of the world is still enthralled to King Coal. It remains the most abundant fossil fuel, but how long can that continue? Coal is also the dirtiest fuel – dirty to dig up, dirty to burn. Despite its huge impact on the environment and on global warming, the world still relies on coal for much of its electricity and will probably go on doing so. But the balance of energy power is changing and coal in many places is on the defensive. Coal is on the defensive because of its environmental impact, because of the impact of carbon dioxide, CO2 on global warming. And coal is also on the defensive because of the rise of alternative forms of energy. There’s wind power, and solar and now the energy balance of power is being transformed in America now, and in many other places soon perhaps, by huge new natural gas reserves uncovered buy the controversial process of fracking – bringing up natural gas trapped thousands of feet below the ground in shale rock.
Which statement is correct?
</t>
  </si>
  <si>
    <t xml:space="preserve">35. Elevators  
The first elevators, where did they come from?
The first passenger elevators were placed in large urban hotels. The ..sort of .. posh urban hotel experience in the nineteenth century was very similar to today. You expected to be treated very well in a very luxurious environment and the idea of a machine that would carry you upstairs was a logical amenity to apply to those hotels .. and you find the first ones in the United States and in Great Britain …and the experience was very, very different to today in that the doors would open with an operator. You would enter, take a seat .. on a very nice cushioned bench. There would be mirrors on the walls , a gas chandelier hanging down from the centre of the car. The doors would close, and everyone would ride up ..slowly …very slowly …gracefully ..and when you reached your floor the process would reverse itself .. which is one reason they were known as movable rooms, in the United States they were called vertical railways and in Great Britain the upstairs omnibus…
Which statement is correct about the first elevators?
</t>
  </si>
  <si>
    <t xml:space="preserve">36. China  
A subject which few Chinese dare to question is now being discussed quite openly all around the country. It’s the notorious one-child policy under which most families are restricted in the number of children they can have. Many are now saying it’s out of date and should be scrapped. The Chinese birth rate has been falling steadily in recent years. In the nineteen eighties there were twenty-five million births a year. Today, that figure, driven down by the policy stands at just fifteen million. Unless the rules are relaxed, some experts believe the population will fall into an irreversible decline.
Which can be said about the one-child policy?
</t>
  </si>
  <si>
    <t xml:space="preserve">37. Monitoring how you drive   
Now it’s bad enough having your partner or your kids monitoring how you drive and offering helpful suggestions but how about your insurance company watching over your shoulder? Aviva is looking for volunteers to install a phone app that records driving habits and creates a profile of your performance behind the wheel. They say it can save up to a fifth of the annual cost of your insurance. In a moment we’ll be looking at other things you could to save  money on your policy but first Steve .. he’s from Aviva. This is a mobile phone app Steve .. what kind of things does it monitor?
Yeah .. hi Peter. It monitors basically your acceleration, braking and cornering so that it basically provides us with an understanding of how people drive..
Couldn’t that end up putting your insurance payments up as well as down..?
Well, the way we’re looking at it is it’ll only drive premiums down .. it gives customers the opportunity to show us what good drivers they are ..
What is being discussed in the extract?
</t>
  </si>
  <si>
    <t xml:space="preserve">38. Tour company  
Interviewer: John Bigos is the managing director of London Duck Tours Limited. This company use Ducks, renovated World War II amphibious vehicles, which can travel on land and water. What makes a Duck Tour better than a normal sightseeing tour?
John: What makes Duck Tours more interesting in terms of the tour as opposed to other tours is the ability to be able to go on the land and the river in one tour at the same time. That has a great benefit for all our clients. We also have a very small vessel which only takes thirty people and that allows you to have a much more intimate relationship with your clients, which makes it a wonderful experience, which you don’t get when you go on ordinary, pre-determined computerized tours.
Which sentence is correct about the man’s company?
</t>
  </si>
  <si>
    <t xml:space="preserve">39. My grandmother   
I really wish I’d been able to know my grandmother better. She died when I was twelve and since then I’ve discovered that she must have been a fascinating person, and there are so many things I would love to have been able to talk to her about. She was Polish but she was in Russia, in St. Petersburg, during the Russian Revolution and she knew all sorts of interesting people at the time - painters, writers, people like that. I was only a child so I never asked her much about her own life. Now I’m discovering all about her through reading her old letters and papers, but I wish she had lived longer so I could have talked to her about those things face-to-face.
Which sentence is correct about the speaker?
</t>
  </si>
  <si>
    <t xml:space="preserve">40. A lost opportunity  
When I was a young man, about seventeen, I was working in Spain as an electrician for the German car company, Mercedes. A man from the engineering company, Bosch, visited Mercedes and he liked the way that I worked and he offered me a job in Germany. I suppose it is what you would call an ‘apprenticeship’. I would have learnt to become an engineer. I really wanted to do it, but my parents didn’t want me to leave home and go and work in a foreign country. In those days, not many people did that. So in the end, I didn’t go. But I really wish that I’d taken that job because I think it would have opened doors for me and my professional life would have been more fulfilling.
Which statement is correct?
</t>
  </si>
  <si>
    <t>2. BOEING’S 787  .-
Which sentence is correct about the Boeing 787?</t>
  </si>
  <si>
    <t>3. Women breadwinners  .-
Which statement is correct according to what you have heard?</t>
  </si>
  <si>
    <t>4. Ruth’s House .-              
What is the problem with Ruth’s house?</t>
  </si>
  <si>
    <t>1. The feral child .-                                                                                                                                                                                                                                                                                                                        
According to the extract, what child did Diane and Bernie adopt?</t>
  </si>
  <si>
    <t>5. Influential business people .- 
Which statement is correct?</t>
  </si>
  <si>
    <t xml:space="preserve">6. Nature’s Medicine Cabinet.-                                                                                                                                                                                                   
Which of the following is of new species discovered?   </t>
  </si>
  <si>
    <t>7. Regrets .-     
What can be said about the speaker?</t>
  </si>
  <si>
    <t>8. What does work demand?   .-   
Which sentence is correct according to what you have heard?</t>
  </si>
  <si>
    <t>9. A Serb teaches Arab revolutionaries    .-     
What can we say about Srdja Popovic?</t>
  </si>
  <si>
    <t>10. Saudi army officer .-              
Which of the following statements is correct according to what you have heard?</t>
  </si>
  <si>
    <t>11. NGOs in Haiti .-       
Which statement is correct according to the extract?</t>
  </si>
  <si>
    <t>12. Barbie in Iran .-       
Which statement is correct according to the extract?</t>
  </si>
  <si>
    <t>13. Viruses and bacteria  .-        
Which statement is true according to the extract?</t>
  </si>
  <si>
    <t>14. Vietnam draft dodgers  .-        
What can be said about the draft dodgers of the Vietnam War?</t>
  </si>
  <si>
    <t>15. Virtual world wonders .-       
What is the speaker suggesting?</t>
  </si>
  <si>
    <t>16. Reading   .-       
What does the speaker say?</t>
  </si>
  <si>
    <t>17. Foreign investment in Africa  .-        
What is a consequence of foreign investment in African land?</t>
  </si>
  <si>
    <t>18. Anthrax vaccination  .-    
Which statement is true according to the extract?</t>
  </si>
  <si>
    <t>19. CBO Report – top earners  .-    
What can be said about the share of the national income?</t>
  </si>
  <si>
    <t>20. The way men dress .-    
What can be said about the man?</t>
  </si>
  <si>
    <t>21. Advertising through children   .-   
According to the speaker, in what way can children be used in advertising?</t>
  </si>
  <si>
    <t>22. The effects of advertising on children  .-     
Which statement is correct according to the extract?</t>
  </si>
  <si>
    <t>23. Making plans   .-          
What can be said about the woman?</t>
  </si>
  <si>
    <t>24. Blogging .-    
What can we say about Jeff Jarvis?</t>
  </si>
  <si>
    <t>25. Work situation   .-   
What can be said about the speaker?</t>
  </si>
  <si>
    <t>26. Insider trading .-     
Which statement is correct about Rajat Gupta according to what you have heard?</t>
  </si>
  <si>
    <t>27. Guatemala fire fighters   .-   
Which sentence is correct about the emergency services staff?</t>
  </si>
  <si>
    <t>28. Swimming lessons   .-      
Which sentence is correct according to the speaker?</t>
  </si>
  <si>
    <t>29. What influences food intake ?  .-        
What does the extract say about how food affects our eating habits?</t>
  </si>
  <si>
    <t>30. Pakistan’s Supreme Court  .-    
What is said about the Supreme Court in Pakistan?</t>
  </si>
  <si>
    <t>31. Teaching science to teenagers .-         
What impression do we get from the extract?</t>
  </si>
  <si>
    <t>32. Travel diary  .-    
What can we say about the speaker?</t>
  </si>
  <si>
    <t>33. A girl’s plans for her future   .-   
What can we say about the girl?</t>
  </si>
  <si>
    <t>34. The future of coal   .-   
Which statement is correct?</t>
  </si>
  <si>
    <t>35. Elevators  .-   
Which statement is correct about the first elevators?</t>
  </si>
  <si>
    <t>36. China  .-   
Which can be said about the one-child policy?</t>
  </si>
  <si>
    <t>37. Monitoring how you drive   .-   
What is being discussed in the extract?</t>
  </si>
  <si>
    <t>38. Tour company  .-   
Which sentence is correct about the man’s company?</t>
  </si>
  <si>
    <t>39. My grandmother   .-   
Which sentence is correct about the speaker?</t>
  </si>
  <si>
    <t>40. A lost opportunity .-    
Which statement is correct?</t>
  </si>
  <si>
    <t>d) Companies favor the Philippines over India regarding language aptitude</t>
  </si>
  <si>
    <t>b) The method of hedgerows cultivation</t>
  </si>
  <si>
    <t xml:space="preserve">22.- The article implies that to improve their situation, African countries need to; </t>
  </si>
  <si>
    <t>EXAMEN 8 SELFCORRECTION</t>
  </si>
  <si>
    <t>EXAMEN 9 SELFCORRECTION</t>
  </si>
  <si>
    <t>EXAMEN DPT 2012</t>
  </si>
  <si>
    <t xml:space="preserve">19.  Report – top earners   
Melissa Block, host: Well, that Congressional Budget Office report that David mentioned has provided new ammunition for protestors whose signs declare: We Are The 99 Percent. The study found that the richest 1 percent of Americans more than doubled their share of national income in the last 30 years. And the vast majority of the population is getting a smaller slice of the economic pie. 
NPR's Scott Horsley joins us now with more. And, Scott, when it comes to income inequality, how unequal are we? 
Scott Horsley: Well, Melissa, we are getting more unequal. More and more of the income is being concentrated in the top tier. If you go back to 1979, which was the starting point for that CBO study, at that point, the top 20 percent - the richest 20 percent of households - were collecting about 43 percent of all the income in the country. Now, that's over half. 
And a lot of that increase was the very tippy top - the 1 percent at the top of the income distribution. As their share of national income has soared, the share for everyone else - the other 80 percent - has gone down.
What can be said about the share of the national income?
</t>
  </si>
  <si>
    <t>1. The feral child  
For the first seven years of her life, Daniele never saw the sun. She was cooped up in a tiny filthy room in a clapboard shack. She couldn’t speak and recoiled from human contact. American media called her the -feral child-. Danny was taken into care but adoption workers were convinced no one would want to take on the challenge. They hadn’t  reckoned on Diane and Bernie .. who adopted Dani and have now written a book about the experience. It started when the couple attended an adoption event in Florida looking for a companion for their youngest son William. Diane told me they were captivated by a grainy, black and white photograph of Dani pinned to the wall. 
Diane : -Her  eyes were just haunting. There was just something about them that made me want to know more about her. 
Int: But when you started asking people about her you were told just don’t go  there. 
Diane: There was a zillion other children there why would you want to ask about her but I’d already started asking questions about Daniele. It just really came from the heart. I was drawn to her.
According to the extract, what child did Diane and Bernie adopt?</t>
  </si>
  <si>
    <t>2. BOEING'S 787  
Norris: .. There was quite a bit of excitement today when Boeing's much-anticipated 787 made a four-hour, eight-minute flight from Tokyo to Hong Kong. Two-hundred-forty passengers were on today's maiden voyage and we were fortunate to track down one of them. His name is Scott Mayerowitz. He's a reporter for the AP. Welcome to the program. 
Scott Mayerowitz: Thanks for having me. 
Norris: Do me a favor, first. Describe this plane. What does it look like? 
Mayerowitz: The very basics -  it's a regular plane. But then you walk inside and there's a sort of open arching space. They call it the dome. And your eyes just naturally gravitate up. And there are sort of sleek edges to everything, nice colors, and you suddenly feel like, oh, maybe this isn't going to be so bad. You walk a few rows back, find your seat and there's a giant window next to you. Yeah, the seat is just the same old uncomfortable seat as you've had for many flights. But you got this big window and you're too busy playing with it..
Which sentence is correct about the Boeing 787?</t>
  </si>
  <si>
    <t xml:space="preserve">14. Viruses and bacteria       
Viruses have a huge impact on our lives – tiny pathogens small enough to be able to hide inside human cells. Infectious and deadly, they are one of the most successful organisms on earth. But why are they so difficult to stop? We’ve had antibiotics, drugs like penicillin, which are effective against a range of bacteria since nineteen twenty-eight. But the first experimental antiviral drugs weren’t produced until the nineteen sixties. So what exactly are viruses, and how do they differ from bacteria? -Viruses are really the very simplest of the micro organisms that cause disease in humans and other animals. A virus is completely inert in the environment. It can’t replicate itself, so if a virus was sitting on a table-top the same virus would be sitting five hours later. There wouldn’t be 10 million of them sitting there. That’s not the same as a bacteria which is able to, in the environment, make copies of itself and expand its numbers.-
Which statement is true according to the extract?
</t>
  </si>
  <si>
    <t xml:space="preserve">21. Advertising through children   
A marketing executive talks about using children in advertising
Children are much easier to reach with advertising than adults are – they like it and they pick up on it really fast. So it’s the advertiser’s job to capitalise on this. We have a term, -pester-power-which means the marketing potential of children nagging their parents to spend money. And I’m not just talking about toys here – our aim is getting children to pester parents to buy something for the whole family, like a holiday or a car. The trick is to produce adverts that appeal to both children and adults – to split the message in two.
According to the speaker, in what way can children be used in advertising?
</t>
  </si>
  <si>
    <t xml:space="preserve">7. Regrets   
My biggest regret is how I spent my time at university. I studied English Literature which was something I was quite interested in, but it certainly wasn’t the most important thing in my life. I played a lot of sport, I played in a band and listened to a lot of music, but I also spent most of my time either socializing or asleep. And in terms of studying I just did the bare minimum – I read what I had to, but never anything more. I only went to the compulsory lectures never to the optional ones and I left all my essays until the last minute and kept them as short as I could. OK I passed my exams and I got my degree in the end, but I’ve always regretted not taking advantage of those three years.
What can be said about the speaker? 
</t>
  </si>
  <si>
    <t>3. Women breadwinners  
NPR: I’m speaking with Lisa Mundy. Her new book is called -The Richer Sex-. And clearly we would presume that if women are earning more and becoming the primary breadwinner that the glass ceiling in the workplace must have dissipated, no?
LM: No, it hasn’t and you know, women working full time still earn eighty-one percent of what men do, that’s all women in all fields. And so the danger is that women will be supporting households on less than a man might make. What’s interesting is (that) even with this earnings disadvantage women are out-earning their husbands .. you know ..a greater percentage every year.
Which statement is correct according to what you have heard?</t>
  </si>
  <si>
    <t xml:space="preserve">17. Foreign investment in Africa       
Foreign investment in African land is growing. Countries like China, Saudi Arabia and South Korea are leasing or buying millions of hectares to grow food for their people.
Research shows that many large land deals lack protections for small farmers. Contracts may guarantee leases for up to ninety-nine years, leaving local people without land for generations.
What is a consequence of foreign investment in African land?
</t>
  </si>
  <si>
    <t>4. Ruth' s House    
Interviewer: Ruth, why do you think you've been burgled so many times?
Ruth: I wish I knew. It's a nightmare. We bought this house because it looks out onto the playing fields and we thought it was the perfect house for our retirement.
Interviewer: When were you first burgled?
Ruth: Oh, three years ago, just a week after we had moved in. It was as if the burglars were waiting for us.
Interviewer: Do you feel sorry that you moved there now?
Ruth: Oh definitely. If we had known we were going to have this sort of trouble, we wouldn't be living here.  We would have chosen somewhere safer. But now we can't even sell the house because everyone knows the burglars like it! No one will buy it.                   
What is the problem with Ruth’s house?</t>
  </si>
  <si>
    <t xml:space="preserve">12. Barbie in Iran     
This week, Iranian police took Barbie dolls from shelves across the country and closed dozens of toy shops for selling the iconic American glamour doll. Iran's government news agency quoted an unnamed police official as saying that they were confiscating Barbies as 'manifestations of Western culture'. Well, Barbie manifests a lot in her full figure, clingy gowns, and revealing bathing suits. In 1996, an Iranian government agency called Barbie the wooden horse of Troy with many cultural invading soldiers inside it. Wait until they see her glitter-boots and little red sports car. Barbie, of course, can lead to Ken and Midge, spangly doll shoes, shimmering dresses; all kinds of other Barbie regalia that many little girls just got to have. 
Which statement is correct according to the extract?
</t>
  </si>
  <si>
    <t>EXAMEN OCT 2012</t>
  </si>
  <si>
    <t>EXAMEN 1000/MP3/Q-01 EXAMEN 1000.mp3</t>
  </si>
  <si>
    <t>a. criticizes religious leaders more than baby boomers do.</t>
  </si>
  <si>
    <t>b. generally lacks religious affiliation</t>
  </si>
  <si>
    <t>c. are more likely to be religious than baby boomers.</t>
  </si>
  <si>
    <t>d. accepts spirituality but rejects official religions.</t>
  </si>
  <si>
    <t>EXAMEN 1000/MP3/Q-02 EXAMEN 1000.mp3</t>
  </si>
  <si>
    <t>a. showering instead of bathing can save water</t>
  </si>
  <si>
    <t>b. modern showers tend to use less water.</t>
  </si>
  <si>
    <t>c. the results of the study contradict popular beliefs</t>
  </si>
  <si>
    <t>d. the study shows people still prefer taking showers.</t>
  </si>
  <si>
    <t>EXAMEN 1000/MP3/Q-03 EXAMEN 1000.mp3</t>
  </si>
  <si>
    <t>a. English people were very kind to him.</t>
  </si>
  <si>
    <t>b. arriving in Britain was an exciting experience</t>
  </si>
  <si>
    <t>c. Britain exceeded his expectations</t>
  </si>
  <si>
    <t>d. his first day was sad</t>
  </si>
  <si>
    <t>EXAMEN 1000/MP3/Q-04 EXAMEN 1000.mp3</t>
  </si>
  <si>
    <t>a. spent a period outside of his country</t>
  </si>
  <si>
    <t>b. tried to leave his country but couldn’t</t>
  </si>
  <si>
    <t>c. has always lived in a warlike situation</t>
  </si>
  <si>
    <t>d. fought against the Taliban some years ago</t>
  </si>
  <si>
    <t>EXAMEN 1000/MP3/Q-05 EXAMEN 1000.mp3</t>
  </si>
  <si>
    <t>a. It had been worn by Monroe when she sang for Kennedy</t>
  </si>
  <si>
    <t>b. It achieved the highest price ever for a movie dress</t>
  </si>
  <si>
    <t>c. It was bought at an auction by a famous Hollywood star</t>
  </si>
  <si>
    <t>d. It had been exhibited at a museum before being sold</t>
  </si>
  <si>
    <t>EXAMEN 1000/MP3/Q-06 EXAMEN 1000.mp3</t>
  </si>
  <si>
    <t>a. He is working as a data analyst at present</t>
  </si>
  <si>
    <t>b. He is not qualified for the job he wants</t>
  </si>
  <si>
    <t>c. He is overqualified for his present job</t>
  </si>
  <si>
    <t>d. He is afraid he’ll never find the job he wants</t>
  </si>
  <si>
    <t>EXAMEN 1000/MP3/Q-07 EXAMEN 1000.mp3</t>
  </si>
  <si>
    <t>a. harsh.</t>
  </si>
  <si>
    <t>b. unfair</t>
  </si>
  <si>
    <t>c. welcoming</t>
  </si>
  <si>
    <t>d. unpredictable</t>
  </si>
  <si>
    <t>EXAMEN 1000/MP3/Q-08 EXAMEN 1000.mp3</t>
  </si>
  <si>
    <t>a. Her guest was moody and uncooperative.</t>
  </si>
  <si>
    <t>b. Her guest made disturbing noises</t>
  </si>
  <si>
    <t>c. Her guest spoke too close to the microphone</t>
  </si>
  <si>
    <t>d. Her guest took her pen away</t>
  </si>
  <si>
    <t>EXAMEN 1000/MP3/Q-09 EXAMEN 1000.mp3</t>
  </si>
  <si>
    <t>a. will be held on the twelfth of next month</t>
  </si>
  <si>
    <t>b. are expected to be held within a year's time</t>
  </si>
  <si>
    <t>c. will be supervised by UN peacekeepers</t>
  </si>
  <si>
    <t>d. have generated bloody confrontations</t>
  </si>
  <si>
    <t>EXAMEN 1000/MP3/Q-10 EXAMEN 1000.mp3</t>
  </si>
  <si>
    <t>a. went into the hair business after finishing Law school</t>
  </si>
  <si>
    <t>b. didn’t like the hair business at the beginning</t>
  </si>
  <si>
    <t>c. started in the hair business for want of money</t>
  </si>
  <si>
    <t>d. opened her own beauty parlour after failing at college</t>
  </si>
  <si>
    <t>EXAMEN 1000/MP3/Q-11 EXAMEN 1000.mp3</t>
  </si>
  <si>
    <t>a. Jersey tourism has become more upscale</t>
  </si>
  <si>
    <t>b. people stay longer on Jersey than in the past.</t>
  </si>
  <si>
    <t>c. the beaches are Jersey’s main attraction</t>
  </si>
  <si>
    <t>d. Jersey has improved its image through advertising</t>
  </si>
  <si>
    <t>EXAMEN 1000/MP3/Q-12 EXAMEN 1000.mp3</t>
  </si>
  <si>
    <t>a. The Chinese buy most luxury goods abroad</t>
  </si>
  <si>
    <t>b. China exports many luxury goods to Japan</t>
  </si>
  <si>
    <t>c. China is the biggest producer of fake products</t>
  </si>
  <si>
    <t>d. The sale of luxury goods in China is increasing</t>
  </si>
  <si>
    <t>EXAMEN 1000/MP3/Q-13 EXAMEN 1000.mp3</t>
  </si>
  <si>
    <t>a. society is losing interest in the illness</t>
  </si>
  <si>
    <t>b. new research on schizophrenia has been started</t>
  </si>
  <si>
    <t>c. the symptoms of the illness can vary.</t>
  </si>
  <si>
    <t>d. there is no known treatment for schizophrenia</t>
  </si>
  <si>
    <t>EXAMEN 1000/MP3/Q-14 EXAMEN 1000.mp3</t>
  </si>
  <si>
    <t>a. know how to manage anxiety well.</t>
  </si>
  <si>
    <t>b. have never suffered a major disaster</t>
  </si>
  <si>
    <t>c. don’t have to cope with problems</t>
  </si>
  <si>
    <t>d. experience a certain degree of adversity</t>
  </si>
  <si>
    <t>EXAMEN 1000/MP3/Q-15 EXAMEN 1000.mp3</t>
  </si>
  <si>
    <t>a. spent three days cliff-walking</t>
  </si>
  <si>
    <t>b. met many people on his journey</t>
  </si>
  <si>
    <t>c. spent a lot of time in solitude</t>
  </si>
  <si>
    <t>d. walked through a famous national park</t>
  </si>
  <si>
    <t>EXAMEN 1000/MP3/Q-16 EXAMEN 1000.mp3</t>
  </si>
  <si>
    <t>a. says Israel should trade occupied land for peace treaties</t>
  </si>
  <si>
    <t>b. says Israel should occupy all territories described in the Bible</t>
  </si>
  <si>
    <t>c. feels entitled to live on the West Bank</t>
  </si>
  <si>
    <t>d. is tired of confrontations with Palestinians</t>
  </si>
  <si>
    <t>EXAMEN 1000/MP3/Q-17 EXAMEN 1000.mp3</t>
  </si>
  <si>
    <t>a. An oil deposit found off the Cypriot coast.</t>
  </si>
  <si>
    <t>b. Turkey’s search for oil off the Cypriot coast.</t>
  </si>
  <si>
    <t>c. Cyprus’ search for resources in the sea</t>
  </si>
  <si>
    <t>d. Cyprus’ denial to supply gas to North Cyprus</t>
  </si>
  <si>
    <t>EXAMEN 1000/MP3/Q-18 EXAMEN 1000.mp3</t>
  </si>
  <si>
    <t>a. a lot of space debris</t>
  </si>
  <si>
    <t>b. the creation of two moons</t>
  </si>
  <si>
    <t>c. the formation of the craters of the moon</t>
  </si>
  <si>
    <t>d. the highlands on the visible side of the moon</t>
  </si>
  <si>
    <t>EXAMEN 1000/MP3/Q-19 EXAMEN 1000.mp3</t>
  </si>
  <si>
    <t>a. fought with freedom fighters against the Fascists</t>
  </si>
  <si>
    <t>b. played a part in the liberation of his village</t>
  </si>
  <si>
    <t>c. amazed everyone with his superb trumpet playing</t>
  </si>
  <si>
    <t>d. played a simple piece at the fighters’ funeral</t>
  </si>
  <si>
    <t>EXAMEN 1000/MP3/Q-20 EXAMEN 1000.mp3</t>
  </si>
  <si>
    <t>a. The fast talkers were the most successful</t>
  </si>
  <si>
    <t>b. Pausing between words is not a good idea</t>
  </si>
  <si>
    <t>c. Variations in pitch make one sound more convincing</t>
  </si>
  <si>
    <t>d. The right speed is neither too fast nor too slow</t>
  </si>
  <si>
    <t>EXAMEN 1000/MP3/Q-21 EXAMEN 1000.mp3</t>
  </si>
  <si>
    <t>a. many characters come across as too modern.</t>
  </si>
  <si>
    <t>b. readers like to identify with characters</t>
  </si>
  <si>
    <t>c. creating historically authentic characters isn’t her main purpose</t>
  </si>
  <si>
    <t>d. we wouldn’t understand authentic historical characters</t>
  </si>
  <si>
    <t>EXAMEN 1000/MP3/Q-22 EXAMEN 1000.mp3</t>
  </si>
  <si>
    <t>a. his book was successful because of its ironic tone.</t>
  </si>
  <si>
    <t>b. pointing out grammar mistakes made him unpopular</t>
  </si>
  <si>
    <t>c. the book is based on an analysis of errors in newspapers</t>
  </si>
  <si>
    <t>d. the book deals with grammar mistakes in a stern way</t>
  </si>
  <si>
    <t>EXAMEN 1000/MP3/Q-23 EXAMEN 1000.mp3</t>
  </si>
  <si>
    <t>a. of his fondness for reading mystery novels</t>
  </si>
  <si>
    <t>b. of the size and glamour of the cases</t>
  </si>
  <si>
    <t>c. of the complexity and cunning of the schemes</t>
  </si>
  <si>
    <t>d. of the excitement and risky nature of it</t>
  </si>
  <si>
    <t>EXAMEN 1000/MP3/Q-24 EXAMEN 1000.mp3</t>
  </si>
  <si>
    <t>a. it could damage Bill Clinton’s reputation</t>
  </si>
  <si>
    <t>b. it would establish a dangerous precedent</t>
  </si>
  <si>
    <t>c. the investigation was politically motivated</t>
  </si>
  <si>
    <t>d. the results would be too unpredictable</t>
  </si>
  <si>
    <t>EXAMEN 1000/MP3/Q-25 EXAMEN 1000.mp3</t>
  </si>
  <si>
    <t>a. the lack of transparency in the exams</t>
  </si>
  <si>
    <t>b. the lack of objectivity in the selection process</t>
  </si>
  <si>
    <t>c. that many students tend to lie during interviews</t>
  </si>
  <si>
    <t>d. that students are subject to an absurd procedure</t>
  </si>
  <si>
    <t>EXAMEN 1000/MP3/Q-26 EXAMEN 1000.mp3</t>
  </si>
  <si>
    <t>a. Small changes in people's everyday life can make a big difference</t>
  </si>
  <si>
    <t>b. What people say are small sacrifices are actually big efforts</t>
  </si>
  <si>
    <t>c. His effotts will be pointless if certain countries don't reduce their emissions</t>
  </si>
  <si>
    <t>d. Any effort to cut down on emissions and save the planet is futile</t>
  </si>
  <si>
    <t>EXAMEN 1000/MP3/Q-27 EXAMEN 1000.mp3</t>
  </si>
  <si>
    <t>a. was influenced by Protestantism in matters of conscience</t>
  </si>
  <si>
    <t>b. believed in the divinity of Christ</t>
  </si>
  <si>
    <t>c. was against the establishment of a national religion</t>
  </si>
  <si>
    <t>d. was critical of the Church</t>
  </si>
  <si>
    <t>EXAMEN 1000/MP3/Q-28 EXAMEN 1000.mp3</t>
  </si>
  <si>
    <t>a. It has been widely misinterpreted.</t>
  </si>
  <si>
    <t>b. It teaches a productive approach to conflict.</t>
  </si>
  <si>
    <t>c. It can lead to intransigent political positions</t>
  </si>
  <si>
    <t>d. It can lead to more ethical political behavior</t>
  </si>
  <si>
    <t>EXAMEN 1000/MP3/Q-29 EXAMEN 1000.mp3</t>
  </si>
  <si>
    <t>a. is not enough to remember the fallen</t>
  </si>
  <si>
    <t>b. idealizes war, which is despicable</t>
  </si>
  <si>
    <t>c. has become politicized</t>
  </si>
  <si>
    <t>d. has lost its original meaning</t>
  </si>
  <si>
    <t>EXAMEN 1000/MP3/Q-30 EXAMEN 1000.mp3</t>
  </si>
  <si>
    <t>a. describe major events such as war on a human scale</t>
  </si>
  <si>
    <t>b. limit the scope to a short time period.</t>
  </si>
  <si>
    <t>c. portray historical heroes in an objective way.</t>
  </si>
  <si>
    <t>d. show events the way people experienced them at the time.</t>
  </si>
  <si>
    <t>EXAMEN 1000/MP3/Q-31 EXAMEN 1000.mp3</t>
  </si>
  <si>
    <t>a. need the satisfaction given by material goods.</t>
  </si>
  <si>
    <t>b. fear losing their living standard due to the crisis.</t>
  </si>
  <si>
    <t>c. demand greater social justice in times of crisis.</t>
  </si>
  <si>
    <t>d. show acceptance towards limiting consumerism.</t>
  </si>
  <si>
    <t>EXAMEN 1000/MP3/Q-32 EXAMEN 1000.mp3</t>
  </si>
  <si>
    <t>a. does not include a variety of voices</t>
  </si>
  <si>
    <t>b. shows only one side of the issues.</t>
  </si>
  <si>
    <t>c. prioritizes profit over substance</t>
  </si>
  <si>
    <t>d. lacks popular appeal</t>
  </si>
  <si>
    <t>EXAMEN 1000/MP3/Q-33 EXAMEN 1000.mp3</t>
  </si>
  <si>
    <t>a. have a number of priority values.</t>
  </si>
  <si>
    <t>b. are a moral example for Iraqi civilians.</t>
  </si>
  <si>
    <t>c. are neglecting moral values.</t>
  </si>
  <si>
    <t>d. require high-ranking officers to have special values.</t>
  </si>
  <si>
    <t>EXAMEN 1000/MP3/Q-34 EXAMEN 1000.mp3</t>
  </si>
  <si>
    <t>a. has created a niche market.</t>
  </si>
  <si>
    <t>b. causes marital discontent.</t>
  </si>
  <si>
    <t>c. is also suffered by women.</t>
  </si>
  <si>
    <t>d. makes men behave childishly.</t>
  </si>
  <si>
    <t>EXAMEN 1000/MP3/Q-35 EXAMEN 1000.mp3</t>
  </si>
  <si>
    <t>a. lead.</t>
  </si>
  <si>
    <t>b. facilitate.</t>
  </si>
  <si>
    <t>c. incentivize.</t>
  </si>
  <si>
    <t>d. educate.</t>
  </si>
  <si>
    <t>EXAMEN 1000/MP3/Q-36 EXAMEN 1000.mp3</t>
  </si>
  <si>
    <t>a. may be progressive.</t>
  </si>
  <si>
    <t>b. may be based on incorrect assumptions.</t>
  </si>
  <si>
    <t>c. may not be obvious.</t>
  </si>
  <si>
    <t>d. may not represent their congregations.</t>
  </si>
  <si>
    <t>EXAMEN 1000/MP3/Q-37 EXAMEN 1000.mp3</t>
  </si>
  <si>
    <t>a. The FDA should have approved it.</t>
  </si>
  <si>
    <t>b. The FDA should have studied it more carefully.</t>
  </si>
  <si>
    <t>c. The scientific review panel should have recommended it.</t>
  </si>
  <si>
    <t>d. The scientific review panel was politically motivated.</t>
  </si>
  <si>
    <t>EXAMEN 1000/MP3/Q-38 EXAMEN 1000.mp3</t>
  </si>
  <si>
    <t>a. They show little understanding for Tibetan rituals</t>
  </si>
  <si>
    <t>b. They are fascinated by Tibetan mysticism</t>
  </si>
  <si>
    <t>c. They interpret Tibetan traditions from their own viewpoint</t>
  </si>
  <si>
    <t>d. They have surprisingly few prejudices about Tibet</t>
  </si>
  <si>
    <t>EXAMEN 1000/MP3/Q-39 EXAMEN 1000.mp3</t>
  </si>
  <si>
    <t>a. All modern ideals of beauty stem from fascism.</t>
  </si>
  <si>
    <t>b. Too much emphasis is placed on outward beauty</t>
  </si>
  <si>
    <t>c. Beauty should not matter in the modern age.</t>
  </si>
  <si>
    <t>d. Beauty is perceived differently by everyone</t>
  </si>
  <si>
    <t>EXAMEN 1000/MP3/Q-40 EXAMEN 1000.mp3</t>
  </si>
  <si>
    <t>a. They rebel against them and try to find a remedy</t>
  </si>
  <si>
    <t>b. They start pitying themselves</t>
  </si>
  <si>
    <t>c. They project their own failures onto others</t>
  </si>
  <si>
    <t>d. They look for possible faults in their past behaviour</t>
  </si>
  <si>
    <t>EXAMEN NOV 2012</t>
  </si>
  <si>
    <t>EXAMEN 2000/MP3/Q-01 EXAMEN 2000.mp3</t>
  </si>
  <si>
    <t>EXAMEN 2000/MP3/Q-02 EXAMEN 2000.mp3</t>
  </si>
  <si>
    <t>EXAMEN 2000/MP3/Q-03 EXAMEN 2000.mp3</t>
  </si>
  <si>
    <t>EXAMEN 2000/MP3/Q-04 EXAMEN 2000.mp3</t>
  </si>
  <si>
    <t>EXAMEN 2000/MP3/Q-05 EXAMEN 2000.mp3</t>
  </si>
  <si>
    <t>EXAMEN 2000/MP3/Q-06 EXAMEN 2000.mp3</t>
  </si>
  <si>
    <t>EXAMEN 2000/MP3/Q-07 EXAMEN 2000.mp3</t>
  </si>
  <si>
    <t>EXAMEN 2000/MP3/Q-08 EXAMEN 2000.mp3</t>
  </si>
  <si>
    <t>EXAMEN 2000/MP3/Q-09 EXAMEN 2000.mp3</t>
  </si>
  <si>
    <t>EXAMEN 2000/MP3/Q-10 EXAMEN 2000.mp3</t>
  </si>
  <si>
    <t>EXAMEN 2000/MP3/Q-11 EXAMEN 2000.mp3</t>
  </si>
  <si>
    <t>EXAMEN 2000/MP3/Q-12 EXAMEN 2000.mp3</t>
  </si>
  <si>
    <t>EXAMEN 2000/MP3/Q-13 EXAMEN 2000.mp3</t>
  </si>
  <si>
    <t>EXAMEN 2000/MP3/Q-14 EXAMEN 2000.mp3</t>
  </si>
  <si>
    <t>EXAMEN 2000/MP3/Q-15 EXAMEN 2000.mp3</t>
  </si>
  <si>
    <t>EXAMEN 2000/MP3/Q-16 EXAMEN 2000.mp3</t>
  </si>
  <si>
    <t>EXAMEN 2000/MP3/Q-17 EXAMEN 2000.mp3</t>
  </si>
  <si>
    <t>EXAMEN 2000/MP3/Q-18 EXAMEN 2000.mp3</t>
  </si>
  <si>
    <t>EXAMEN 2000/MP3/Q-19 EXAMEN 2000.mp3</t>
  </si>
  <si>
    <t>EXAMEN 2000/MP3/Q-20 EXAMEN 2000.mp3</t>
  </si>
  <si>
    <t>EXAMEN 2000/MP3/Q-21 EXAMEN 2000.mp3</t>
  </si>
  <si>
    <t>EXAMEN 2000/MP3/Q-22 EXAMEN 2000.mp3</t>
  </si>
  <si>
    <t>EXAMEN 2000/MP3/Q-23 EXAMEN 2000.mp3</t>
  </si>
  <si>
    <t>EXAMEN 2000/MP3/Q-24 EXAMEN 2000.mp3</t>
  </si>
  <si>
    <t>EXAMEN 2000/MP3/Q-25 EXAMEN 2000.mp3</t>
  </si>
  <si>
    <t>EXAMEN 2000/MP3/Q-26 EXAMEN 2000.mp3</t>
  </si>
  <si>
    <t>EXAMEN 2000/MP3/Q-27 EXAMEN 2000.mp3</t>
  </si>
  <si>
    <t>EXAMEN 2000/MP3/Q-28 EXAMEN 2000.mp3</t>
  </si>
  <si>
    <t>EXAMEN 2000/MP3/Q-29 EXAMEN 2000.mp3</t>
  </si>
  <si>
    <t>EXAMEN 2000/MP3/Q-30 EXAMEN 2000.mp3</t>
  </si>
  <si>
    <t>EXAMEN 2000/MP3/Q-31 EXAMEN 2000.mp3</t>
  </si>
  <si>
    <t>EXAMEN 2000/MP3/Q-32 EXAMEN 2000.mp3</t>
  </si>
  <si>
    <t>EXAMEN 2000/MP3/Q-33 EXAMEN 2000.mp3</t>
  </si>
  <si>
    <t>EXAMEN 2000/MP3/Q-34 EXAMEN 2000.mp3</t>
  </si>
  <si>
    <t>EXAMEN 2000/MP3/Q-35 EXAMEN 2000.mp3</t>
  </si>
  <si>
    <t>EXAMEN 2000/MP3/Q-36 EXAMEN 2000.mp3</t>
  </si>
  <si>
    <t>EXAMEN 2000/MP3/Q-37 EXAMEN 2000.mp3</t>
  </si>
  <si>
    <t>EXAMEN 2000/MP3/Q-38 EXAMEN 2000.mp3</t>
  </si>
  <si>
    <t>EXAMEN 2000/MP3/Q-39 EXAMEN 2000.mp3</t>
  </si>
  <si>
    <t>EXAMEN 2000/MP3/Q-40 EXAMEN 2000.mp3</t>
  </si>
  <si>
    <t>8 SELFCORRECTION</t>
  </si>
  <si>
    <t>9 SELFCORRECTION</t>
  </si>
  <si>
    <t>d) &lt;b&gt;Was purchased by subsidy.&lt;/b&gt;</t>
  </si>
  <si>
    <t>1.- Which of the following is &lt;b&gt;true&lt;/b&gt;?</t>
  </si>
  <si>
    <r>
      <t>Police investigating a massive online shopping scam have arrested around 90 people across Romania. The suspects are accused of cheating online shoppers of an estimated $20 million by selling fictitious goods on sites such as eBay and Craigslist.org. Hundreds of victims, most of them in the United States, paid for their purchases, but never received them. &lt;u&gt;</t>
    </r>
    <r>
      <rPr>
        <u/>
        <sz val="11"/>
        <color theme="1"/>
        <rFont val="Calibri"/>
        <family val="2"/>
        <scheme val="minor"/>
      </rPr>
      <t>Prosecutors say the fraudsters used false identities to transfer money back to Romania from abroad&lt;/u&gt;.</t>
    </r>
    <r>
      <rPr>
        <sz val="11"/>
        <color theme="1"/>
        <rFont val="Calibri"/>
        <family val="2"/>
        <scheme val="minor"/>
      </rPr>
      <t xml:space="preserve"> Police searched more than 110 houses in nine cities. They believe an organized crime gang with a broad network posted false adverts for goods such as cars, motorbikes, boats and electronics. An estimated 1,000 shoppers were cheated in the scam. Romanian investigators on the case are working closely with the U.S. authorities.</t>
    </r>
  </si>
  <si>
    <t>b) &lt;b&gt;The post woman has an excess of mail to deliver&lt;/b&gt;</t>
  </si>
  <si>
    <r>
      <t>A national newspaper has been accused of hacking into the mobile phones of crime victims. Journalists at the News of the World have already been caught secretly listening to voicemails of celebs to get stories. z&lt;u&gt;</t>
    </r>
    <r>
      <rPr>
        <u/>
        <sz val="11"/>
        <color theme="1"/>
        <rFont val="Calibri"/>
        <family val="2"/>
        <scheme val="minor"/>
      </rPr>
      <t>But now it seems things might have gone further and police are investigating&lt;/u&gt;.</t>
    </r>
    <r>
      <rPr>
        <sz val="11"/>
        <color theme="1"/>
        <rFont val="Calibri"/>
        <family val="2"/>
        <scheme val="minor"/>
      </rPr>
      <t xml:space="preserve"> In one case, it’s claimed people listened to the messages of parents desperately trying to find their missing daughter.</t>
    </r>
  </si>
  <si>
    <t>c) &lt;b&gt;The situation is being examined&lt;/b&gt;</t>
  </si>
  <si>
    <r>
      <t>The ability to breathe has been restored to mice with spinal cord injuries, in what US researchers describe as a medical first. Human trials could begin soon, which could be “potentially life-changing.” Damage at the top of the spinal cord, around the neck, can interrupt messages to the diaphragm – a layer of muscle involved in breathing. The cord is notoriously resistant to repair. Techniques such as nerve grafts, which worked in the arms and legs, had shown limited success with the spinal cord, doctors said. The spinal cord scars after it is damaged, and molecules prevent nerves repairing and forming new connections. &lt;u&gt;</t>
    </r>
    <r>
      <rPr>
        <u/>
        <sz val="11"/>
        <color theme="1"/>
        <rFont val="Calibri"/>
        <family val="2"/>
        <scheme val="minor"/>
      </rPr>
      <t>The researchers used a nerve graft to form a bridge across the scar&lt;/u&gt;</t>
    </r>
    <r>
      <rPr>
        <sz val="11"/>
        <color theme="1"/>
        <rFont val="Calibri"/>
        <family val="2"/>
        <scheme val="minor"/>
      </rPr>
      <t>at the same time as injecting an enzyme which attacked the inhibitory molecules. Three months later, tests showed the mice had recovered 80-100% of breathing function. Researchers hope to begin trials in humans. &lt;b&gt;</t>
    </r>
    <r>
      <rPr>
        <i/>
        <sz val="11"/>
        <color theme="1"/>
        <rFont val="Calibri"/>
        <family val="2"/>
        <scheme val="minor"/>
      </rPr>
      <t>Note: A ‘scar’ is the result of damaged tissue and the bridge is the means to bypass it.&lt;/b&gt;</t>
    </r>
  </si>
  <si>
    <t xml:space="preserve">d) &lt;b&gt;Researchers have found a way to bypass blemished tissue.&lt;/b&gt;  </t>
  </si>
  <si>
    <t>a) &lt;b&gt;Max Mathews was the first person to select pitch on a computer.&lt;/b&gt;</t>
  </si>
  <si>
    <r>
      <t>School sports days are no longer competitive. That is what popular wisdom would have us believe. Of course, those who claim it most fervently are conveying anger that their right to cause others offence and physical injury is being controlled. But do they have a point? I have just returned from my daughter’s sports day at which she won the 100m sprint. Her school operates a pretty traditional kind of event. But then just because an event doesn’t involve running or jumping, that doesn’t mean it’s not competitive. More recent sports days have consisted of traditional races, which children clearly win or lose</t>
    </r>
    <r>
      <rPr>
        <u/>
        <sz val="11"/>
        <color theme="1"/>
        <rFont val="Calibri"/>
        <family val="2"/>
        <scheme val="minor"/>
      </rPr>
      <t xml:space="preserve">. &lt;u&gt;Children are going to fail at stuff. They do not have to be taught how to do it. But it probably doesn’t hurt them to see that it happens to everyone&lt;/u&gt;. </t>
    </r>
    <r>
      <rPr>
        <sz val="11"/>
        <color theme="1"/>
        <rFont val="Calibri"/>
        <family val="2"/>
        <scheme val="minor"/>
      </rPr>
      <t>And, particularly when the kids who don’t shine in the classroom get a chance to show off in some other arena, I reckon that affording them a moment of glory is an admirable thing.</t>
    </r>
  </si>
  <si>
    <t>c) &lt;b&gt;It does no harm to expose children to failure.&lt;/B&gt;</t>
  </si>
  <si>
    <r>
      <t>When it comes to overhauling the banks, there is one rule: if it isn’t hurting, it isn’t working. Bankers must face some pain if taxpayers are to be made safer and economies more productive. This is not about retribution or vindictiveness, but an acknowledgement of the reality that the scale of the changes to the banking system necessary to avoid a rerun of the great crisis of 2008-09 are big and radical. And this has been a matter of consensus between regulators, central bank chiefs, economists and politicians. In the run-up to the last general election, Vince Cable and George Osborne competed with each other for the prize of being toughest on the banks. Yet, listening to Mr. Osborne’s speech, it was clear that he had nothing to say that would cause any banker much discomfort. He briefed newspapers of his support for a ring fence around the retail operations of big banks</t>
    </r>
    <r>
      <rPr>
        <u/>
        <sz val="11"/>
        <color theme="1"/>
        <rFont val="Calibri"/>
        <family val="2"/>
        <scheme val="minor"/>
      </rPr>
      <t>, &lt;u&gt;so that giant losses from their investment operations would not force the tax payers to step in again.&lt;/u&gt;</t>
    </r>
  </si>
  <si>
    <t>c) &lt;b&gt;Mr. Osborne supports the protection of the tax payer from the banks’ potential losses.&lt;/b&gt;</t>
  </si>
  <si>
    <r>
      <t>The IMF in choosing Christine Lagarde has picked another European Managing Director. It has never picked from outside the continent. Less usually, Europe is the setting for her biggest challenge, the crisis in the euro zone. The IMF and the euro zone countries have been trying to find a way through that does not involve a default by any euro country. It is increasingly difficult to achieve that. In the financial markets, the view is that Greece will at some stage default, or restructure its government debt</t>
    </r>
    <r>
      <rPr>
        <u/>
        <sz val="11"/>
        <color theme="1"/>
        <rFont val="Calibri"/>
        <family val="2"/>
        <scheme val="minor"/>
      </rPr>
      <t>.&lt;u&gt; If it comes to that, Ms. Lagarde’s objective will shift from preventing a restructuring to managing it</t>
    </r>
    <r>
      <rPr>
        <sz val="11"/>
        <color theme="1"/>
        <rFont val="Calibri"/>
        <family val="2"/>
        <scheme val="minor"/>
      </rPr>
      <t>.&lt;/u&gt; The fact that the euro crisis is the IMF’s biggest problem has been used both by supporters and opponents of Ms. Lagarde’s candidature. Ms. Lagarde’s European roots define her other big challenge: her relations with the IMF’s emerging and developing country members.  They have had repeated assurances that the post-war carve up of the IMF and World Bank leadership was over. Ms Lagarde will have to work to persuade the emerging economies that she has their interests at heart.</t>
    </r>
  </si>
  <si>
    <t>a) &lt;b&gt;Ms. Lagarde’s focus as managing director will depend on circumstances.&lt;/b&gt;</t>
  </si>
  <si>
    <t>b)&lt;b&gt; To transport goods&lt;/b&gt;</t>
  </si>
  <si>
    <t>c) &lt;b&gt;More than 50% of hijackings were carried out by Somali pirates in 2009&lt;/b&gt;</t>
  </si>
  <si>
    <t>c) &lt;b&gt;They show great compassion&lt;/b&gt;</t>
  </si>
  <si>
    <r>
      <t xml:space="preserve">&lt;u&gt;President Mahmoud Ahmadinejad claimed today that Iran </t>
    </r>
    <r>
      <rPr>
        <u/>
        <sz val="11"/>
        <color theme="1"/>
        <rFont val="Calibri"/>
        <family val="2"/>
        <scheme val="minor"/>
      </rPr>
      <t xml:space="preserve">has produced its first batch of uranium enriched to a higher level, just two days after it said it began the process as part of its controversial nuclear program.&lt;/u&gt;                                                                                                                                                                                                                                                                           </t>
    </r>
    <r>
      <rPr>
        <sz val="11"/>
        <color theme="1"/>
        <rFont val="Calibri"/>
        <family val="2"/>
        <scheme val="minor"/>
      </rPr>
      <t>The US and some of its allies accuse Tehran of using its civilian nuclear program as a cover to build nuclear weapons but Tehran denies the charge, saying the program is aimed at generating electricity.   Enriching uranium produces fuel for nuclear power plants but can also be used to create material for atomic weapons if enriched to 90% or more.                                                                                                                                                                                                               Iran announced on Tuesday that it was beginning the process of enriching its uranium stockpile to a higher level. The international community reacted by starting the process to impose new sanctions on Iran. Tehran has said it wants to further enrich the uranium –which is still substantially below the 90% plus level used in nuclear warheads – as part of a plan to fuel its research reactor that provides medical isotopes to hundreds of thousands of Iranians undergoing cancer treatment</t>
    </r>
    <r>
      <rPr>
        <u/>
        <sz val="11"/>
        <color theme="1"/>
        <rFont val="Calibri"/>
        <family val="2"/>
        <scheme val="minor"/>
      </rPr>
      <t>. &lt;u&gt;But western countries say Tehran is not capable of turning the material into the fuel rods needed by the reactor</t>
    </r>
    <r>
      <rPr>
        <sz val="11"/>
        <color theme="1"/>
        <rFont val="Calibri"/>
        <family val="2"/>
        <scheme val="minor"/>
      </rPr>
      <t xml:space="preserve"> and fear that Iran wants to enrich the uranium to make nuclear weapons. &lt;/u&gt;</t>
    </r>
  </si>
  <si>
    <t>a) &lt;b&gt;Enriching its uranium supply&lt;/b&gt;</t>
  </si>
  <si>
    <t>b)&lt;b&gt; Don’t believe Iran can prepare the reactor for its designated task&lt;/b&gt;</t>
  </si>
  <si>
    <t>c) &lt;b&gt;Readily accessible&lt;/b&gt;</t>
  </si>
  <si>
    <t>a) &lt;b&gt;They are not carrying electronic gadgets&lt;/b&gt;</t>
  </si>
  <si>
    <t>d)&lt;b&gt; The heat  &lt;/b&gt;</t>
  </si>
  <si>
    <t>b)&lt;b&gt; A comfortable life&lt;/b&gt;</t>
  </si>
  <si>
    <t xml:space="preserve">d) &lt;b&gt;One of five women who have been nominated for an Oscar&lt;/b&gt; </t>
  </si>
  <si>
    <t>a) &lt;b&gt;Won awards for best and worst actress&lt;/b&gt;</t>
  </si>
  <si>
    <t>b)&lt;b&gt; Are a form of assistance to the police&lt;/b&gt;</t>
  </si>
  <si>
    <t>d) &lt;b&gt;They sometimes punish robbers themselves&lt;/b&gt;</t>
  </si>
  <si>
    <t>c) &lt;b&gt;He is surprisingly warm and friendly&lt;/b&gt;</t>
  </si>
  <si>
    <t>d) &lt;b&gt;Make decisions together&lt;/b&gt;</t>
  </si>
  <si>
    <t>b) &lt;b&gt;Tolerates the Roma&lt;/b&gt;</t>
  </si>
  <si>
    <t>d) &lt;b&gt;The Roma are not exempt from financial assistance&lt;/b&gt;</t>
  </si>
  <si>
    <t>a)&lt;b&gt; Has been met with conflicting viewpoints&lt;/b&gt;</t>
  </si>
  <si>
    <t>c) &lt;b&gt;They may mix with traditional crops&lt;/b&gt;</t>
  </si>
  <si>
    <r>
      <t>An explosion in the population of the predatory lionfish in Caribbean waters, where it has no natural predators, is posing a widespread threat to marine wildlife. In 2008 the first lionfish was spotted at Bloody Bay on Little Cayman. One year later, there were hundreds, and now thousands. And they have gone south as far as Venezuela. “This isn’t just an invasion,” explained Dr. Carrie Manfrino, Research Director at the Central Caribbean Marine Institute. -This is an explosion. No invasive tropical fish species has ever survived so successfully outside its own home ecosystem like this.-  &lt;u&gt;</t>
    </r>
    <r>
      <rPr>
        <u/>
        <sz val="11"/>
        <color theme="1"/>
        <rFont val="Calibri"/>
        <family val="2"/>
        <scheme val="minor"/>
      </rPr>
      <t>Regular diving expeditions to cull lionfish have been authorized by Cayman Islands Department of the Environment in collaboration with the Institute. But no-one is sure that anyone can catch enough lionfish to make a difference&lt;/u&gt;.</t>
    </r>
    <r>
      <rPr>
        <sz val="11"/>
        <color theme="1"/>
        <rFont val="Calibri"/>
        <family val="2"/>
        <scheme val="minor"/>
      </rPr>
      <t xml:space="preserve"> One study in the Bahamas showed that lionfish reduced native species populations on one reef by almost 80%.</t>
    </r>
  </si>
  <si>
    <t>b) &lt;b&gt;The prospect of reducing the lionfish population remains in doubt.&lt;/b&gt;</t>
  </si>
  <si>
    <t>c) &lt;b&gt;The professed merchants used counterfeit credentials &lt;/b&gt;</t>
  </si>
  <si>
    <r>
      <t>A Libyan-owned &lt;u&gt;</t>
    </r>
    <r>
      <rPr>
        <u/>
        <sz val="11"/>
        <color theme="1"/>
        <rFont val="Calibri"/>
        <family val="2"/>
        <scheme val="minor"/>
      </rPr>
      <t>merchant cargo ship&lt;/u&gt;</t>
    </r>
    <r>
      <rPr>
        <sz val="11"/>
        <color theme="1"/>
        <rFont val="Calibri"/>
        <family val="2"/>
        <scheme val="minor"/>
      </rPr>
      <t xml:space="preserve"> named ‘The Rim’, flying the North Korean flag, has been hijacked by Somali pirates in the Gulf of Aden, according to the European Union naval coalition in the gulf.                                                                                                                                                                       European naval officers said the pirates seized ‘The Rim’ off the southern coast of Yemen and were taking it to the Somali Basin. The ship was not registered with the European Union’s force which escorts ships from the World Food Program delivering humanitarian aid. The European flotilla also conducts antipiracy patrols in the gulf and the waters off Somalia. A piracy monitoring group said that the vessel usually carries a crew of 17, and -based on outdated crew lists it could be assumed that they are holding Romanian and Libyan nationalities.- Somali pirates attacked 217 ships last year, according to the Piracy Reporting Centre. There were 47 successful hijackings, with 867 crew members being taken hostage. &lt;U&gt;</t>
    </r>
    <r>
      <rPr>
        <u/>
        <sz val="11"/>
        <color theme="1"/>
        <rFont val="Calibri"/>
        <family val="2"/>
        <scheme val="minor"/>
      </rPr>
      <t>Somali attacks accounted for more than half of all hijackings worldwide last year&lt;/u&gt;,</t>
    </r>
    <r>
      <rPr>
        <sz val="11"/>
        <color theme="1"/>
        <rFont val="Calibri"/>
        <family val="2"/>
        <scheme val="minor"/>
      </rPr>
      <t xml:space="preserve"> the bureau said, with the numbers of attacks and hijackings both rising sharply compared to 2008. &lt;b&gt;</t>
    </r>
    <r>
      <rPr>
        <i/>
        <sz val="11"/>
        <color theme="1"/>
        <rFont val="Calibri"/>
        <family val="2"/>
        <scheme val="minor"/>
      </rPr>
      <t>Note: ‘Last year’ refers to 2009 as the article is dated 2010.&lt;/b&gt;</t>
    </r>
  </si>
  <si>
    <t>a) is used to prevent gatherings of teenagers</t>
  </si>
  <si>
    <t>b) has been proven to be a health hazard</t>
  </si>
  <si>
    <t>a) was accused of breaking a pedicure chair</t>
  </si>
  <si>
    <t>b) was unsatisfied with the treatments</t>
  </si>
  <si>
    <t>c) was charged for services she never received</t>
  </si>
  <si>
    <t>d) was asked by the manageress never to come back</t>
  </si>
  <si>
    <t>a) was unfortunate on his 13th birthday</t>
  </si>
  <si>
    <t>b) was holding an umbrella.</t>
  </si>
  <si>
    <t>c) was treated for burns at the hospital</t>
  </si>
  <si>
    <t>d) was attending an aviation event.</t>
  </si>
  <si>
    <t>a) explained that he would return soon.</t>
  </si>
  <si>
    <t>b) needed no help to escape from the bull.</t>
  </si>
  <si>
    <t>c) was cheered on by the spectators.</t>
  </si>
  <si>
    <t>d) left part of his clothing in the bullring.</t>
  </si>
  <si>
    <t>a) The hat had a plastic soldier with binoculars.</t>
  </si>
  <si>
    <t>b) The boy was proud of American soldiers.</t>
  </si>
  <si>
    <t>c) The plastic soldiers did not look like Americans.</t>
  </si>
  <si>
    <t>d) The principal banned the boy from school.</t>
  </si>
  <si>
    <t>b) wants to stop government aid being spent on soft drinks.</t>
  </si>
  <si>
    <t>c) wants to ban soft drinks as they can cause obesity.</t>
  </si>
  <si>
    <t>d) has started a campaign to fight against diabetes.</t>
  </si>
  <si>
    <t>a) The woman gave the police a poor description of the thief.</t>
  </si>
  <si>
    <t>b) Town residents recognized the thief because of his hair.</t>
  </si>
  <si>
    <t>c) Police released a photo of the wrong suspect.</t>
  </si>
  <si>
    <t>d) Despite some problems, the man in the photo was recognizable.</t>
  </si>
  <si>
    <t>b) The plumbers found her rings in three feet of water.</t>
  </si>
  <si>
    <t>c) The technicians found the wedding band and her earrings.</t>
  </si>
  <si>
    <t>a) used a big stick to threaten his neighbor.</t>
  </si>
  <si>
    <t>c) was confronted while tidying up his backyard.</t>
  </si>
  <si>
    <t>d) was asked to return the bananas he had stolen.</t>
  </si>
  <si>
    <t>a) the sheriff had to wait for the teen to show up.</t>
  </si>
  <si>
    <t>b) the sheriff called the parents before meeting with the teen.</t>
  </si>
  <si>
    <t>d) the teen thought he was meeting with a drug dealer.</t>
  </si>
  <si>
    <t>b) have difficulties combining childcare with work.</t>
  </si>
  <si>
    <t>c) are not usually thoroughly informed about childcare.</t>
  </si>
  <si>
    <t>d) get lots of external pressure about childcare.</t>
  </si>
  <si>
    <t>a) The bad parenting habits that still persist.</t>
  </si>
  <si>
    <t>b) The additives found in baby food.</t>
  </si>
  <si>
    <t>c) The reduction in social welfare.</t>
  </si>
  <si>
    <t>d) The stress that parents pass on to babies.</t>
  </si>
  <si>
    <t>a) politicians are not realistic enough about budgeting.</t>
  </si>
  <si>
    <t>c) there is no room for more cuts in public services</t>
  </si>
  <si>
    <t>d) an expert team should be in charge of balancing the budget.</t>
  </si>
  <si>
    <t>a) indignant.</t>
  </si>
  <si>
    <t>b) objective.</t>
  </si>
  <si>
    <t>c) despondent.</t>
  </si>
  <si>
    <t>d) alarmist.</t>
  </si>
  <si>
    <t>a) are necessary to preserve the welfare state.</t>
  </si>
  <si>
    <t>b) are conducive to reducing debts for future generations.</t>
  </si>
  <si>
    <t>d) particularly punish families with children.</t>
  </si>
  <si>
    <t>a) They will eventually benefit from the current cutbacks.</t>
  </si>
  <si>
    <t>b) Their prospects for the future are rather dismal.</t>
  </si>
  <si>
    <t>c) They will be used to austerity when they grow up.</t>
  </si>
  <si>
    <t>d) Their expectations will be lower than those of today’s adults’.</t>
  </si>
  <si>
    <t>a) the former would suffer a terrible defeat.</t>
  </si>
  <si>
    <t>b) the former would win in the long run.</t>
  </si>
  <si>
    <t>c) the latter would try to invade U.S. territory.</t>
  </si>
  <si>
    <t>d) the latter would attack U.S. allies in Asia</t>
  </si>
  <si>
    <t>a) Because of their mutual economic dependence.</t>
  </si>
  <si>
    <t>b) Because of their fear of each other.</t>
  </si>
  <si>
    <t>c) Because of their supremacy on the world market.</t>
  </si>
  <si>
    <t>d) Because of their collaboration in the economic field.</t>
  </si>
  <si>
    <t>a) leads to better decision-making.</t>
  </si>
  <si>
    <t>b) increases efficiency in the Armed Forces.</t>
  </si>
  <si>
    <t>c) improves motivation among leaders</t>
  </si>
  <si>
    <t>d) leads to difficult choices.</t>
  </si>
  <si>
    <t>a) It leaves little room for improvement by learning from failure</t>
  </si>
  <si>
    <t>b) It leaves little room for a humane approach</t>
  </si>
  <si>
    <t>c) It leads to rigid application of military laws.</t>
  </si>
  <si>
    <t>d) It leads to an increase of complaints about petty mistakes.</t>
  </si>
  <si>
    <t>b) asserts that they pursue a political aim.</t>
  </si>
  <si>
    <t>c) thinks that they are intended to protect bad teachers.</t>
  </si>
  <si>
    <t>d) agrees that they articulate an existing social divide.</t>
  </si>
  <si>
    <t>a) is vital for improving quality at British schools.</t>
  </si>
  <si>
    <t>c) unjustly blames society for bad teaching results.</t>
  </si>
  <si>
    <t>d) should put forward solutions instead of criticising.</t>
  </si>
  <si>
    <t>b) be careful with comments about women.</t>
  </si>
  <si>
    <t>c) defend them against sexist comments.</t>
  </si>
  <si>
    <t>d) open their eyes to sexual discrimination.</t>
  </si>
  <si>
    <t>a) suggests that society's behavior hasn't evolved enough.</t>
  </si>
  <si>
    <t>b) thinks that we have already come a long way.</t>
  </si>
  <si>
    <t>c) laments that we see signs of it in old traditions</t>
  </si>
  <si>
    <t>d) fears that it will never be completely eradicated.</t>
  </si>
  <si>
    <t>a) might not appeal as much to fantasy fans as expected.</t>
  </si>
  <si>
    <t>b) introduces unjustified changes regarding the book.</t>
  </si>
  <si>
    <t>c) follows the recipe for success of former TV series.</t>
  </si>
  <si>
    <t>d) makes innovations that will change the genre of fantasy TV.</t>
  </si>
  <si>
    <t>a) finds the series too demanding on viewers.</t>
  </si>
  <si>
    <t>b) criticises the series for starting in the midst of things.</t>
  </si>
  <si>
    <t>c) says that the series surpasses the books in quality.</t>
  </si>
  <si>
    <t>d) suggests that viewers might get immediately hooked.</t>
  </si>
  <si>
    <t>a) He finds them excessive.</t>
  </si>
  <si>
    <t>b) He finds them positive.</t>
  </si>
  <si>
    <t>c) He expresses no opinion.</t>
  </si>
  <si>
    <t>d) He wants to wait and find out more.</t>
  </si>
  <si>
    <t>a) Nation-wide coordinated immigration policies.</t>
  </si>
  <si>
    <t>b) More liberty for states to design their own policies.</t>
  </si>
  <si>
    <t>c) A realistic analysis of the situation in the country.</t>
  </si>
  <si>
    <t>d) Laws that protect the interests of U.S. citizens.</t>
  </si>
  <si>
    <t>a) has opened up a divide between right and left wing governments.</t>
  </si>
  <si>
    <t>b) is an example of centralised European overregulation.</t>
  </si>
  <si>
    <t>c) shows the benefits of a common European policy.</t>
  </si>
  <si>
    <t>d) is necessary to expand the single European market.</t>
  </si>
  <si>
    <t>a) We should not hastily throw away historical rights.</t>
  </si>
  <si>
    <t>b) Workers need to be protected from exploitation.</t>
  </si>
  <si>
    <t>c) Workers should have more freedom of decision.</t>
  </si>
  <si>
    <t>d) We need a model that combines protection and productivity.</t>
  </si>
  <si>
    <t>5.- According to the article, which statement is true?</t>
  </si>
  <si>
    <t>2.- According to the text, Michelle Fonville</t>
  </si>
  <si>
    <t>7.- According to the article, which statement is true?</t>
  </si>
  <si>
    <t>8.- According to the article, which statement is true?</t>
  </si>
  <si>
    <t>20.- Which of the following drawbacks of a “zero defects” mentality does the author mention?</t>
  </si>
  <si>
    <t>28.- According to the author, what does the U.S. need regarding immigration policies?</t>
  </si>
  <si>
    <t>EXAMEN 1000</t>
  </si>
  <si>
    <t>1.- According to the article, the device</t>
  </si>
  <si>
    <t>3.- According to the article, the boy</t>
  </si>
  <si>
    <t>4.- According to the article, the bullfighter</t>
  </si>
  <si>
    <t>6.- According to the article, Michael Bloomberg</t>
  </si>
  <si>
    <t>9.- According to the article, Winthorp</t>
  </si>
  <si>
    <t>10.- According to the article</t>
  </si>
  <si>
    <t>11.- According to the author, modern parents</t>
  </si>
  <si>
    <t>13.- The author implies that</t>
  </si>
  <si>
    <t>15.- According to the author, the current budgetary policies</t>
  </si>
  <si>
    <t>17.- In the author’s opinion, in the case of a war between U.S. and China</t>
  </si>
  <si>
    <t>19.- According to the writer, a RIF program</t>
  </si>
  <si>
    <t>21.- Regarding Ms. Bousted’s views on class and schools, the writer</t>
  </si>
  <si>
    <t>29.- According to the author, the WTD</t>
  </si>
  <si>
    <t>14.- The tone of this text can be considered</t>
  </si>
  <si>
    <t>22.- The writer suggests that the ATL</t>
  </si>
  <si>
    <t>24.- Regarding sexism, the author</t>
  </si>
  <si>
    <t>26.- The author</t>
  </si>
  <si>
    <t>d) targets teenagers misbehaving in schools</t>
  </si>
  <si>
    <t>c) doesn't affect babies.</t>
  </si>
  <si>
    <t>a) The woman's wedding ring was missing.</t>
  </si>
  <si>
    <t>c) the teen fainted after seeing the sheriff's uniform.</t>
  </si>
  <si>
    <t>a) don't pay enough attention to baby nutrition.</t>
  </si>
  <si>
    <t>16.- How does the author envisage the future of today's children?</t>
  </si>
  <si>
    <t>18.- In the author's opinion, why is an armed conflict between both countries extremely
unlikely?</t>
  </si>
  <si>
    <t>a) finds that they don't correspond to reality.</t>
  </si>
  <si>
    <t>b) defends the teachers' rather than the pupils' interests.</t>
  </si>
  <si>
    <t>a) refrain from praising other women's beauty.</t>
  </si>
  <si>
    <t>30.- Which of the following reflects the author's statements about the labour market?</t>
  </si>
  <si>
    <t>Are Germans ruder than the British? Are Britons more dishonest than Germans? Serious academic research has been done on both sides of the North Sea. There are Britons in Berlin who are shocked by the directness of Germans. And there are Germans who get really annoyed when Britons, in an attempt to be friendly, say things they don’t really mean. Some Germans call this ‘lying’. Professor Juliane Haus has studied groups of people interacting in controlled situations. She found that Germans don’t do small talk, those little phrases so familiar to the British about the weather or a person’s well-being .So does this mean the British are more polite? No, just different. For their part, the British have what Haus calls the ‘etiquette of simulation’. The British feign an interest in someone. “Saying things like: ‘It’s nice to meet you’ are rarely meant the way they are said,” she says. From a German perspective, this is uncomfortably close to deceit.</t>
  </si>
  <si>
    <t>The wheels of justice tend to be slow but arrests can happen with lightening speed- and what happens next can be crucial. In searches, seizure and interrogation, things can go badly wrong. At that moment, a lawyer might help keep things from getting out of hand. But getting that lawyer is no easy thing, said Chris Miles, who co-founded a company, Lawyer Up, to get lawyers on the case within 15 minutes. The company he co-founded recently started full operations in several states, having built a roster of criminal lawyers who do not mind getting late-night calls. The service’s personal plan costs $4.95 a month. Those who do not have a subscription can pay a fee of $100 for the first call, which the company calls its ‘pay-in-a-pinch plan’. Lawyers do not pay to sign on the roster or for the client calls.</t>
  </si>
  <si>
    <t>Lieutenant General James Terry: “I’d like to start by saying thanks for the opportunity to talk to everyone tonight. Now, the insurgents, while still threatening and deadly, are trying hard to stay relevant at this time. What is important is that the insurgents’ position with the people of Afghanistan is continually eroding. The international community has expressed its commitment to stand by the Afghan people well after 2014 and into this decade of transformation. But more importantly, the insurgency is facing a progressively more capable Afghan National Security Force, which is bearing every day an increasingly larger burden as it moves into the lead for security here in Afghanistan. The insurgent-led campaign is killing and maiming the Afghan population at an alarming rate. Their intimidation/assassination campaign is working against them, their leadership is under constant pressure and their resources are strained. The majority of Afghans are tired of war, and more importantly, they are tired of an insurgency that attempts to control them by limiting their education, controlling their freedom of movement and intimidating them.</t>
  </si>
  <si>
    <t>Slovakia’s brown bears are a rare conservation triumph, but their growing number has forced some of them to swap forest life for a more urban setting. Until recently, getting a glimpse of a European brown bear would mean venturing deep into Slovakia’s mountainous forests. But now close encounters with these animals increasingly are happening much closer to home. After they were hunted almost to extinction in the 1930’s, the bears have made a big comeback and the boost in numbers has meant that some curious bears have started to take an interest in village life. But for the people living in the High Tatras village area, these new visitors are not welcome. The Mayor of the village explains: “The people are scared and they are coming to complain everyday. I think some controlled shooting is necessary.” But conservationists say killing problem bears is not the answer. Instead they want to study them.</t>
  </si>
  <si>
    <t>The American security manufacturer Armor Holdings has paid a $16 million fine to settle bribery charges. From 2001 to 2006, Armor Holdings paid a UN official to help it deliver a contract to supply body armor for UN peacekeepers, according to US authorities. The alleged misconduct happened before the company was acquired by British defense giant BAE Systems in 2007. BAE said it had “cooperated extensively in the investigation.” “It is important to acknowledge that all of the matters in question occurred well before Armor’s acquisition by BAE Systems,” spokesman Brian Roehrkasse told the BBC in an emailed statement. Florida-based Armor Holdings agreed to pay the fines in order to avoid facing criminal prosecution on charges brought by the US Department of Justice and the Securities and Exchange Commission. (SEC)</t>
  </si>
  <si>
    <t>Seventeen lost pyramids are among the buildings identified in a new satellite survey of Egypt. More than 1,000 tombs and 3,000 ancient settlements were also revealed by looking at infra-red images which show up underground buildings. Initial excavations have already confirmed some of the findings, including two suspected pyramids. The work has been pioneered at the University of Alabama by US Egyptologist Dr. Sarah Parcak. Her team analyzed images from satellites orbiting 700km above the earth, equipped with cameras so powerful they can pinpoint objects less than 1m in diameter on the earth’s surface. Ancient Egyptians built their houses and structures out of mud brick, which is much denser than the soil that surrounds it, so the shapes of houses, temples and tombs can be seen.</t>
  </si>
  <si>
    <t>Singapore Airlines (SIA) has said it plans to start a budget carrier flying across longer distances. The new airline will start operating with a year, using wide-body aircraft to ferry passengers. Other details, such as its name, planned routes and ticket prices, have not been revealed. The budget carrier is expected to compete with long- haul, cut-price Asian airlines operated by Australia’s Qantas and Malaysia’s Air Asia. “As we have observed on short-haul routes within Asia, low-fare airlines help stimulate demand for travel,” Goh Choon Phong, chief executive of SIA, said in a statement. “We expect this will also prove true for longer flights.” Short-haul flights generally last less than four hours, while long-haul flights go greater distances. The new subsidiary will be based in Singapore and will be owned by SIA but it will be operated independently and managed separately from the flag carrier.</t>
  </si>
  <si>
    <t>Union members at Eton College, David Cameron’s former school, have agreed to ‘minimize’ strike disruption for pupils. Cameron told public sector workers that strikes were “wrong-for you, the people you serve, for the good of the country,” in a last ditch attempt to avert a mass walkout by members of four unions. But it emerged that around 70 teachers at Eton are members of the Association of Teachers and Lecturers, which is taking industrial action for the first time in its history. The prospect of a walkout by teachers at Britain’s most expensive public school, in the face of pension changes proposed by a government that currently includes several former pupils, would have been embarrassing for the Prime Minister. Efforts to contact a union rep at the college failed, but Tony Little, the Eton headmaster, issued a statement which read: ‘Members of ATL met over the weekend, and have taken the view that they wish to minimize disruption but take the pensions issue forward by other means.</t>
  </si>
  <si>
    <t>Bob Burns of the Associated Press: “Today the Afghan Ministry of Defense said that it has removed hundreds of members of the Afghan National Security Forces (ANSF) after having checked their backgrounds again. You said you’re committed to stopping insider attacks. Is it really possible to stop them entirely?                                                                                                                 Lieutenant General Terry: “As I said, the entire leadership of Afghanistan is seized by this and committed to stopping it, from the President on down. What this is moving toward specifically is implementing improvements in their vetting system-their vetting system that’s been established. It’s also caused them the re-look back to their procedures and then re-look at a number of individuals. In other words, we’re starting to re-look at a number of individuals out there and improve the vetting process. In addition to that, they’re looking at increased efforts to improve the living conditions for their soldiers and also how they prepare their soldiers for leave periods, and then how they address those soldiers once they return from leave.</t>
  </si>
  <si>
    <t xml:space="preserve">The first –known occurrence of an oral infection has been found in a 275-million-year-old fossil: The ‘L hamatus’ fossil, whose detailed analysis shows signs of an abscess. The animal was among the first to have just one set of teeth, rather than continuously replacing them. The adaptation to a plant –based diet would have made them more susceptible, as humans are, to tooth decay and loss. L hamatus was one of the first fully terrestrial reptiles, and with the evolution from a water to land-based life came a change in diet. For millions of years, the animal’s predecessors had teeth that continuously replaced themselves; new teeth grew into the inner side of the jaw and, when the loosely-connected outer teeth fell out, rose up to take their place. However, the diet of tough plant matter that land-based reptiles began to eat did not lend itself to weak teeth, so animals like L hamatus over millions of years evolved more deeply-anchored teeth. </t>
  </si>
  <si>
    <t>Politics are back but for the moment at least economics is on hold. The new parliament is functioning but the massive shift in economic policy that is about to occur is not yet upon us. We know that x billions have to come out of public spending and/or be added to taxation. But we cannot quite think through what this might mean.                                                                                                                                                           Even the structure of the debate has yet to take shape. We are still hearing the political language of the past. The Government was in the position of an employee in a steady job, knowing he or she would get regular increases in the monthly salary even allowing for inflation. So the decisions were about apportioning that salary in a sensible way.                                                                                                                                                     So what will happen? Well, just as we will stumble towards new institutional arrangements to control our deficit, our politicians will stumble towards a new language to explain the changed nature of government. If the amount you can spend is going down, not up, you have to explain what governments can and cannot do. You could, I suppose blame your predecessors, but that does not really help. No, you have to explain why the proposition underlying Western politics since the Second World War –that governments can go on providing more services without significantly higher taxes – is wrong. That game is over. Demography and debts have ended it forever.</t>
  </si>
  <si>
    <t xml:space="preserve">Beneath the forests of western Canada lies the tarry rock that is one of America’s top sources of imported oil. There is no chance of a rig blowout here, or a deepwater oil spill like the one from the BP well that fouled the Gulf of Mexico. But the oil extracted from Canada’s oil sands poses other environmental challenges, like toxic sludge ponds, greenhouse gas emissions and the destruction of boreal forests.                                                                                                                                      Oil sands are now getting more scrutiny as the Obama administration reviews a Canadian company’s request to build a new 2,000-mile underground pipeline that would run from Alberta to the Texas Gulf Coast and would significantly increase America’s access to the oil. In making the decision, federal officials are weighing the environmental concerns against the need to secure a reliable supply of oil to help satisfy the nation’s insatiable thirst. In a world in which so many oil-producing nations are far away, unstable or hostile to the United States, Canadian oil sands hold great political appeal. “It is undeniable that having a large supply of crude oil available by pipeline from a friendly neighbor is extremely valuable to the energy security of the United States,” a spokesperson said. </t>
  </si>
  <si>
    <t>The complaint says that from July 2007 to September 2009, the doctor, Anthony Galea, illegally distributed human growth hormone and the unapproved drug Actovegin to various athletes. It says that Galea also made false statements to federal authorities.                                                Galea has said Tiger Woods and Alex Rodriguez were among his patients, and he has maintained that he never provided performance-enhancing drugs to them or any other athlete.                                                                                                                                                           However, Galea’s assistant, who is cooperating with federal authorities, created a potentially troublesome issue for Rodriguez in her statements to the authorities, according to a person briefed on the investigation.                                                                                                                     According to that person, the assistant said that Galea injected Rodriguez with a cocktail of drugs on at least one occasion, although its ingredients were not known. In the complaint, the assistant says that Galea treated a number of athletes with a cocktail that included H.G.H., which is banned as a performance-enhancing drug by football, baseball and golf. But nothing in the complaint specifically links that assertion to Rodriguez.                                                                                The person spoke on the condition of anonymity so as not to jeopardize access to sensitive information.</t>
  </si>
  <si>
    <t xml:space="preserve">There we sat, five paddlers in three canoes on the Colorado River in northern Arizona, simply observing. The still surface of the river so perfectly mirrored the cliffs and sky that it was hard to know where the river ended and the cliffs began. Though in some ways this 15-mile stretch of river with its sandy beaches, rich archaeological history and unspoiled scenery is a dead ringer for parts of the Grand Canyon farther downriver, there are some key differences – most notably that it’s about 200 miles shorter than the Grand Canyon trip, requires no special permits and is significantly more tranquil, with none of the boat-tossing rapids that can occur downriver. So while a trip down the Colorado through the Grand Canyon takes at least a week to float, requires a permit that can take years to win and includes some fierce rapids, this leg only takes a day or two and is perfect for beginner boaters.                                                                                                                                                    Yet sandwiched between Lake Powell and the Grand Canyon – two of the Southwest’s most popular destinations – this stretch of flat water is often forgotten by kayakers, rafters and canoeists. And it’s easy to get to. Instead of heading downstream from Lee’s Ferry, where most river trips through the Grand Canyon begin, you go upstream instead. </t>
  </si>
  <si>
    <t xml:space="preserve">There are a number of potential reactions to the recent news that the constituency of Brighton Pavilion has elected Britain’s first ever Green MP, party leader Caroline Lucas. If you voted for her, you’re entitled to feel a little smug about making political history. For others, news of her election will undermine the view of Brighton as a kind of British equivalent of San Francisco: a bohemian city with a massive gay population and a penchant for alternative free-thinking. While for Londoners, the news was presumably greeted with little more than a shrug.                                                                                                                                                                  In fairness, her victory was more complicated and hard-fought than that suggests. Brighton Pavilion is a diverse constituency. It includes Hanover, home to a lot of students and commuters who left London for something a little more Soil Association Certified –and the North Laines, the town’s bohemian hub, where The Body Shop opened it first branch and where today you can find a shop called Bell Book and Candle, which dominates the local market in the sale of rune and casting stones. </t>
  </si>
  <si>
    <t>a) Britons find Germans to be dishonest</t>
  </si>
  <si>
    <t>b) Germans are more likely to enjoy chatting</t>
  </si>
  <si>
    <t>c) Britons are more polite than Germans</t>
  </si>
  <si>
    <t>d) To Britons, Germans appear to be blunt</t>
  </si>
  <si>
    <t>a) It was founded because there is an abundance of criminal lawyers</t>
  </si>
  <si>
    <t>b) It is not necessary to have a subscription to use its services</t>
  </si>
  <si>
    <t>c) It is still in the planning stages</t>
  </si>
  <si>
    <t>d) Lawyers contribute to the cost of running the company</t>
  </si>
  <si>
    <t>a) They are under control</t>
  </si>
  <si>
    <t>b) They are losing local support</t>
  </si>
  <si>
    <t>c) They have infiltrated the Afghan Security Force</t>
  </si>
  <si>
    <t>d) They have limited education</t>
  </si>
  <si>
    <t>a) Villagers are enticing the bears to come to the village</t>
  </si>
  <si>
    <t>b) The bears have reappeared after previous danger of eradication</t>
  </si>
  <si>
    <t>c) It was previously easy to encounter a European brown bear</t>
  </si>
  <si>
    <t>d) The bears are currently close to extinction</t>
  </si>
  <si>
    <t>a) A UN official has been fined for bribery</t>
  </si>
  <si>
    <t>b) BAE Systems has been charged with bribery</t>
  </si>
  <si>
    <t>c) Armor Holdings will not be tried for criminal activities</t>
  </si>
  <si>
    <t xml:space="preserve">d) Armor Holdings will be prosecuted in court                                                                    </t>
  </si>
  <si>
    <t>a) Seventeen lost pyramids have been unearthed</t>
  </si>
  <si>
    <t>b) As of yet, none of the findings have been dug up</t>
  </si>
  <si>
    <t>c) Some of the satellite images have proven incorrect</t>
  </si>
  <si>
    <t>d) It was possible to discern the forms of the buildings</t>
  </si>
  <si>
    <t>a) Has announced details of its services</t>
  </si>
  <si>
    <t>b) Will be administered by Singapore Airlines</t>
  </si>
  <si>
    <t>c) Will only be available for short flights</t>
  </si>
  <si>
    <t xml:space="preserve">d) Is predicted to encourage travel </t>
  </si>
  <si>
    <t>a) The teachers have agreed to call off the strike</t>
  </si>
  <si>
    <t>b) British government ministers are sympathetic to the strike</t>
  </si>
  <si>
    <t>c) The teachers will not capitulate over the matter of their pensions</t>
  </si>
  <si>
    <t>d) During the last strike by Eton teachers, there was a mass walkout</t>
  </si>
  <si>
    <t>a) The ANSF soldiers will be able to apply for extended leave</t>
  </si>
  <si>
    <t>b) The ANSF soldiers have complained about their living conditions</t>
  </si>
  <si>
    <t>c) The Afghan leadership is non-committal regarding insider attacks</t>
  </si>
  <si>
    <t xml:space="preserve">d) The system for checking ANSF soldiers’ backgrounds will be improved </t>
  </si>
  <si>
    <t xml:space="preserve">d) They started to live on the land  </t>
  </si>
  <si>
    <t>It was Milan Kundera who warned young lovers to beware how they behaved in their first nights together. For the pattern they established in those initial hours would govern them ever after. The Czech novelist advised the beau, intoxicated with romance, to hesitate before bringing his belle breakfast in bed: every morning afterwards that he provided no such treat would count as disappointment. Without even realizing it, the lovers were drafting the “unwritten conventions” of their future relationship. Apparently filled with the spontaneity of love and desire, a newly joined man and woman were instead “like the most hard-nosed of lawyers” drawing up “the fine print” of the contract between them.                                                                           Such a warning would seem to apply most naturally to David Cameron and Nick Clegg, already widely likened to a couple joined in civil, if not matrimonial, harmony. In fact, though, Kundera’s advice speaks to Labor as much as the Conservatives. All need to tread carefully through the immediate, post election period. Decisions they take now, when everything appears so flexible, could harden and congeal.</t>
  </si>
  <si>
    <r>
      <t>O, the small-hour doubts and the troubled manhood of so many American men who didn’t go to Vietnam when they could have – the strange guilt they seem to feel when they confront Vietnam veterans. Strange: there were some cheaters and liars, but all that most of them did was exercise their legal rights. They had a right to avoid the draft with academic deferments, occupational deferments and medical deferments obtained from doctors noted for their artistry in taking X-rays of dangerous deformities. They were entitled to get married and sire a child that could bring them a 3-A hardship deferment. Couldn’t these men argue that they had a moral obligation not to fight in an immoral, pointless war?                                                                                                                            As a marine (and a Vietnam veteran of no distinction whatsoever) I’ve run into men who told me they’d been in the Marines too. Always happy to meet a fellow Marine, I’d ask what unit they served in. “Oh, I was in….the 173</t>
    </r>
    <r>
      <rPr>
        <vertAlign val="superscript"/>
        <sz val="11"/>
        <color theme="1"/>
        <rFont val="Calibri"/>
        <family val="2"/>
        <scheme val="minor"/>
      </rPr>
      <t>rd</t>
    </r>
    <r>
      <rPr>
        <sz val="11"/>
        <color theme="1"/>
        <rFont val="Calibri"/>
        <family val="2"/>
        <scheme val="minor"/>
      </rPr>
      <t>....”Except there is no 173</t>
    </r>
    <r>
      <rPr>
        <vertAlign val="superscript"/>
        <sz val="11"/>
        <color theme="1"/>
        <rFont val="Calibri"/>
        <family val="2"/>
        <scheme val="minor"/>
      </rPr>
      <t>rd</t>
    </r>
    <r>
      <rPr>
        <sz val="11"/>
        <color theme="1"/>
        <rFont val="Calibri"/>
        <family val="2"/>
        <scheme val="minor"/>
      </rPr>
      <t xml:space="preserve"> in the Marine Corps. I’ve felt embarrassed for them and wondered how empty their lives were that they’d tell such a lie. The fact is that regardless of whether a war was moral, justified, won or meaningful, having served in one – particularly in combat – confers prestige.</t>
    </r>
  </si>
  <si>
    <t xml:space="preserve">China’s census shows its population grew to 1.34 billion people by 2010, with a sharp rise in those over 60. Nearly half of all Chinese now live in cities. But the figures reveal that China’s population is growing more slowly than in the past. That could affect the economy, as the number of potential workers, especially from rural areas, could shrink.                                               When China carried out its first census in 1953 it had a population of 594 million, less than half the current figure. This census, the first in ten years, comes after a decade of rapid economic growth that has led to significant social change. The results revealed that almost half of all Chinese – 49.7% of the population – now live in cities, up from about 36% ten years ago. Many have been drawn to jobs in China’s factories and coastal industrial zones. The census for the first time counted migrant workers where they were living, rather than where they were registered. It found more than 220 million Chinese had worked away from home for over six months in 2010, almost double the previous figure.                                                                                                                        The government’s strict controls on family size, including its one-child policy for urban families, have reduced annual population growth to below 1%. As it currently stands, most urban couples are limited to one child and rural families to two. </t>
  </si>
  <si>
    <t>Earlier this year, New York Mayor, Michael Bloomberg announced a number of initiatives that are intended to help immigrant-owned enterprises get started and grow, among them a business plan competition and free business courses in Chinese, Korean, Spanish and Russian. In New York, immigrants represent 49% of self-employed workers. Nationwide they are twice as likely to start a business.But, Mr. Bloomberg said, they are also more likely to see their business fail within three-and-a-half years than native-born entrepreneurs.                                                                                                            Former “rust belt” cities like Cleveland are partnering up with Pittsburgh and Detroit to create a regional centre for the immigrant investor visa program EB-5. In those regions, immigrants may obtain a green card by investing $500,000 and creating ten new jobs in an economically distressed area. With a population loss of 25% in ten years and a decline in the local car industry, Detroit fits the “economically distressed” label. Even immigrants without the financial resources to invest hundreds of thousands of dollars can play a big role in the revival of a city. “Urban retail thrives with ethnic immigrants who are willing to invest in areas of unstable demand. Detroit has a lot of low-cost property which is a great opportunity for immigrants,” says Steven Tobocman, who leads an initiative which looks at how the region can profit from foreign-born talent.</t>
  </si>
  <si>
    <t>India has successfully launched a rocket into space carrying three satellites, officials say. The trouble-free launch was in contrast to a major setback in December when a satellite launch vehicle blew up and fell into the Bay of Bengal. This was the second consecutive failure to launch the rocket. In contrast, the Polar Satellite Launch Vehicle (PSLV) had a smooth lift-off and deployed the satellites in orbit around 820km above Earth. Staff at the launch pad in Andhra Pradesh cheered as the rocket took off. The main satellite in the launch from the Sriharikota space centre was the remote-sensing Resourcesat-2, which will study the impact of humans on the earth’s natural resources. The rocket also carried a joint Indian and Russian satellite for stellar and atmospheric studies as well as an imaging orbiter built by the Singapore-based Nanyang Technological University. India is hoping to send its first manned flight into space in 2016.The country sees its space exploration program as an achievement that emphasizes its emergence as a major world economy, and correspondents say that many Indians take patriotic pride in its development. Delhi and Beijing’s Moon missions have gained fresh impetus since last year’s Nasa budget cuts, which dashed US hopes of a lunar return by 2020-more than half a century after the Americans first visit.</t>
  </si>
  <si>
    <t>a) Saving of funds</t>
  </si>
  <si>
    <t>b) Investing of funds</t>
  </si>
  <si>
    <t>c) Distribution of funds</t>
  </si>
  <si>
    <t>d) Reducing taxes</t>
  </si>
  <si>
    <t>a) Is guaranteed to be free of risk</t>
  </si>
  <si>
    <t>b) Is more of a threat to the environment than the extraction of deepwater oil</t>
  </si>
  <si>
    <t xml:space="preserve">d) Is subject to different types of dangers than the extraction of deepwater oil     </t>
  </si>
  <si>
    <t xml:space="preserve">a) He prescribed performance-enhancing drugs </t>
  </si>
  <si>
    <t>c) He has attended  prominent sportsmen</t>
  </si>
  <si>
    <t xml:space="preserve">d) Tiger Woods refused to use performance-enhancing drugs </t>
  </si>
  <si>
    <t>a) It is the longer of the two</t>
  </si>
  <si>
    <t>b) A special permit is not necessary</t>
  </si>
  <si>
    <t>c) It is cheaper</t>
  </si>
  <si>
    <t>d) It requires little preparation</t>
  </si>
  <si>
    <t>a) Surprised about the election of Caroline Lucas</t>
  </si>
  <si>
    <t>a) Decisions need to be made correctly from the beginning</t>
  </si>
  <si>
    <t>b) Decisions should be made with caution</t>
  </si>
  <si>
    <t>c) The Chinese government now permits urban families to have two children</t>
  </si>
  <si>
    <t xml:space="preserve">d) An increased number of rural workers is expected in the future    </t>
  </si>
  <si>
    <t xml:space="preserve">d) The New York City government has declined to fund local businesses </t>
  </si>
  <si>
    <t xml:space="preserve">d) The main satellite was made in Singapore  </t>
  </si>
  <si>
    <t>a) It is a mistake to raise taxes</t>
  </si>
  <si>
    <t>b) The government needs to raise taxes to provide services</t>
  </si>
  <si>
    <t>c) Previous governments should be held responsible for current financial problems</t>
  </si>
  <si>
    <t xml:space="preserve">d) Demography will cease to influence government spending  </t>
  </si>
  <si>
    <t xml:space="preserve">b) Canada has an amicable relationship with the U.S.A </t>
  </si>
  <si>
    <t>c) Most of the middle- eastern countries are well-disposed towards the U.S. A</t>
  </si>
  <si>
    <t>a) Very popular</t>
  </si>
  <si>
    <t>b) Very difficult</t>
  </si>
  <si>
    <t>c) Inaccessible</t>
  </si>
  <si>
    <t>d) Often overlooked</t>
  </si>
  <si>
    <t>a) Be the main seller of rune and casting stones</t>
  </si>
  <si>
    <t xml:space="preserve">d) Have replaced the first branch of the Body Shop </t>
  </si>
  <si>
    <t xml:space="preserve">a) Labor politicians </t>
  </si>
  <si>
    <t>b) Conservative politicians</t>
  </si>
  <si>
    <t>c) Labor and conservative politicians</t>
  </si>
  <si>
    <t xml:space="preserve">d) Married couples </t>
  </si>
  <si>
    <t>c) Have not had a Harvard or Yale education</t>
  </si>
  <si>
    <t xml:space="preserve">d) Left high school early to serve in Vietnam </t>
  </si>
  <si>
    <t xml:space="preserve">d) These areas have smaller populations  </t>
  </si>
  <si>
    <t>1.-  The report indicates that:</t>
  </si>
  <si>
    <t xml:space="preserve">2.- Which of the following is true about the company, Lawyer Up?  </t>
  </si>
  <si>
    <t xml:space="preserve">3.- What does Lieutenant General Terry say about the insurgents? </t>
  </si>
  <si>
    <t>4.- According to the report;</t>
  </si>
  <si>
    <t xml:space="preserve">5.- The article claims that; </t>
  </si>
  <si>
    <t>6.- According to the report;</t>
  </si>
  <si>
    <t xml:space="preserve">7.- The new airline; </t>
  </si>
  <si>
    <t>8.- The report claims;</t>
  </si>
  <si>
    <t xml:space="preserve">9.- Which of the following is stated in the report? </t>
  </si>
  <si>
    <t xml:space="preserve">10.- In previous times, the teeth of reptiles gradually began to evolve because; </t>
  </si>
  <si>
    <t xml:space="preserve">11.- Prior to the new parliament, decisions about spending focused on; </t>
  </si>
  <si>
    <t xml:space="preserve">13.- The article states that the extraction of oil from the oil-sands; </t>
  </si>
  <si>
    <t xml:space="preserve">15.- Galea has claimed that; </t>
  </si>
  <si>
    <t xml:space="preserve">17.- The advantage of the Northern Arizona Colorado River trip over the Grand Canyon trip is; </t>
  </si>
  <si>
    <t xml:space="preserve">19.- The writer believes that Londoners would have been; </t>
  </si>
  <si>
    <t xml:space="preserve">21.- The article warns that: </t>
  </si>
  <si>
    <t xml:space="preserve">23.- Which of the following is not listed in the article as enabling one to be exempt from the draft? </t>
  </si>
  <si>
    <t xml:space="preserve">25.- The article states that; </t>
  </si>
  <si>
    <t xml:space="preserve">27.- The article states that; </t>
  </si>
  <si>
    <t xml:space="preserve">29.- The report states that; </t>
  </si>
  <si>
    <t xml:space="preserve">12.-  The writer concludes that; </t>
  </si>
  <si>
    <t>14.- One of the arguments that the writer puts forward in favor of the oil-sands is;</t>
  </si>
  <si>
    <t>16.- The person briefed on the investigation has asserted that;</t>
  </si>
  <si>
    <t xml:space="preserve">18.- The article says that the Northern Arizona Colorado River trip is; </t>
  </si>
  <si>
    <t xml:space="preserve">20.- The Bell Book and Candle shop appears to; </t>
  </si>
  <si>
    <t xml:space="preserve">22.- The writer then aims the warning at: </t>
  </si>
  <si>
    <t xml:space="preserve">24.- The writer admits to feeling shame for men who: </t>
  </si>
  <si>
    <t xml:space="preserve">26.- The census revealed that; </t>
  </si>
  <si>
    <t xml:space="preserve">28.- What could attract immigrants to “economically distressed” areas? </t>
  </si>
  <si>
    <t xml:space="preserve">30.- India’s space program has benefitted from; </t>
  </si>
  <si>
    <t>EXAMEN DE NOV/2012</t>
  </si>
  <si>
    <t>6 SELFCORRECTION</t>
  </si>
  <si>
    <t>EXAMEN 6 SELFCORRECTION</t>
  </si>
  <si>
    <t>d)&lt;b&gt;To Britons, Germans appear to be blunt&lt;/b&gt;</t>
  </si>
  <si>
    <t>b) &lt;b&gt;It is not necessary to have a subscription to use its services&lt;/b&gt;</t>
  </si>
  <si>
    <t>b) &lt;b&gt;They are losing local support&lt;/b&gt;</t>
  </si>
  <si>
    <t>b) &lt;b&gt;The bears have reappeared after previous danger of eradication&lt;/b&gt;</t>
  </si>
  <si>
    <t>c) &lt;b&gt;Armor Holdings will not be tried for criminal activities&lt;/b&gt;</t>
  </si>
  <si>
    <t>d) &lt;b&gt;It was possible to discern the forms of the buildings&lt;/b&gt;</t>
  </si>
  <si>
    <t>d) &lt;b&gt;Is predicted to encourage travel &lt;/b&gt;</t>
  </si>
  <si>
    <t>c) &lt;b&gt;The teachers will not capitulate over the matter of their pensions&lt;/b&gt;</t>
  </si>
  <si>
    <t>d) &lt;b&gt;The system for checking ANSF soldiers’ backgrounds will be improved &lt;/b&gt;</t>
  </si>
  <si>
    <t xml:space="preserve">d) &lt;b&gt;They started to live on the land &lt;/b&gt; </t>
  </si>
  <si>
    <t>c) &lt;b&gt;Distribution of funds&lt;/b&gt;</t>
  </si>
  <si>
    <t>b) &lt;b&gt;The government needs to raise taxes to provide services&lt;/b&gt;</t>
  </si>
  <si>
    <t>b) &lt;b&gt;Canada has an amicable relationship with the U.S.A &lt;/b&gt;</t>
  </si>
  <si>
    <t xml:space="preserve">d)&lt;b&gt; Is subject to different types of dangers than the extraction of deepwater oil&lt;/b&gt;     </t>
  </si>
  <si>
    <t>c)&lt;b&gt; He has attended  prominent sportsmen&lt;/b&gt;</t>
  </si>
  <si>
    <t>a) &lt;b&gt;The accounts given by Galea’s assistant could become a problem for Rodriguez&lt;/b&gt;</t>
  </si>
  <si>
    <t>b)&lt;b&gt; A special permit is not necessary&lt;/b&gt;</t>
  </si>
  <si>
    <t>d) &lt;b&gt;Often overlooked&lt;/b&gt;</t>
  </si>
  <si>
    <t>d) &lt;b&gt;Indifferent about the election of Caroline Lucas&lt;/b&gt;</t>
  </si>
  <si>
    <t>a) &lt;b&gt;Be the main seller of rune and casting stones&lt;/b&gt;</t>
  </si>
  <si>
    <t>c)&lt;b&gt; Labor and conservative politicians&lt;/b&gt;</t>
  </si>
  <si>
    <t>a) &lt;b&gt;Decisions need to be made correctly from the beginning&lt;/b&gt;</t>
  </si>
  <si>
    <t>c) &lt;b&gt;Artistic abilities&lt;/b&gt;</t>
  </si>
  <si>
    <t>b) &lt;b&gt;Falsely claim to have served in Vietnam&lt;/b&gt;</t>
  </si>
  <si>
    <t>c) &lt;b&gt;More Chinese are working away from home than previously&lt;/b&gt;</t>
  </si>
  <si>
    <t>a) &lt;b&gt;Social changes in China are the result of the expanding economy&lt;/b&gt;</t>
  </si>
  <si>
    <t>b) &lt;b&gt;Self-employed US natives are more likely to enjoy long-term success than self-employed immigrants&lt;/b&gt;</t>
  </si>
  <si>
    <t>c) &lt;b&gt;The available property is inexpensive&lt;/b&gt;</t>
  </si>
  <si>
    <t>b) &lt;b&gt;The satellite will investigate how the planet is affected by people&lt;/b&gt;</t>
  </si>
  <si>
    <t>d) &lt;b&gt;Reductions in spending by NASA&lt;/b&gt;</t>
  </si>
  <si>
    <t>12.- According to the text, which of the following is the greatest threat for babies’health?</t>
  </si>
  <si>
    <t>A device that uses high-frequency sound to disperse teenage gangs is illegal under human rights law and is -degrading and discriminatory- to youngsters, a report this week claims. An investigation by the Council of Europe found that the controversial -mosquito- device should be banned from Britain immediately because it violates legislation prohibiting torture. It found that -inflicting acoustic pain on young people and treating them as if they were unwanted birds or pests, is harmful (and) highly offensive.- The report also expressed concern that its use could constitute a -health hazard- and lacked adequate medical research. The UK has more mosquitoes in use than any other European state. The mosquito works by emitting an irritating, high-pitched sound that can be heard only by children and people into their early 20s, and is used to prevent teenagers congregating outside shops, schools and railway stations. Critics, however, say the device targets all children and young people, including babies, regardless of whether they are misbehaving.</t>
  </si>
  <si>
    <t>After doing some gardening work for an elderly woman in Hampshire, England, a man stole £60 from her handbag. The woman reported to police officers that the thief had wavy blonde or greying hair. However, a computer problem at the police station caused the picture of the suspect to show a man with lime green hair and apparently no ears. Police admitted the picture was not of the best quality and said it was currently experiencing computer problems causing poor hair quality. They decided to circulate the image anyway, causing much laughter among residents of the town. The police defended their decision to release the photo of the thief. They said the lime green hair takes nothing from the overall clarity of the facial features. It would therefore be wrong to withhold the release of the photo just based on a minor technical issue.</t>
  </si>
  <si>
    <t>A 58-year-old resident of Campbell, Illinois, John Winthorp, told police he was cleaning up branches and yard debris in his backyard when his neighbor, 85 year old Joseph Giacomo, accused him of stealing bananas from his tree. Giacomo, on the other hand, said he confronted Winthorp along the fence line that divides their properties and asked him why he was carrying a -big stick.- According to the police report, after the verbal confrontation between the two,
Giacomo left the yard and returned to his house. When he came back out again, he allegedly pointed a pistol at Winthorp’s head and threatened to kill him. Police responding to the incident arrested Giacomo on a charge of aggravated assault with a firearm. Mr. Giacomo believed that his neighbor was using the stick to knock bananas off of his tree and keeping them for himself, the police report said.</t>
  </si>
  <si>
    <t>A U.S. soldier speculates about a possible conflict with China: We in all our military might could not capture and hold down the massive land and population of China. However they could not even in their most absurd dream land on US soil no matter if it be the mainland or an island in the Pacific that no one cares about. An issue with China might start in a war with North Korea. In which case the Chinese would be a little freaked out at the idea of a U.S.-friendly Republic of Korea sitting right next to their borders. Much like China taking over Mexico or Canada. Or they might make a move on Taiwan, an island they have had under their scopes for a long time. Both of the above if really looked at are extremely unlikely. This is due to the fact that it would be economic suicide for one country to begin a war with the other. US needs cheap junk from China and China needs US to buy cheap junk. Regardless of who won (which would most likely be the US in the end) the war would prove a major disaster for both parties which would surely last years or maybe even decades. To sum things up, the chances of any kind of conflict with China in the future in the current setting of things are very close to 0%. The only way the US and China will go to war is if we enter --- The Tom Clancy Zone --- which can and has happened in the past but it is still extremely unlikely...</t>
  </si>
  <si>
    <t>After some treatments at a beauty salon, Michelle Fonville came in for an unpleasant surprise. When she was given the bill for her manicure, pedicure and eyebrow shaping, she noticed that there was a $5 surcharge. When she complained, the manageress explained each charge to her and said the salon had added $5 more because Michelle was overweight. According to the manageress, it is the salon's policy to charge overweight customers a supplement to compensate for chairs broken. The pedicure chairs have a weight limit of 100 kilos and cost $2,500 to fix. -Do you think that’s fair when we charge $24 for manicure and pedicure and we have to pay $2,500 to fix chairs?-, the manageress hissed at Michelle. While Michelle's weight surcharge was ultimately refunded after some complaining, the manageress told Michelle to take her business elsewhere in the future. -I felt so humiliated,- she said when she told her story to the press.</t>
  </si>
  <si>
    <t>A woman in Rhode Island said that her son's school had stopped her young boy from wearing a patriotic hat he had made to honor US troops because the hat broke a school ban on weapons. She said that when her eight-year-old son had to make a hat for his class at school, he decided to glue small plastic army figures of soldiers to a camouflage hat bearing an American flag. However, her son was not allowed to wear the hat to school and his teacher had called to say it was not appropriate because the soldiers had guns, violating a ban on weapons and toy weapons. Nevertheless, the principal at the school told the mother that the hat would be acceptable if her son replaced the plastic soldiers holding weapons with ones that didn't have any weapons. But the mother exclaimed that at home, the family had only one plastic soldier without a weapon. That plastic soldier carried binoculars.</t>
  </si>
  <si>
    <t>New York Mayor Michael Bloomberg, who pushes healthy diets for the public, offers plenty of junk food to staff in a company he owns, employees say. Although the food pantry in the Mayor's company provides free healthy snacks such as celery and bananas, it also provides free soft drinks. Moreover, an employee evealed that the Mayor's company has also all the junk food in the world in its offices; anyone can gain 15 pounds right away. On the other hand, however, the Mayor asked federal permission for a two-year ban on the use of welfare food stamps for sugared drinks, citing the -enormous correlation- between soft drinks and obesity and diabetes. Bloomberg asserted that taxpayers should not subsidize bad nutrition. Asked about the apparent contradiction, his spokesman said Bloomberg isn't involved in the day-to-day operations of the company he started 29 years ago, and that includes selecting food for his company's food pantry.</t>
  </si>
  <si>
    <t>Diane Buckalew said she felt terrible when she woke up and realized two rings she'd left on the bathroom counter the night before were gone. She and husband Carl, married in Las Vegas a month ago, realized Thursday their cat Jinxe had batted into the toilet an amethyst ring and Diane's 4-carat, $40,000 diamond engagement ring. -I was tired the night before, I took my jewelry off and just set it on the counter in the bathroom,-Diane said. -I got up about 6 o'clock and I noticed my rings were not there, but all my other jewelry was. I looked down and my wedding band was on the floor with one of my earrings but not the amethyst and diamond engagement rings.- At 6:30 a.m., Carl called a plumbing service, which has a drain camera. Two technicians dug a 3-foot hole near the front door of the Buckalew's home, cut the drain pipe and asked Carl to flush. Jackpot! A technician's hands emerged from the muddy water with both rings.</t>
  </si>
  <si>
    <t>Authorities at a sheriff's office reported that a teenaged boy dialed a wrong number and inadvertently sent a cryptic text message to the sheriff apparently to purchase marijuana. The message stated, -Hey mate, do you have a $20 I can buy right now?- Suspicious about the text message, the sheriff called the teen's phone number three times to make sure he had the right person. Then, pretending to be the dealer, he organized a meeting at a time when the teen would be at a particular store. Disguised in civilian clothes, the sheriff drove off to the store in an unidentified car. He spotted the teenaged boy standing in the parking lot behind the store. When he showed his badge, the teen fainted. The teen was taken to the sheriff's office and his parents were called.</t>
  </si>
  <si>
    <t>Another day, another story to strike fear into the heart of any guilty middle-class parent. A study has found that -top-selling baby foods lack vital nutrients essential for growth and protection against illness-. The results are reported as a -warning- by -experts-. What's worrying is that there’s a growing appetite for reporting these things as if they really mattered. And that appetite exists because of parents' worst fears: that they’re no good. How has it come to this? Spectrometers and busybodies everywhere are spoiling the fun of parenting. Baby food is just the latest in a series of things you can mess up. The type of birth
you have, the method of milk distribution (and the nature of the milk), your employment status (if you're a woman) or your household TV use. There is a huge market for stories which pit parents against each other or use science to -prove- that something parents are doing is evil and dangerous. Meanwhile, normal people muddle through however best they can, using jars some of the time and hand-mushing carrots the rest. The only difference is that nowadays they do it with a constant backdrop of carping, tutting and comparison. The real story? Baby food is not bad for babies. The constant stream of judgement directed against parents is what’s bad for babies. Don't stress about breast versus bottle or the lack of minerals in baby food. Stress about the dismantling of the National Health System. That is far more likely to ruin our children's lives than the odd jar of Heinz cauliflower cheese.</t>
  </si>
  <si>
    <t>A citizen comments on the U.S. debt crisis: I freely admit I am not an expert on the debt, the economy, or even the workings of the federal government. However, I do have a fully functional brain and the sense that God gave a goat. Firstly, I don't see how the debt can be contained without a budget that makes some very deep cuts. I would suggest we start by getting rid of any and all staff members for elected officials that are paid with public money; it may not be much, but without those aides to read bills, maybe some folks in Congress will start realizing what they are voting for and against. Secondly, this concept of not seeing a balanced budget again. I would agree. However, it is time to unbalance the budget in the other direction and pay off the debt. If that means each and every non-essential government service is cut or dropped completely, fine. I am okay with an unbalanced budget, as long as that budget is kicking every single solitary cent it can to paying down the debt. Then, once the debt is eventually paid off we can then look into adding back those nice to have type services or maybe a big cut to the federal tax rate. Maybe my ideas are not doable (but only because people listen to politicians that promise more of everything and no new taxes), but if I had absolute control of the budget process for a single day, I can promise you, it would balance out perfectly, with a big chunk going to pay off the debt...too bad we can't nominate a budget dictator for a day...</t>
  </si>
  <si>
    <t>EXAMEN COMPRENSION TEXTOS OCT 2012</t>
  </si>
  <si>
    <t>Where some powerful men throw sexual slurs at adult women and girls are being sexualized and objectified at a younger and younger age. As the dad of 4 daughters I wonder how to best encourage our daughters to combat these tendencies in our society. One of the most important ways is to break down the old stereotypes that men are rational and logical while women are emotional. We can free our daughters from the burden of that myth by expressing our own feelings and by respecting the intelligence, decisions, and leadership abilities of women. When they see us opening up and talking, they learn to do the same and to not remain silent when something doesn't feel right. A father's influence can help a girl find her own strong voice. The other big thing dads can do is treat women the way we would want a partner to treat our daughters. We wish that it went without saying that daughters need their fathers to reject treating women as objects through sexist jokes, stares and comments on the street, and pornography. The sexualization of girls is perhaps the most disturbing aspect of sexism in our society, and it is time for fathers to speak out about it. Haven’t we moved beyond the beauty pageant and similar spectacles such as prom queens and a swath of reality TV that undermine girls' power? The emphasis on appearance not only robs girls of the sense of being valued for who they are, but also leads to body image distortions and self-criticism.</t>
  </si>
  <si>
    <t>If the Supreme Court upholds Arizona's law getting tough on undocumented immigrants, as many observers expect, it would not just be approving one state's
crackdown. It would be giving a green light to other states to pass similar laws — and it is likely that at least some would. That would be unfortunate: what Americans need is not state-by-state policies but a comprehensive federal solution to the immigration problem. There is a bitter debate over the law. Supporters argue it is necessary because thefederal government is not serious about enforcing immigration laws. They say Arizona has been flooded with illegal immigrants who have hiked the crime rate, overwhelmed the social-services system and driven down wages. Critics respond that the law is mean-spirited and that it will hurt innocent people, including children. They also say it will be used to harass Hispanics, including American citizens. The main reason that Arizona, Alabama and other states have begun acting aggressively on immigration is that Washington has failed for years to address the problem. Even if the Supreme Court says that states have the legal right to enact immigration laws like Arizona's, that does not mean that it makes any sense for the nation's immigration policy to be established at the state level. Whatever the outcome of the challenge to Arizona's law, it should be a wake-up call to Congress that the American people are tired of waiting for immigration reform.</t>
  </si>
  <si>
    <t>a) will change his company's food selection.</t>
  </si>
  <si>
    <t>d) The Buckalew's pet caused a big problem for them.</t>
  </si>
  <si>
    <t>b) was caught stealing bananas in his neighbor's backyard.</t>
  </si>
  <si>
    <t>b) the budget can't be balanced by cutting spending alone.</t>
  </si>
  <si>
    <t>c) take advantage of parents' worries about the future.</t>
  </si>
  <si>
    <t>23.- According to the author, to increase daughters' self-confidence, fathers should</t>
  </si>
  <si>
    <t>25.- In the author's opinion, the Game of Thrones series</t>
  </si>
  <si>
    <t>27.- Which opinion does the author express regarding the law's harsh provisions?</t>
  </si>
  <si>
    <t>I recently attended a remarkable meeting of European economic ministers. We represented 15 of the 27 European Union countries: the Like Minded Group,
committed to rolling back excessive regulation emanating from Brussels and to expanding the Single Market. There were governments of centre Right and centre Left, some strongly in favour of close European integration, like Germany, others more sceptical, like Britain. Yet there was a common purpose: to close down the red tape factories of Brussels. One of the biggest and most wasteful is the Working Time Directive (WTD), which sets a 48-hour limit to the working week. Like a lot of European social legislation this directive, first put forward 20 years ago, was well-intentioned. It was introduced to protect the health and safety of workers. For example, when European markets first opened up there was a legitimate need to prevent long-distance lorry drivers falling asleep at the wheel. It is also easy to forget that a few decades ago it was relatively rare for British workers to have decent holiday time and rest breaks. But a heavy-handed, one-size-fits-all approach has been adopted, with unintended perverse outcomes. The directive incorporates the idea that is most clearly expressed in the French 35-hour week: that work should be compulsorily restricted and shared out, whether or not it suits the needs of individual workers or firms. Not only is this dreadful economics, it is also deeply illiberal. It suppresses the right of workers to choose how long they work to earn overtime, to help their company safeguard employment by working flexibly, or simply because they enjoy and take pride in what they do.</t>
  </si>
  <si>
    <t>A U.S. soldier speaks about the future of military operations: The reduction of forces in Afghanistan and looming U.S. Department of Defense budget cuts will undoubtedly transform our military culture into a -zero defects- mentality. The military will be pressured into implementing a reduction in forces (RIF) program to meet the budgetary goals for the future military generating force. Hard decisions will be required in selecting service men and women for the RIF program, and a -zero defects- climate is a method that facilitates this process. Unfortunately, this type of command climate leads to failure in many aspects. A -zero efects- environment can contribute to timid leaders that are afraid to implement intuition for fear of failure. Leaders will become less risk averse during crisis which could lead to tragic results. Some may think that implementing a -zero defects- policy during peacetime operations will have little impact on the military operating force. I believe that this frame of thought is very dangerous. If we indoctrinate this policy during garrison and training environments our leaders will adopt a -status quo- mentality that will decrease our leaders' ability to make tough decisions when it matters. Ironically, a -zero defects- mentality could result in an unethical command climate as well. Problems that would normally be reported will be hidden at all costs to avoid situations that would require a service member's separation from service. I’m not saying that we should tolerate bad behavior or incompetent decisions; these acts should be punished in accordance with standard regulations. However, minor mistakes will be made at all levels and we should allow for these mistakes to create growth and lessons learned throughout our military force.</t>
  </si>
  <si>
    <t>A journalist talks about the future of today's children: Nothing provokes such visceral feelings among people as their children. Anything that threatens their security, their wellbeing or their future triggers some of the most profound emotional responses that humans are capable of. I have no kids of my own, but the recent arrival of a nephew made all those clichés, like -everything changes when you have children-, suddenly make sense. Our current rulers have not hesitated to exploit people's nagging fears about their children's prospects. Austerity was necessary because, without it, -our children will be saddled with debt for decades to come,- the Prime Minister has argued. But when it becomes apparent that the most important part of many people's lives will suffer because of a financial crisis they had nothing to do with, the Prime Minister may no longer be able to count on a mood of resignation. Around 2.5 million children have been born since Lehman Brothers went under; their future is uncertain and, in many cases, bleak. We've heard about the -squeezed middle-; but now we face the squeezed toddler, and the squeezed teenager. From birth to early adulthood, the squeeze will intensify. A cut of more than a fifth in grants has resulted in the closure of 124 kindergartens, meaning more and more under-fives will miss out. And, at the other end, youth unemployment is hurtling towards 25 per cent. The Government talks of not saddling the nation's children with debt – and yet that is precisely what they are inflicting on a generation with the trebling of tuition fees. The future for many of our young will be colder, hungrier, lonelier, duller, less secure, more indebted and, overall, poorer.</t>
  </si>
  <si>
    <t>At a bull fighting ring in Mexico City, Matador Christian Hernandez, dressed in traditional outfit and bearing a customary red cape, began focusing his attention at
the bull in front of him. He narrowed his eyes as the bull lowered its head. What happened next was slightly less conventional, as the 22-year-old turned on his
heels and fled the onrushing bull, explaining later, -This is not my thing.- In a sight rarely seen in the valiant world of bullfighting, Hernandez made a spin with his red cape at the charging bull, then ran across the ring and leapt headfirst over the wall to safety, dropping the cape in the process. After reaching, and vaulting, the perimeter wall at Sunday's failed bullfight – to cries of ridicule from the crowd – Hernandez was arrested for breaking his contract. He was later released after paying a fine.</t>
  </si>
  <si>
    <t>Friday the 13th proved especially unlucky for one 13-year-old British boy, who was struck by lightning at exactly 13:13 on the much-feared date. The teenager was among a crowd of 170,000 people watching an aeronautical display at the Seafront Air Festival in the east of England when he was struck by a lightning bolt from the sky. He suffered minor burns to his shoulder and is expected to make a full recovery. The man leading the ambulance team that treated the boy's burns said that it had been raining and thundering throughout the day, and so many air show spectators were clutching umbrellas when the electrical storm hit. Suddenly there was a huge crack of lightning really close to the seafront and really loud thunder. Seconds later, the man said his ambulance team got a call saying that someone had been hit; it was the boy. He and his team found him breathing and conscious. However, they took him to the hospital as a precaution.</t>
  </si>
  <si>
    <t>In saying, as she did in her closing address to the Association of Teachers and Lecturers (ATL) this week, that UK schools were stratified along class lines, with-toxic- consequences for the poor, its leader, Dr Mary Bousted, might have meant to shock. But she was articulating a highly uncomfortable truth. A cumulative effect of comprehensive education over 40 years has been the determinism of the catchment area. Children brought up in more affluent areas receive, by and large, a decent education. Those who grow up on the wrong side of the tracks can find themselves trapped in poorly performing schools, so that disadvantage is heaped upon disadvantage. The class divide penalises many children, but the interminable threats of industrial action that the big teachers' unions like the ATL routinely bandy about at this time of year hardly suggest a profession that always has the best interests of pupils at heart. But the leader of the ATL had another reason, too, for drawing attention to the role of class in the school system. She used it to question the blame that invariably attaches to teachers at poorly performing schools. Again she had a point. By no means all schools with a poor showing in the surveys are bad schools. Many have able teachers who demonstrate heroic commitment, but their efforts will never reap the same results, on paper, as those achieved at the more privileged establishment up the road. There are bad teachers, of course, but the effects of deprivation cannot just be wished away.</t>
  </si>
  <si>
    <t>Game of Thrones is a television series based on the bestselling fantasy books A Song of Ice and Fire by George R.R. Martin – often referred to as -the American
Tolkien- – and the cable network HBO is betting that fans of The Lord of the Rings will come to it for a sprawling, interwoven tale of feuding families, swords, sex, carnage, beasts, frayed loyalties, deception, intrigue and the pursuit of power. As well they should. Game of Thrones has all the elements (many described above) that lure viewers to shows like The Sopranos, et al. That it's a fantasy series shouldn't scare anyone away, because – as with Lord of the Rings – there's a real allure to costume-dramas that pair dense mythology with all of the crowd-pleasing elements of war, honor, pride, lust, power and, yes, even humor. Writers and executive producers will certainly have their hands full dealing with diehard fans on what they got right or wrong (or left out or put in that may have not been in the books), but they have the backing of Martin, who worked closely with them, and that should count for a lot. Perhaps more important to those people who haven't read the books, in the series things kick off immediately – with action, blood-shed and eeriness. That kind of start to the 10-part series was essential because Game of Thrones is a complicated story with numerous characters and a dense, interwoven back-story. Though it demands attention, Thrones never once bogs down. It's the kind of drama where, when the first episode ends, you wish the nine others were immediately available. And that validates HBO's notion that television is the perfect medium for a fantasy series done right.</t>
  </si>
  <si>
    <t>5 SELFCORRECTION</t>
  </si>
  <si>
    <t>EXAMEN 5 SELFCORRECTION</t>
  </si>
  <si>
    <t>1.- The research referred to in the article discovered that;</t>
  </si>
  <si>
    <t>a) Decorating houses can cause allergies</t>
  </si>
  <si>
    <t>b) &lt;b&gt;Damp laundry can aggravate lung problems&lt;/b&gt;</t>
  </si>
  <si>
    <t>c) Most homes have a designated drying area</t>
  </si>
  <si>
    <t>d) Most homes have a lack of moisture</t>
  </si>
  <si>
    <t>2.- What is said about the insider threat?</t>
  </si>
  <si>
    <t>a) Soldiers should not try to gain the trust of Afghan partners</t>
  </si>
  <si>
    <t>b) &lt;b&gt;Incidents are triggered by a variety of factors&lt;/b&gt;</t>
  </si>
  <si>
    <t>c) Force protection should favor coalition troops</t>
  </si>
  <si>
    <t>d) The Taliban has an interest in the success of Afghan forces</t>
  </si>
  <si>
    <t>3.- What is stated in the above extract?</t>
  </si>
  <si>
    <t>a) Coalition forces should conduct operations independently</t>
  </si>
  <si>
    <t>b) Local citizens have been seen to side mainly with the Taliban</t>
  </si>
  <si>
    <t>c) Healthcare and education is provided by ANSF forces</t>
  </si>
  <si>
    <t>d) &lt;b&gt;ANSF forces should play a major role in  the operations&lt;/b&gt;</t>
  </si>
  <si>
    <t>4.- According to the article;</t>
  </si>
  <si>
    <t>a) The US has accused China of damaging relations between the two countries</t>
  </si>
  <si>
    <t>b) &lt;b&gt;The US President advocates the maintaining of Tibetan customs&lt;/b&gt;</t>
  </si>
  <si>
    <t>c) The talks were held in an office normally used for meeting with world leaders</t>
  </si>
  <si>
    <t>d) The US President advocates the succession of Tibet from China</t>
  </si>
  <si>
    <t xml:space="preserve">5.- According to the report; </t>
  </si>
  <si>
    <t>a) Too many dementia patients are being given painkillers</t>
  </si>
  <si>
    <t>b) Better management of patients’ could lead to a reduction in painkiller use</t>
  </si>
  <si>
    <t>c) &lt;b&gt;A dementia patient’s disquiet could be due to physical discomfort&lt;/b&gt;</t>
  </si>
  <si>
    <t>d) Antipsychotic drugs help to manage a patient’s pain</t>
  </si>
  <si>
    <t>6.- It appears that the problem that Fabregas is facing is that;</t>
  </si>
  <si>
    <t>a) &lt;b&gt;He hasn’t had the opportunity to utilize his talent to the full&lt;/b&gt;</t>
  </si>
  <si>
    <t>b) His ambitions outweigh his ability</t>
  </si>
  <si>
    <t>c) His birth certificate is inaccurate</t>
  </si>
  <si>
    <t>d) He cannot match the ability of Messi, Ronaldo or Rooney</t>
  </si>
  <si>
    <t xml:space="preserve">7.- According to the article, both Obama and Bush have been disappointing in their response to disaster as; </t>
  </si>
  <si>
    <t>a) &lt;b&gt;They both wasted an opportunity to create long-lasting positive effects&lt;/b&gt;</t>
  </si>
  <si>
    <t>b) Neither has reacted immediately when disaster has struck</t>
  </si>
  <si>
    <t>c) They have failed to claim any responsibility for the occurrence of disaster</t>
  </si>
  <si>
    <t>d) They have thought only of the far-reaching effects of their decisions</t>
  </si>
  <si>
    <t xml:space="preserve">8.- According to the article; </t>
  </si>
  <si>
    <t>a) &lt;b&gt;The recent political crisis in Thailand could have surprised the Thai governing elite&lt;/b&gt;</t>
  </si>
  <si>
    <t>b) The historical uprising in Paris is similar to the recent uprising in Thailand</t>
  </si>
  <si>
    <t>c) It will be impossible to contain the recent uprising in Thailand</t>
  </si>
  <si>
    <t xml:space="preserve">d) The uprising in Thailand is solely a conflict between the poor and the establishment                                                                                                               </t>
  </si>
  <si>
    <t xml:space="preserve">9.- Regarding the post for a Professor of Poetry, Oxford University; </t>
  </si>
  <si>
    <t>a) Is taking advantage of the controversy around the last search to fill it</t>
  </si>
  <si>
    <t>b) &lt;b&gt;Prefers to put the controversy surrounding the last search behind it&lt;/b&gt;</t>
  </si>
  <si>
    <t xml:space="preserve">d) Will increase the salary of the future Professor of Poetry                                     </t>
  </si>
  <si>
    <t xml:space="preserve">10.- The majority of the children of illegal immigrants; </t>
  </si>
  <si>
    <t>a) Yearn for the country in which they were born</t>
  </si>
  <si>
    <t>b) Don’t adapt well to American life</t>
  </si>
  <si>
    <t>c) &lt;b&gt;Are participating in American life in a productive manner&lt;/b&gt;</t>
  </si>
  <si>
    <t xml:space="preserve">d) Are putting a strain on the American economy          </t>
  </si>
  <si>
    <t xml:space="preserve">11.- What has been the cause of the turmoil in the Ministry of Defense? </t>
  </si>
  <si>
    <t>a) &lt;b&gt;A high turnover of ministers&lt;/b&gt;</t>
  </si>
  <si>
    <t>b) A high number of ministers on revolving shifts</t>
  </si>
  <si>
    <t>c) An absence of a Secretary of State</t>
  </si>
  <si>
    <t xml:space="preserve">d) Jokes about former Labor ministers                                                                            </t>
  </si>
  <si>
    <t>12.- The writer suggests that a possible result of moving British forces to Kandahar would be;</t>
  </si>
  <si>
    <t>a) That it would win the new government popularity</t>
  </si>
  <si>
    <t>b) That it would encourage the Americans to withdraw</t>
  </si>
  <si>
    <t>c) &lt;b&gt;That it would make peace with the Americans regarding a difficult issue&lt;/b&gt;</t>
  </si>
  <si>
    <t>d) That it would unite the politicians in a common agreement</t>
  </si>
  <si>
    <t xml:space="preserve">13.- The explanation for the inconsistency in the liaison between Labor and Unite appears to be; </t>
  </si>
  <si>
    <t>a) That Labor never supports the strikes organized by Unite</t>
  </si>
  <si>
    <t>b) &lt;b&gt;That it is due to the divisions within and size of Unite&lt;/b&gt;</t>
  </si>
  <si>
    <t>c) That the two general secretaries are not competent</t>
  </si>
  <si>
    <t>d) That Unite has the power to overrule decisions made by the High Court</t>
  </si>
  <si>
    <t xml:space="preserve">14.- In regard to the election of the Labor leadership, the writer claims that; </t>
  </si>
  <si>
    <t>a) It is a current priority for Unite</t>
  </si>
  <si>
    <t>b) The candidate backed by Unite is almost certain to achieve victory</t>
  </si>
  <si>
    <t>c) &lt;b&gt;The candidate backed by Unite will not lack financial support&lt;/b&gt;</t>
  </si>
  <si>
    <t xml:space="preserve">d) The union boss will tell the members who to vote for                                             </t>
  </si>
  <si>
    <t xml:space="preserve">15.- According to the article; </t>
  </si>
  <si>
    <t>a) &lt;b&gt;Belle-Ile-en-Mer has contrasting landscape&lt;/b&gt;</t>
  </si>
  <si>
    <t xml:space="preserve">d) Belle-Ile-en –Mer has less sun than Brittany                                                                   </t>
  </si>
  <si>
    <t>16.- The writer imagined Sarah Bernhardt;</t>
  </si>
  <si>
    <t>a) In a court session</t>
  </si>
  <si>
    <t>c) Reciting her lines</t>
  </si>
  <si>
    <t>d) &lt;b&gt;Chatting with friends&lt;/b&gt;</t>
  </si>
  <si>
    <t xml:space="preserve">17.- The writer raises the point that what is most likely to make Iran uneasy is; </t>
  </si>
  <si>
    <t>a) Unified pressure by the major powers</t>
  </si>
  <si>
    <t>b) Problems in its financial institutions</t>
  </si>
  <si>
    <t>c) The change in the position of Russia and China</t>
  </si>
  <si>
    <t xml:space="preserve">d) The opposition of China to the sanctions                                                                       </t>
  </si>
  <si>
    <t>18.- The arrangement between Iran, Brazil and Turkey appears to;</t>
  </si>
  <si>
    <t>a) Reassure western leaders</t>
  </si>
  <si>
    <t>b) Give Iran more possibilities</t>
  </si>
  <si>
    <t>c) Prevent Iran from developing nuclear weapons</t>
  </si>
  <si>
    <t xml:space="preserve">d) Ensure that Iran will commit to talks                                                                               </t>
  </si>
  <si>
    <t xml:space="preserve">19.- According to Chris Jones, the Microsoft vice president, Hotmail is seen by many Americans as; </t>
  </si>
  <si>
    <t>a) Very user friendly</t>
  </si>
  <si>
    <t>b) Having excessive storage</t>
  </si>
  <si>
    <t>c) Free of spam</t>
  </si>
  <si>
    <t xml:space="preserve">d) Outdated                                                                                                                            </t>
  </si>
  <si>
    <t>20.-  In the upcoming version of Hotmail, messages will be;</t>
  </si>
  <si>
    <t>a) Securely protected from viruses</t>
  </si>
  <si>
    <t>b) Categorized</t>
  </si>
  <si>
    <t>c) Automatically deleted if they are spam</t>
  </si>
  <si>
    <t xml:space="preserve">d) Separated from photos                                                                                                    </t>
  </si>
  <si>
    <t xml:space="preserve">21.- The writer gives the impression that among those attending the Cannes Film Festival, Jean-Luc Godard is; </t>
  </si>
  <si>
    <t>a) Revered as much for his previous exploits as for his films</t>
  </si>
  <si>
    <t>b) Thought to have been responsible for the burning down of the cinema at a previous Cannes Film Festival</t>
  </si>
  <si>
    <t>c) Not expected to arrive at the festival</t>
  </si>
  <si>
    <t>d) Losing credibility among film-makers</t>
  </si>
  <si>
    <t xml:space="preserve">22.- From the article, we can deduce that Cannes thrives on; </t>
  </si>
  <si>
    <t>a) Glitz and ceremony</t>
  </si>
  <si>
    <t>b) The presence of famous people</t>
  </si>
  <si>
    <t>c) Controversy as well as glamour</t>
  </si>
  <si>
    <t xml:space="preserve">d) Showing political films only                                                                                             </t>
  </si>
  <si>
    <t xml:space="preserve">23.- According to the article; </t>
  </si>
  <si>
    <t>b) India has a small peacekeeping force in the Congo</t>
  </si>
  <si>
    <t xml:space="preserve">d) The Indian soldiers expressed positivity about their mission in the Congo   </t>
  </si>
  <si>
    <t xml:space="preserve">24.- The writer; </t>
  </si>
  <si>
    <t xml:space="preserve">d) Suggests the Indian soldiers receive recognition for their work in the Congo           D  </t>
  </si>
  <si>
    <t xml:space="preserve">25.-  The article claims that; </t>
  </si>
  <si>
    <t>a) Lucom’s decision to leave his fortune to poor children has been heavily criticized</t>
  </si>
  <si>
    <t>b) Lucom’s widow has received public support</t>
  </si>
  <si>
    <t>c) Lucom’s will cannot be contested</t>
  </si>
  <si>
    <t xml:space="preserve">d) Misgivings about Panama’s judicial system have been expressed                                    </t>
  </si>
  <si>
    <t xml:space="preserve">26.- Panama’s Supreme Court made its decision based on; </t>
  </si>
  <si>
    <t>a) A phrase used in the writing of the will</t>
  </si>
  <si>
    <t>b) Knowledge of Lucom’s past</t>
  </si>
  <si>
    <t>c) The request of a former US ambassador</t>
  </si>
  <si>
    <t>d) Concern over Lucom’s own children</t>
  </si>
  <si>
    <t xml:space="preserve">27.- The Palestinian leaders would be prepared to continue talks with the Israelis if; </t>
  </si>
  <si>
    <t>a) The freeze on settlement construction was lifted</t>
  </si>
  <si>
    <t>b) The Israelis chose settlement over peace</t>
  </si>
  <si>
    <t>c) The suspension on settlement construction was continued</t>
  </si>
  <si>
    <t xml:space="preserve">d) Existing settlements were destroyed  </t>
  </si>
  <si>
    <t xml:space="preserve">28.- According to the article;  </t>
  </si>
  <si>
    <t>a) It is likely that an agreement will be reached regarding settlement construction</t>
  </si>
  <si>
    <t>b) It seems unlikely that any new settlements will be built</t>
  </si>
  <si>
    <t>c) The Israeli government has shown interest in the US proposal of increased military aid</t>
  </si>
  <si>
    <t xml:space="preserve">d) It seems that the possibility of an agreement being reached is diminishing </t>
  </si>
  <si>
    <t xml:space="preserve">29.-  The researchers are interested in Koro because; </t>
  </si>
  <si>
    <t>a) It is very old</t>
  </si>
  <si>
    <t>b) It could help us to understand the relationship between humans and language</t>
  </si>
  <si>
    <t>c) Its speakers are different culturally to the speakers of other languages in the region</t>
  </si>
  <si>
    <t xml:space="preserve">d) Younger speakers appear to be taking an interest in it </t>
  </si>
  <si>
    <t xml:space="preserve">30.-   It could be said that one of the remarkable features of Koro is; </t>
  </si>
  <si>
    <t>a) It has survived intact despite its speakers mixing with speakers of other languages</t>
  </si>
  <si>
    <t>b) It has gradually blended with the Aka language over a long period of time</t>
  </si>
  <si>
    <t>c) Its speakers have always lived in isolation from speakers of other languages</t>
  </si>
  <si>
    <t xml:space="preserve">d) That it will remain unaffected by globalization  </t>
  </si>
  <si>
    <t>c) &lt;b&gt;The change in the position of Russia and China&lt;/b&gt;</t>
  </si>
  <si>
    <t>b) &lt;b&gt;Give Iran more possibilities&lt;/b&gt;</t>
  </si>
  <si>
    <t xml:space="preserve">d)&lt;b&gt; Outdated  &lt;/b&gt;                                                                                                                          </t>
  </si>
  <si>
    <t>b) &lt;b&gt;Categorized&lt;/b&gt;</t>
  </si>
  <si>
    <t>a) &lt;b&gt;Revered as much for his previous exploits as for his films&lt;/b&gt;</t>
  </si>
  <si>
    <t>c) &lt;b&gt;Controversy as well as glamour&lt;/b&gt;</t>
  </si>
  <si>
    <t xml:space="preserve">d) &lt;b&gt;The Indian soldiers expressed positivity about their mission in the Congo &lt;/b&gt;  </t>
  </si>
  <si>
    <t xml:space="preserve">d) &lt;b&gt;Suggests the Indian soldiers receive recognition for their work in the Congo&lt;/b&gt;  </t>
  </si>
  <si>
    <t xml:space="preserve">d) &lt;b&gt;Misgivings about Panama’s judicial system have been expressed&lt;/b&gt;                                   </t>
  </si>
  <si>
    <t>a) &lt;b&gt;A phrase used in the writing of the will&lt;/b&gt;</t>
  </si>
  <si>
    <t>c)&lt;b&gt; The suspension on settlement construction was continued&lt;/b&gt;</t>
  </si>
  <si>
    <t>d)&lt;b&gt; It seems that the possibility of an agreement being reached is diminishing &lt;/b&gt;</t>
  </si>
  <si>
    <t>b)&lt;b&gt; It could help us to understand the relationship between humans and language&lt;/b&gt;</t>
  </si>
  <si>
    <t>a) &lt;b&gt;It has survived intact despite its speakers mixing with speakers of other languages&lt;/b&gt;</t>
  </si>
  <si>
    <t>b) Damp laundry can aggravate lung problems</t>
  </si>
  <si>
    <t>b) Incidents are triggered by a variety of factors</t>
  </si>
  <si>
    <t>d) ANSF forces should play a major role in  the operations</t>
  </si>
  <si>
    <t>b) The US President advocates the maintaining of Tibetan customs</t>
  </si>
  <si>
    <t>c) A dementia patient’s disquiet could be due to physical discomfort</t>
  </si>
  <si>
    <t>a) He hasn’t had the opportunity to utilize his talent to the full</t>
  </si>
  <si>
    <t xml:space="preserve">President Obama’s handling of the gulf oil spill has been disappointing. No, the gulf oil spill is not Obama’s Katrina. It’s his 9/11 – and it is disappointing to see him making the same mistake George W. Bush made with his 9/11. Sept. 11, 2001, was one of those rare events that create the possibility to energize the country to do something really important and lasting that is too hard to do in normal times. President Bush’s greatest failure was not Iraq, Afghanistan or Katrina. It was his failure of imagination after 9/11 to mobilize the country to get behind a really big initiative for nation-building in America.                                                                                                                                                  Sadly, President Obama seems intent on squandering his environmental 9/11 with a Bush-level failure of imagination. So far, the Obama policy is: “Think small and carry a big stick.” He is rightly hammering the oil company executives. But he is offering no big strategy to end our oil addiction.   
</t>
  </si>
  <si>
    <t>a) They both wasted an opportunity to create long-lasting positive effects</t>
  </si>
  <si>
    <t>a) The recent political crisis in Thailand could have surprised the Thai governing elite</t>
  </si>
  <si>
    <t>b) Prefers to put the controversy surrounding the last search behind it</t>
  </si>
  <si>
    <t>c) Are participating in American life in a productive manner</t>
  </si>
  <si>
    <t>a) A high turnover of ministers</t>
  </si>
  <si>
    <t>c) That it would make peace with the Americans regarding a difficult issue</t>
  </si>
  <si>
    <t>b) That it is due to the divisions within and size of Unite</t>
  </si>
  <si>
    <t>c) The candidate backed by Unite will not lack financial support</t>
  </si>
  <si>
    <t>d) Chatting with friends</t>
  </si>
  <si>
    <r>
      <t xml:space="preserve">Drying laundry in the home poses a health risk to those prone to asthma, hay fever and other allergies, according to new research. A study found that many homes had too much moisture indoors. Up to a third of this moisture was attributed to drying laundry. The researchers have called on housebuilders to build dedicated drying areas into new housing to address the health concerns. A study of 100 homes found 87% dried their washing indoors in colder weather. Researcher Rosalie Menon said: “Going into people’s homes, we found they were drying washing in their living rooms, in their bedrooms. Some were literally decorating their house with it, but from one load of washing two litres of water will be emitted.” A total of 75% of households had moisture levels which could lead to dust mite growth. </t>
    </r>
    <r>
      <rPr>
        <u/>
        <sz val="11"/>
        <color theme="1"/>
        <rFont val="Calibri"/>
        <family val="2"/>
        <scheme val="minor"/>
      </rPr>
      <t>There was also a strong association between drying laundry and mould spores. A mould spore known to cause lung infections in people with weakened immune systems was found in 25% of the homes sampled.</t>
    </r>
    <r>
      <rPr>
        <sz val="11"/>
        <color theme="1"/>
        <rFont val="Calibri"/>
        <family val="2"/>
        <scheme val="minor"/>
      </rPr>
      <t xml:space="preserve"> All of the types of housing surveyed had a lack of suitable spaces for drying clothes.                          </t>
    </r>
    <r>
      <rPr>
        <u/>
        <sz val="11"/>
        <color theme="1"/>
        <rFont val="Calibri"/>
        <family val="2"/>
        <scheme val="minor"/>
      </rPr>
      <t/>
    </r>
  </si>
  <si>
    <r>
      <t>“A lot of the insider threat is very, very complicated and very, very tough,” said Lt. Gen. Mick Bednareck. “It’s reinforcing the importance of situational awareness, and every soldier, regardless of our military occupational specialty or rank , has to have situational awareness, our head on  a swivel. Soldiers must always be scanning their surroundings,” he said “while reinforcing trust with their Afghan partners. &lt;u&gt;</t>
    </r>
    <r>
      <rPr>
        <u/>
        <sz val="11"/>
        <color theme="1"/>
        <rFont val="Calibri"/>
        <family val="2"/>
        <scheme val="minor"/>
      </rPr>
      <t>Although alot of these incidents are certainly caused by stress of all different kinds, certainly some percentage is due to pressure from the Taliban, certainly some percentage is caused by the Taliban posing as Afghan security forces&lt;/u&gt;.</t>
    </r>
    <r>
      <rPr>
        <sz val="11"/>
        <color theme="1"/>
        <rFont val="Calibri"/>
        <family val="2"/>
        <scheme val="minor"/>
      </rPr>
      <t xml:space="preserve"> Prevention is always the key to success and force protection should cover not only coalition troops but the Afghan forces as well. We have a vested interest if the Afghans succeed,” he said. </t>
    </r>
    <r>
      <rPr>
        <u/>
        <sz val="11"/>
        <color theme="1"/>
        <rFont val="Calibri"/>
        <family val="2"/>
        <scheme val="minor"/>
      </rPr>
      <t/>
    </r>
  </si>
  <si>
    <r>
      <t xml:space="preserve">“To continue progress in this AO, the remaining forces must maintain sufficient situational awareness to know when and where to inject coalition operations. </t>
    </r>
    <r>
      <rPr>
        <u/>
        <sz val="11"/>
        <color theme="1"/>
        <rFont val="Calibri"/>
        <family val="2"/>
        <scheme val="minor"/>
      </rPr>
      <t>The vast majority of these operations must be conducted by, with and through the ANSF. Coalition activities in the AO and in all of Helmand Province must lead toward a sustainable and competent ANSF capable of providing security to the citizens of the province.</t>
    </r>
    <r>
      <rPr>
        <sz val="11"/>
        <color theme="1"/>
        <rFont val="Calibri"/>
        <family val="2"/>
        <scheme val="minor"/>
      </rPr>
      <t xml:space="preserve"> Coalition forces must work with the Government of the Islamic Republic of Afghanistan ( GIRoA) officials to ‘preserve the GIRoA offer’ so that local citizens continue to side with the government against the Taliban. The GIRoA offer includes a representative government that provides water, security, access to basic healthcare, education for children and means to address grievances.”                                           </t>
    </r>
  </si>
  <si>
    <r>
      <t xml:space="preserve">US President Barack Obama has held private talks with the exiled Tibetan spiritual leader, the Dalai Lama, despite strong critcism from China. Mr. Obama told the Dalai Lama of his ‘strong support’ for human rights in Tibet, a White House statement said. Beijing released an angry statement saying the meeting had damaged relations between the two countries. The talks were held in the Map room rather than the Oval office, which is traditionally  reserved for visiting heads of state. </t>
    </r>
    <r>
      <rPr>
        <u/>
        <sz val="11"/>
        <color theme="1"/>
        <rFont val="Calibri"/>
        <family val="2"/>
        <scheme val="minor"/>
      </rPr>
      <t>“The President reiterated his strong support for the preservation of unique religious, cultural and linguistic traditions of Tibet and the Tibetan people throughout the world,” the White House statement said. “</t>
    </r>
    <r>
      <rPr>
        <sz val="11"/>
        <color theme="1"/>
        <rFont val="Calibri"/>
        <family val="2"/>
        <scheme val="minor"/>
      </rPr>
      <t xml:space="preserve"> He underscored the importance of  the protection of human rights of Tibetans in China.” Mr. Obama also reiterated that the US considers Tibet to be part of China, and said that he encouraged “direct dialogue to resolve long-standing differences.” China had earlier warned the US not to receive the Dalai Lama. </t>
    </r>
    <r>
      <rPr>
        <u/>
        <sz val="11"/>
        <color theme="1"/>
        <rFont val="Calibri"/>
        <family val="2"/>
        <scheme val="minor"/>
      </rPr>
      <t/>
    </r>
  </si>
  <si>
    <r>
      <t xml:space="preserve">Many dementia patients being prescribed antipsychotic drugs could be better treated with simple painkillers, research says. The study found painkillers significantly cut agitation in dementia patients. Agitation, a common dementia symptom, is often treated with antipsychotic drugs, which have risky side effects. The Alzheimer’s Society wants doctors to consider other types of treatment. Experts say that each year about 150,000 patients in the UK are unnecessarily prescribed antispsychotics, which have a powerful sedative effect and can worsen dementia symptoms. They are often given to patients whose dementia makes them aggressive or agitated. </t>
    </r>
    <r>
      <rPr>
        <u/>
        <sz val="11"/>
        <color theme="1"/>
        <rFont val="Calibri"/>
        <family val="2"/>
        <scheme val="minor"/>
      </rPr>
      <t>But researchers speculated that the behavior may sometimes be caused by pain, which patients  were unable to express in other ways.</t>
    </r>
    <r>
      <rPr>
        <sz val="11"/>
        <color theme="1"/>
        <rFont val="Calibri"/>
        <family val="2"/>
        <scheme val="minor"/>
      </rPr>
      <t xml:space="preserve"> They studied 352 patients with moderate or severe dementia. Half were given painkillers with every meal, the rest continued with their usual treatments. After eight weeks, there was a reduction in agitation symptoms in the group being given painkillers. The researchers concluded that if patients’ pain was properly managed, doctors could reduce the number of prescriptions for antipsychotic drugs.                                                                                                                                      </t>
    </r>
  </si>
  <si>
    <r>
      <t xml:space="preserve">Cesc Fabregas’ birth certificate says he is 23 but everyone in football knows it is a gross understatement.  Few better than Fabregas, it is now clear. </t>
    </r>
    <r>
      <rPr>
        <u/>
        <sz val="11"/>
        <color theme="1"/>
        <rFont val="Calibri"/>
        <family val="2"/>
        <scheme val="minor"/>
      </rPr>
      <t xml:space="preserve">No one’s time is infinite, of course, but the sense of this must be especially acute when you are so young and accomplished and you see so clearly the fact that the years are slipping through your fingers like grains of sand.                                                                                                                                                         </t>
    </r>
    <r>
      <rPr>
        <sz val="11"/>
        <color theme="1"/>
        <rFont val="Calibri"/>
        <family val="2"/>
        <scheme val="minor"/>
      </rPr>
      <t xml:space="preserve">Fabregas’ competitive maturity is so great, and his understanding that football can take away gifts as quickly as it gives them so profound, his Arsenal manager, Arsène Wenger, must know that he is now facing more than the restlessness of a young superstar. Fabregas is a superstar all right, someone in the bracket of Messi, Ronaldo and Rooney, </t>
    </r>
    <r>
      <rPr>
        <u/>
        <sz val="11"/>
        <color theme="1"/>
        <rFont val="Calibri"/>
        <family val="2"/>
        <scheme val="minor"/>
      </rPr>
      <t xml:space="preserve">but he is also besieged by the conviction that unlike those brilliant rivals it has taken too long to fulfill his brilliant talent.                                                                                                                                                                            </t>
    </r>
    <r>
      <rPr>
        <sz val="11"/>
        <color theme="1"/>
        <rFont val="Calibri"/>
        <family val="2"/>
        <scheme val="minor"/>
      </rPr>
      <t xml:space="preserve">Fabregas now appears to see the future in going back to his beloved home town of Barcelona and the playing situation for which he has increasingly pined: the chance to play with a team capable of winning all the prizes.                                                                                                                      </t>
    </r>
    <r>
      <rPr>
        <u/>
        <sz val="11"/>
        <color theme="1"/>
        <rFont val="Calibri"/>
        <family val="2"/>
        <scheme val="minor"/>
      </rPr>
      <t/>
    </r>
  </si>
  <si>
    <r>
      <t xml:space="preserve">The Paris commune, it is not. Nor will anything resembling the basilica of the Sacrè Coeur be built one day over the bodies of the fallen redshirts at the Ratchaprasong intersection of Bangkok. </t>
    </r>
    <r>
      <rPr>
        <u/>
        <sz val="11"/>
        <color theme="1"/>
        <rFont val="Calibri"/>
        <family val="2"/>
        <scheme val="minor"/>
      </rPr>
      <t>But such is liberal democracy’s antipathy to, or fear of, revolution that its governing elites assume people have grown out of them, that the concept of political revolt is no longer in their DNA. Thailand’s slow-burning political crisis may teach them otherwise.</t>
    </r>
    <r>
      <rPr>
        <sz val="11"/>
        <color theme="1"/>
        <rFont val="Calibri"/>
        <family val="2"/>
        <scheme val="minor"/>
      </rPr>
      <t xml:space="preserve">                                                     The longer this crisis continues, and the harsher the methods used to contain it, the harder it becomes to characterize solely as a color-coded clash between two mutually exclusive tribes, the urban and rural poor against an establishment elite of royalists, bureaucrats and military generals.   After the deaths of another 29 people, all of them civilians, the mood on both sides of the bamboo and tyre barricades has hardened. One thing is clear: even if Thailand’s military-backed government succeeds in wiping this unseemly blot of open dissent from Bangkok’s city centre, the country’s political order will never be the same. </t>
    </r>
    <r>
      <rPr>
        <u/>
        <sz val="11"/>
        <color theme="1"/>
        <rFont val="Calibri"/>
        <family val="2"/>
        <scheme val="minor"/>
      </rPr>
      <t/>
    </r>
  </si>
  <si>
    <r>
      <t xml:space="preserve">Voters in Britain’s second most hotly contested election this year will begin casting their votes later this week, </t>
    </r>
    <r>
      <rPr>
        <u/>
        <sz val="11"/>
        <color theme="1"/>
        <rFont val="Calibri"/>
        <family val="2"/>
        <scheme val="minor"/>
      </rPr>
      <t>with Oxford University hoping to consign to history the controversy and ill-feeling caused by its last, aborted search for a Professor of Poetry.</t>
    </r>
    <r>
      <rPr>
        <sz val="11"/>
        <color theme="1"/>
        <rFont val="Calibri"/>
        <family val="2"/>
        <scheme val="minor"/>
      </rPr>
      <t xml:space="preserve">                                                Whoever wins will be hoping that his or her success draws a line under the unsavory fallout caused by the selection process last year, which saw the leading candidate- Nobel Laureate Derek Walcott – dramatically pull out of the contest after he became the victim of an anonymous smear campaign which resurrected allegations of sexual misconduct against him. The eventual winner was Ruth Padel, the first woman to hold the professorship. But she was forced to resign after just a week in the job, despite vehemently denying any involvement in the attempts to discredit Mr. Walcott. Since then, the position has remained empty while Oxford University set about changing the rules of engagement for the contest in an attempt to increase turnout from a recent average of just 500 voters.                                                                                                                                           </t>
    </r>
    <r>
      <rPr>
        <u/>
        <sz val="11"/>
        <color theme="1"/>
        <rFont val="Calibri"/>
        <family val="2"/>
        <scheme val="minor"/>
      </rPr>
      <t/>
    </r>
  </si>
  <si>
    <r>
      <t xml:space="preserve">What does a defense authorization bill have to do with allowing undocumented young people to earn legal status in the United States? Many Republicans are asking that question. The Dream Act, which Senate Majority Leader Harry Reid has promised to include as part of the Defense Department’s authorization, has enjoyed bipartisan support for years, but never gained traction because of promises that it would be rolled into a major immigration reform. This one should be an easy call for senators: It would encourage about 65,000 undocumented students who graduate annually nationwide to go to college or join the military. These young people did not cross a border illegally of their own volition. They were innocent bystanders. They are now expected to pay for their parents’ actions of entering or staying illegally in the United States. Most of these children have never returned to the country where they were born. </t>
    </r>
    <r>
      <rPr>
        <u/>
        <sz val="11"/>
        <color theme="1"/>
        <rFont val="Calibri"/>
        <family val="2"/>
        <scheme val="minor"/>
      </rPr>
      <t>They have assimilated into American society,</t>
    </r>
    <r>
      <rPr>
        <sz val="11"/>
        <color theme="1"/>
        <rFont val="Calibri"/>
        <family val="2"/>
        <scheme val="minor"/>
      </rPr>
      <t xml:space="preserve"> becoming top students.Given a chance, these are America’s future business people, scientists, doctors, nurses, teachers, generals. They would be paying into Social Security, too. </t>
    </r>
    <r>
      <rPr>
        <u/>
        <sz val="11"/>
        <color theme="1"/>
        <rFont val="Calibri"/>
        <family val="2"/>
        <scheme val="minor"/>
      </rPr>
      <t/>
    </r>
  </si>
  <si>
    <r>
      <t xml:space="preserve">Liam Fox made a good first impression at the Ministry of Defense. </t>
    </r>
    <r>
      <rPr>
        <u/>
        <sz val="11"/>
        <color theme="1"/>
        <rFont val="Calibri"/>
        <family val="2"/>
        <scheme val="minor"/>
      </rPr>
      <t xml:space="preserve">The department has been subjected to upheaval and uncertainty thanks to a revolving door of ministers. Dr Fox said he intended to stay for five years as Secretary of State.                                                                                           </t>
    </r>
    <r>
      <rPr>
        <sz val="11"/>
        <color theme="1"/>
        <rFont val="Calibri"/>
        <family val="2"/>
        <scheme val="minor"/>
      </rPr>
      <t xml:space="preserve">Now comes the hard part. Dr. Fox will have to deal with a Strategic Defense Review and as he said on taking office, the priority is Afghanistan.                                                                                                     The new Defense Secretary takes over at a time when the role of British troops in Helmand is going through fundamental changes, the main one being that they will be reporting from 1 June to Major General Richard Mills of the US Marine Corps, instead of Major General Nick Carter of the British Army.                                                                                                                                           There will, undoubtedly, be criticism of the passing of command after all the sacrifices that have been made in Helmand. But the reality on the ground is that the Americans will be taking the lead in large-scale missions in the future as they did in Marjah.                                         General Stanley McChrystal, the head of NATO’s Afghan force wants British forces to move from Helmand to Kandahar to replace the outgoing Canadians. The previous government and the head of the military, Air Chief Marshal Sir Jock Stirrup, were all adamantly opposed to the Kandahar move. </t>
    </r>
    <r>
      <rPr>
        <u/>
        <sz val="11"/>
        <color theme="1"/>
        <rFont val="Calibri"/>
        <family val="2"/>
        <scheme val="minor"/>
      </rPr>
      <t>The Kandahar option would be a bold move for the new government and may assuage the rancor with the Americans over the hasty withdrawal,</t>
    </r>
    <r>
      <rPr>
        <sz val="11"/>
        <color theme="1"/>
        <rFont val="Calibri"/>
        <family val="2"/>
        <scheme val="minor"/>
      </rPr>
      <t xml:space="preserve"> against their wishes, from Basra.                                                                                                                                                                     </t>
    </r>
    <r>
      <rPr>
        <u/>
        <sz val="11"/>
        <color theme="1"/>
        <rFont val="Calibri"/>
        <family val="2"/>
        <scheme val="minor"/>
      </rPr>
      <t/>
    </r>
  </si>
  <si>
    <r>
      <t xml:space="preserve">It has been a quiet few weeks in the offices of Britain’s biggest union, Unite but that was a lull that could not last. Unite must now decide whether or how to deploy its financial muscle in the Labor Party leadership election. It has also caused some surprise that a union so closely tied to the Labor Party should want to hold a strike that will provoke so much outrage among air travelers. Twenty days’ disruption by British Airways cabin crews would make the name of Unite so notorious that it could threaten to be the kiss of death to whichever Labor leadership candidate the union endorses. By the same token, last December’s planned strike could have done damage to Labor’s election prospects, had it not been barred by a High Court. And yet Unite is Labor’s biggest financial backer.                                                                                                                                                                              </t>
    </r>
    <r>
      <rPr>
        <u/>
        <sz val="11"/>
        <color theme="1"/>
        <rFont val="Calibri"/>
        <family val="2"/>
        <scheme val="minor"/>
      </rPr>
      <t>The key to this apparent contradiction is that Unite is so large and fragmented that a more apt name for it would be Disunite.</t>
    </r>
    <r>
      <rPr>
        <sz val="11"/>
        <color theme="1"/>
        <rFont val="Calibri"/>
        <family val="2"/>
        <scheme val="minor"/>
      </rPr>
      <t xml:space="preserve"> It is an amalgam of unions brought together and run by competing general secretaries. </t>
    </r>
    <r>
      <rPr>
        <u/>
        <sz val="11"/>
        <color theme="1"/>
        <rFont val="Calibri"/>
        <family val="2"/>
        <scheme val="minor"/>
      </rPr>
      <t>Even so, Unite’s support guarantees that its chosen Labor candidate will be able to fight a well-funded campaign,</t>
    </r>
    <r>
      <rPr>
        <sz val="11"/>
        <color theme="1"/>
        <rFont val="Calibri"/>
        <family val="2"/>
        <scheme val="minor"/>
      </rPr>
      <t xml:space="preserve"> and that hundreds and thousands of Unite members will receive communications from their union in his support.                                             </t>
    </r>
  </si>
  <si>
    <r>
      <t xml:space="preserve">An hour after first setting foot on Belle-Ile-en-Mer in August in 1894, Sarah Bernhardt had bought an abandoned fort on the cliff top at la Pointe des Poulins. “I love Belle-Ile,” the actress told the London Telegraph in 1904. Stepping off the ferry after the 45-minute crossing from Quiberon, , I could see the attraction: a pretty little port with visitors lunching in their launches, seafood restaurants and small shops selling biscuits, local goats’ cheese and beautifully packaged tinned tuna. Warmed by the Gulf Stream, Belle-Ile has a sunnier disposition than mainland Brittany. The 5,000 inhabitants and 50,000 summer visitors have 58 beaches to enjoy and 100km of coastal paths to explore.  </t>
    </r>
    <r>
      <rPr>
        <u/>
        <sz val="11"/>
        <color theme="1"/>
        <rFont val="Calibri"/>
        <family val="2"/>
        <scheme val="minor"/>
      </rPr>
      <t>But the island is not all sweetness and light. The brutal beauty of the north-west coast is savage and inspiring</t>
    </r>
    <r>
      <rPr>
        <sz val="11"/>
        <color theme="1"/>
        <rFont val="Calibri"/>
        <family val="2"/>
        <scheme val="minor"/>
      </rPr>
      <t xml:space="preserve">. Rocky plateaux drop sharply into deep ravines, sea-spray fountains up the cliffs. The island is a well-kept secret by the French.                                                                                                                                                                        I spent a couple of hours exploring Sarah Bernhardt’s old haunts. These stoned buildings have since opened as exhibition rooms, and an audio guide led me through Bernhardt’s extraordinary career: from humble beginnings through roles as Joan of Arc, Cleopatra, Phèdre and even Hamlet, to being awarded the Lègion d’honneur.  Back outside, I followed a path down to the imposing stone fort that was Bernhardt’s former home. As I entered the cool interior, </t>
    </r>
    <r>
      <rPr>
        <u/>
        <sz val="11"/>
        <color theme="1"/>
        <rFont val="Calibri"/>
        <family val="2"/>
        <scheme val="minor"/>
      </rPr>
      <t xml:space="preserve">I took advantage of the peace and quiet to picture her holding court among her friends, </t>
    </r>
    <r>
      <rPr>
        <sz val="11"/>
        <color theme="1"/>
        <rFont val="Calibri"/>
        <family val="2"/>
        <scheme val="minor"/>
      </rPr>
      <t xml:space="preserve">working on a new sculpture or reading quietly on her chaise longue. Her love affair with Belle- Ile is one that many visitors will share.                                                                                           </t>
    </r>
    <r>
      <rPr>
        <u/>
        <sz val="11"/>
        <color theme="1"/>
        <rFont val="Calibri"/>
        <family val="2"/>
        <scheme val="minor"/>
      </rPr>
      <t/>
    </r>
  </si>
  <si>
    <r>
      <t xml:space="preserve">Every time it looks as if the big powers have finally run out of patience with Iran’s nuclear misdeeds, Tehran’s leaders suddenly decide they’re in the mood to compromise. And every time the big powers let up on the pressure, Tehran’s compromises turn to smoke.                                    It was no surprise on Monday when Iran announced it was ready to accept a deal to ship some of its nuclear fuel out of the country. So it is welcome news that the United States, Europe, Russia and China will press ahead with new United Nations Security Council sanctions. The resolution takes aim at Iran’s financial institutions. It would also require countries to inspect ships or aircraft coming into or out of Iran if there are suspicions they are carrying banned materials. Like the three resolutions that preceded it, it is probably not tough enough to change minds in Tehran. </t>
    </r>
    <r>
      <rPr>
        <u/>
        <sz val="11"/>
        <color theme="1"/>
        <rFont val="Calibri"/>
        <family val="2"/>
        <scheme val="minor"/>
      </rPr>
      <t xml:space="preserve">But the fact that Russia and China – Iran’s longtime enablers – have signed on is likely to make some players in Iran’s embattled government nervous.                                                                                                               </t>
    </r>
    <r>
      <rPr>
        <sz val="11"/>
        <color theme="1"/>
        <rFont val="Calibri"/>
        <family val="2"/>
        <scheme val="minor"/>
      </rPr>
      <t>The 11</t>
    </r>
    <r>
      <rPr>
        <vertAlign val="superscript"/>
        <sz val="11"/>
        <color theme="1"/>
        <rFont val="Calibri"/>
        <family val="2"/>
        <scheme val="minor"/>
      </rPr>
      <t>th</t>
    </r>
    <r>
      <rPr>
        <sz val="11"/>
        <color theme="1"/>
        <rFont val="Calibri"/>
        <family val="2"/>
        <scheme val="minor"/>
      </rPr>
      <t xml:space="preserve">-hour agreement announced this week with the leaders of Brazil and Turkey was much like one reached with the big powers last fall. Iran would transfer about 2,640 pounds of its low-enriched uranium to Turkey within one month and receive- within one year- fuel rods for use in a medical research reactor.                                                                                                                          The original deal was intended to measurably delay Iran’s progress toward a nuclear weapon while opening the door to serious negotiations. </t>
    </r>
    <r>
      <rPr>
        <u/>
        <sz val="11"/>
        <color theme="1"/>
        <rFont val="Calibri"/>
        <family val="2"/>
        <scheme val="minor"/>
      </rPr>
      <t xml:space="preserve">The current deal leaves Iran with too much fuel, puts no brakes on enrichment at a higher rate, lets Tehran take back the fuel stored in Turkey when it wants and makes no commitment to talks.                                                                       </t>
    </r>
    <r>
      <rPr>
        <sz val="11"/>
        <color theme="1"/>
        <rFont val="Calibri"/>
        <family val="2"/>
        <scheme val="minor"/>
      </rPr>
      <t xml:space="preserve">                                                         </t>
    </r>
  </si>
  <si>
    <r>
      <t xml:space="preserve">At this point, Microsoft must have developed its own seminar for employees called something like Apologizing With Optimism: How to Persuade People to Give You Another Try.                                       It seems like one product after another – Windows 7, Windows Phone 7, Bing and now a revamped Hotmail, due this summer – arrive with Microsoft admitting it could have done more with previous versions of its software, while promising people that things really are better this time around .                                                                                                                                    Of course, Hotmail suffers in the United States from a bit of a “perception problem,” as the Microsoft vice president Chris Jones put it. </t>
    </r>
    <r>
      <rPr>
        <u/>
        <sz val="11"/>
        <color theme="1"/>
        <rFont val="Calibri"/>
        <family val="2"/>
        <scheme val="minor"/>
      </rPr>
      <t xml:space="preserve">People perceive that Hotmail is plagued by spam, has underwhelming storage, is missing a lot of features and is basically yesteryear’s e-mail service.                                                                                                                                                                       </t>
    </r>
    <r>
      <rPr>
        <sz val="11"/>
        <color theme="1"/>
        <rFont val="Calibri"/>
        <family val="2"/>
        <scheme val="minor"/>
      </rPr>
      <t xml:space="preserve">Gone are those dark ages when you just swapped messages with co-workers and college chums. Everyone has e-mail and that means a flood of photos, documents, status updates, spam and shopping messages pouring into your personal inbox.                                                                This summer, </t>
    </r>
    <r>
      <rPr>
        <u/>
        <sz val="11"/>
        <color theme="1"/>
        <rFont val="Calibri"/>
        <family val="2"/>
        <scheme val="minor"/>
      </rPr>
      <t>Microsoft will roll out a retooled Hotmail that filters messages into four buckets</t>
    </r>
    <r>
      <rPr>
        <sz val="11"/>
        <color theme="1"/>
        <rFont val="Calibri"/>
        <family val="2"/>
        <scheme val="minor"/>
      </rPr>
      <t xml:space="preserve"> –mail from people you know, mail from social networks, personal business and spam. So, with a quick glance, you’ll be able to gauge which messages are most important to you – likely those from people you know – and act on them first. You can also click a button to hide unwanted stuff.                                                                                                                                                          </t>
    </r>
    <r>
      <rPr>
        <u/>
        <sz val="11"/>
        <color theme="1"/>
        <rFont val="Calibri"/>
        <family val="2"/>
        <scheme val="minor"/>
      </rPr>
      <t/>
    </r>
  </si>
  <si>
    <r>
      <t xml:space="preserve">This year’s festival has been low on Hollywood stars, and the market feels flat. The weather is cold and the lineup spotty, and yet none of this matters – because God is coming to town. Jean-Luc Godard! Inside the Palais, the delegates recite his name like an incantation. Who cares if he is old and frail (79 last birthday?) So what if he says his latest work – Film Socialism – will be his last? If anyone is guaranteed to raise Cannes to the rafters, it is the revolutionary firebrand behind Breathless, Weekend and Contempt.                                                                             There are still some at this festival who can recall the heady days of May 1968, when Cannes was galvanized by the uprisings in Paris. </t>
    </r>
    <r>
      <rPr>
        <u/>
        <sz val="11"/>
        <color theme="1"/>
        <rFont val="Calibri"/>
        <family val="2"/>
        <scheme val="minor"/>
      </rPr>
      <t>They will tell you how Godard was at the vanguard of a gang of nine film-makers who stormed the festival hall and brought the event to a halt.</t>
    </r>
    <r>
      <rPr>
        <sz val="11"/>
        <color theme="1"/>
        <rFont val="Calibri"/>
        <family val="2"/>
        <scheme val="minor"/>
      </rPr>
      <t xml:space="preserve"> These directors came to rally support for the strikers and the students. The audience, however, thought they had come to burn the cinema down and proceeded to break for the exit. Cannes 68 was officially cancelled the following morning.                                                                                                     Cannes 2010 is just a few days old. The man himself has yet to arrive but that’s OK, because a glance through the program suggests that the spirit of 1968 is alive and well. The lineup includes pointed political films from France, Italy, Africa and China, amid the usual crop of Hollywood blockbusters and B-movie rip-offs. </t>
    </r>
    <r>
      <rPr>
        <u/>
        <sz val="11"/>
        <color theme="1"/>
        <rFont val="Calibri"/>
        <family val="2"/>
        <scheme val="minor"/>
      </rPr>
      <t xml:space="preserve">It has become a Cannes tradition to balance its ticket, to offset the celebrity glitz with the sort of films that kick up a storm and clamor for action.                                                                                                                                                                                     </t>
    </r>
  </si>
  <si>
    <r>
      <t xml:space="preserve">In the shadow of Guantanamo Bay and Abu Ghraib, the default liberal view of US troops in Iraq was often of stoned, cowardly rednecks shooting innocents for sport. But when I spent time as an embedded reporter with the US Army in Baghdad, the soldiers I met were generally brave, quick-witted and compassionate. I wasn’t quite sure what to expect last week on an excursion with the Indian Army. The faces, languages and generous hospitality of India were the last thing I’d anticipated in rural Democratic Republic of the Congo. But with more than 4,000 troops on the ground, they’re the biggest contingent of the biggest UN peacekeeping operation in the world. At the Monuc compound, I met Major Rohit Sharma, 35, from Delhi. I hitched a ride with him in a UN jeep and we travelled 150km north of Goma stopping at military bases along the way. They all had an Indian flavor. There were Indian flags and shrines, Indian food and furniture, and a military etiquette and deference to tradition that somehow evoked popular notions of the British Raj. At every opportunity I was offered a cup of tea and we spoke a common language, English, in this otherwise officially francophone country. </t>
    </r>
    <r>
      <rPr>
        <u/>
        <sz val="11"/>
        <color theme="1"/>
        <rFont val="Calibri"/>
        <family val="2"/>
        <scheme val="minor"/>
      </rPr>
      <t xml:space="preserve">The soldiers expressed tentative optimism that their mission is working and violence is slowly ebbing here. </t>
    </r>
    <r>
      <rPr>
        <sz val="11"/>
        <color theme="1"/>
        <rFont val="Calibri"/>
        <family val="2"/>
        <scheme val="minor"/>
      </rPr>
      <t xml:space="preserve">But that same night, two people were killed, and more were hospitalized, in a rebel attack on a nearby village.I went back to Goma and said my goodbyes to Sharma. The Indian Army in the Congo will never seize the international limelight like the Americans and British in Afghanistan. Many people are unaware that they are even there. But perhaps </t>
    </r>
    <r>
      <rPr>
        <u/>
        <sz val="11"/>
        <color theme="1"/>
        <rFont val="Calibri"/>
        <family val="2"/>
        <scheme val="minor"/>
      </rPr>
      <t xml:space="preserve">a cup of tea should be raised in honor </t>
    </r>
    <r>
      <rPr>
        <sz val="11"/>
        <color theme="1"/>
        <rFont val="Calibri"/>
        <family val="2"/>
        <scheme val="minor"/>
      </rPr>
      <t xml:space="preserve">of these unsung tours of duty in the half-forgotten corners of the world.                                                                                                                                                             </t>
    </r>
    <r>
      <rPr>
        <u/>
        <sz val="11"/>
        <color theme="1"/>
        <rFont val="Calibri"/>
        <family val="2"/>
        <scheme val="minor"/>
      </rPr>
      <t/>
    </r>
  </si>
  <si>
    <r>
      <t xml:space="preserve">It was going to be the largest single charitable donation in Panama’s history: more than $50 million for poor children. Wilson Lucom, a US tycoon, left most of his estate to a foundation to help the neediest people in the country where he lived until his death in 2006, aged 88.                                    Now, four years later, after a bitter legal battle, the fortune is going to one of Panama’s most powerful dynasties and the children have been left without a cent.                                                                                                                                                                  Panama’s supreme court declared Lucom’s will void in August, it has emerged, giving the entire estate to his widow, Hilda, the ailing, octogenarian matriarch of the Arias family, which has extensive media, property and financial interests. Her five children from a previous marriage are expected to inherit the money after she dies. </t>
    </r>
    <r>
      <rPr>
        <u/>
        <sz val="11"/>
        <color theme="1"/>
        <rFont val="Calibri"/>
        <family val="2"/>
        <scheme val="minor"/>
      </rPr>
      <t xml:space="preserve">Critics have accused the tycoon’s widow of greed and questioned the integrity of Panama’s judicial system.                                                                     </t>
    </r>
    <r>
      <rPr>
        <sz val="11"/>
        <color theme="1"/>
        <rFont val="Calibri"/>
        <family val="2"/>
        <scheme val="minor"/>
      </rPr>
      <t xml:space="preserve">Lucom was an unlikely champion of poor children. He married Hilda Piza de Arias and in the 1990s they moved to Panama. Lucom, who never had children of his own, continued propagating radical beliefs, such as nuclear strikes to deter terrorism.                                                                                                                                                         Several courts upheld the will as reflecting Lucom’s last wishes but </t>
    </r>
    <r>
      <rPr>
        <u/>
        <sz val="11"/>
        <color theme="1"/>
        <rFont val="Calibri"/>
        <family val="2"/>
        <scheme val="minor"/>
      </rPr>
      <t xml:space="preserve">Panama’s Supreme Court declared it void last month, arguing that Lucom’s reference to his “beloved wife” showed he really wanted her to inherit the estate, </t>
    </r>
    <r>
      <rPr>
        <sz val="11"/>
        <color theme="1"/>
        <rFont val="Calibri"/>
        <family val="2"/>
        <scheme val="minor"/>
      </rPr>
      <t xml:space="preserve">not poor children. Critics – including a former US ambassador – have in the past accused Panama’s justice system of favoring the rich and powerful.                                                                                                                                                                </t>
    </r>
    <r>
      <rPr>
        <u/>
        <sz val="11"/>
        <color theme="1"/>
        <rFont val="Calibri"/>
        <family val="2"/>
        <scheme val="minor"/>
      </rPr>
      <t/>
    </r>
  </si>
  <si>
    <r>
      <t>The Palestinian leadership confirmed yesterday that it would not return to direct peace negotiations with the Israelis without an extension to the now-expired freeze on settlement construction,</t>
    </r>
    <r>
      <rPr>
        <sz val="11"/>
        <color theme="1"/>
        <rFont val="Calibri"/>
        <family val="2"/>
        <scheme val="minor"/>
      </rPr>
      <t xml:space="preserve"> amid determined but increasingly frustrated efforts by the Americans to keep the talks alive. The executive committee of the Palestinian Liberation Organization met in Ramallah to consider its position following the end of the moratorium last weekend. Palestinian negotiators have said repeatedly that they would not stay at the negotiating table unless the freeze were extended, and that Israel must choose between settlements and peace. </t>
    </r>
    <r>
      <rPr>
        <u/>
        <sz val="11"/>
        <color theme="1"/>
        <rFont val="Calibri"/>
        <family val="2"/>
        <scheme val="minor"/>
      </rPr>
      <t>Prospects for a compromise on the issue of settlement building appear to be receding.</t>
    </r>
    <r>
      <rPr>
        <sz val="11"/>
        <color theme="1"/>
        <rFont val="Calibri"/>
        <family val="2"/>
        <scheme val="minor"/>
      </rPr>
      <t xml:space="preserve"> The Israeli government is reported to have rejected a US proposal last week, under which the Americans offered a raft of guarantees – including increased military aid for Israel – in exchange for a 60-day extension.                                                                                                               Washington’s Middle East envoy, George Mitchell, and the EU’s foreign policy chief, Catherine Ashton, were both in Jerusalem and Ramallah last week in the attempt to bring the two sides closer together, without any apparent movement in positions.                                                                </t>
    </r>
    <r>
      <rPr>
        <sz val="11"/>
        <color theme="1"/>
        <rFont val="Calibri"/>
        <family val="2"/>
        <scheme val="minor"/>
      </rPr>
      <t xml:space="preserve">                                                                                                                                                                  The second underlined sentence answers the second question. A ‘compromise’ is an ‘agreement’ and ‘receding’ here means ‘decreasing.’</t>
    </r>
  </si>
  <si>
    <r>
      <t xml:space="preserve">Koro is used by 800 to 1,200 people in a remote area. The language had gone undetected by outsiders because its speakers shared cultural similarities with the speakers of Aka, a key language in the region. The previously unknown language has been uncovered in the far reaches of northeastern India, researchers have  reported. Koro, a tongue brand-new to the scientific world, could soon face extinction as younger speakers abandon it for more widely used languages such as Hindi or English. The researchers said they are not sure yet how old Koro is or how it developed. </t>
    </r>
    <r>
      <rPr>
        <u/>
        <sz val="11"/>
        <color theme="1"/>
        <rFont val="Calibri"/>
        <family val="2"/>
        <scheme val="minor"/>
      </rPr>
      <t xml:space="preserve">But they believe it could yield a wealth of knowledge about the way humans develop and use language.                                                                                                                                                           </t>
    </r>
    <r>
      <rPr>
        <sz val="11"/>
        <color theme="1"/>
        <rFont val="Calibri"/>
        <family val="2"/>
        <scheme val="minor"/>
      </rPr>
      <t xml:space="preserve">The speakers of Koro had remained invisible to outside observers because their bright red garments, the rice beer they made and other details of their lives seemed no different from that of the speakers of Aka, the socially dominant language in the region. Koro also blends in because its speakers frequently marry Aka speakers and people who use another tongue, Miji .                                                                                                                                                                                    </t>
    </r>
    <r>
      <rPr>
        <u/>
        <sz val="11"/>
        <color theme="1"/>
        <rFont val="Calibri"/>
        <family val="2"/>
        <scheme val="minor"/>
      </rPr>
      <t>The researchers say there are still many mysteries they hope to unravel,</t>
    </r>
    <r>
      <rPr>
        <sz val="11"/>
        <color theme="1"/>
        <rFont val="Calibri"/>
        <family val="2"/>
        <scheme val="minor"/>
      </rPr>
      <t xml:space="preserve"> such as why the speakers  don’t seem to notice how vastly different their languages are, </t>
    </r>
    <r>
      <rPr>
        <u/>
        <sz val="11"/>
        <color theme="1"/>
        <rFont val="Calibri"/>
        <family val="2"/>
        <scheme val="minor"/>
      </rPr>
      <t>and how the Koro speakers, who seem to blend in with Aka speakers in every other way, have managed to preserve their distinct language for so long.</t>
    </r>
    <r>
      <rPr>
        <sz val="11"/>
        <color theme="1"/>
        <rFont val="Calibri"/>
        <family val="2"/>
        <scheme val="minor"/>
      </rPr>
      <t xml:space="preserve"> The answers, said the linguists, are probably related to the community’s relative isolation from the rest of the world.                                                                            Now globalization is ending that isolation, and it may end Koro’s existence, too.                                      </t>
    </r>
    <r>
      <rPr>
        <u/>
        <sz val="11"/>
        <color theme="1"/>
        <rFont val="Calibri"/>
        <family val="2"/>
        <scheme val="minor"/>
      </rPr>
      <t/>
    </r>
  </si>
  <si>
    <t>Csilla from Hungary tells about how she found her cat. I first saw Mandula last summer along a busy road. She was begging people for food. The poor cat was all skin and bones at that time. She was starving. Mandula was also pregnant. Thus, I decided to look after her immediately. Two weeks after I brought her into my home, Mandula gave birth to six beautiful and playful kittens. Those kittens have grown up and are living in different homes. And, Mandula – whose name means “almond” in Hungarian — is now a happy cat who likes to watch television with me every evening.</t>
  </si>
  <si>
    <t>A Military Operation. The store force consisted of both naval and army elements as the destroyer was landing troops, equipment and supplies. The whole operation was carried out at night, without a moon and showing no lights for security reasons. Each man had been drilled to do his work precisely and without being able to see more than a few yards. Silence was also a key element, so unavoidable noises were muffled as far as was possible.</t>
  </si>
  <si>
    <t>News about The Iron Curtain. According to a report in Germany’s Der Spiegel magazine, the land once known as “the Iron Curtain” may be protected. The Iron Curtain was a term used to describe the border between Eastern and Western Europe from 1945 to 1990. In Germany, the Iron Curtain stretched 1,400 kilometers and was covered in wire and mines. Although this land was uninhabitable for humans, it was a good place for
wildlife –including black storks, otters and bats — to exist. Now the governments of 16 states in Germany may decide to protect this area by not
allowing the development of roads and buildings in it.</t>
  </si>
  <si>
    <t>Horoscope: Taurus. The sign Taurus is ruled by Venus. Physically it is related to the throat. It is said to have a feminine nature, and is therefore more passive and receptive in its energy expression. Taurus is an Earth sign and as such is connected with fruitfulness and stability. A planet placed in this sign will be a stabilizing influence and manifest its energy in a steadfast and determined manner. Taurus is also a fixed sign, and this means that once a course is embarked on, it is rarely deviated from. Maintenance and care of existing conditions over long periods of time, and a reluctance to initiate change, are qualities of this sign.</t>
  </si>
  <si>
    <t>The Green Jacket. You might not consider a green jacket to be among the most desirable fashion items. Nevertheless, the world’s best golfers will be trying to win a green jacket this weekend at the Masters Tournament in Augusta, Georgia. In addition to receiving a couple hundred thousand dollars in prize money, the winner becomes an honorary member of the Augusta National Golf Club and receives a green jacket. The winner gets to keep the green jacket for a year, then he returns it to the club to wear whenever he visits. It is traditional for the winner of the previous year’s tournament to present the jacket to the present winner.</t>
  </si>
  <si>
    <t>Asparagus with Alioli.-Ingredients.- 2 asparagus bunches, or 20 spears, 4 medium to large garlic cloves, salt to taste, 2 egg yolks, 1 ½ tbsp fresh lemon juice, 1 cup extra virgin Spanish olive oil.Preparation.- For alioli sauce, peel and mince garlic with salt to make a paste. Add egg yolks to
paste and whisk. Slowly pour in olive oil until a creamy sauce forms. Add a dash of lemon juice and blend. For asparagus, trim off the bottoms. Steam for five to eight minutes. Remove spears from steamer and drain, allowing them to cool. Finally, pour sauce over asparagus and serve. Remember in Spain it is traditional to eat asparagus with your fingers.</t>
  </si>
  <si>
    <t xml:space="preserve">Crossing Borders. Rudolf Karnis, aged 71, remembers the days when a holiday outside of his native Slovakia was filled with problems at the borders. During trips to neighboring countries, such as Hungary and Poland, Karnis and his family would have to stop for long periods at the border for customs control. “It is nothing like that anymore,” said Karnis, who, like millions of other Central Europeans, is travelling across borders without even having to stop. His countryman Peter Svancar, a civil engineer who works in Poland, agrees. “It is much more relaxing now when your train is not stopped at the borders and you do not have to show your passport all the time,” he said. </t>
  </si>
  <si>
    <t>A News Story about an Incident at a Restaurant: Health and Sanitation Department Inspector Ralph Simmons says that if the manager of the restaurant hadn’t tried to cut costs by buying mushrooms from unlicensed sellers, he wouldn’t have sent all those people to the hospital with food poisoning last week. The restaurant manager was unavailable for comment but a spokesman for the restaurant said the victims had all recovered and offered his sincere apologies for the unfortunate incident.</t>
  </si>
  <si>
    <t>Biomass as a carbon-neutral energy source. As we struggle to meet our renewable-energy goals, we ought to embrace biomass. Biomass energy is positively carbon-neutral. Burning agricultural waste or forest residue to generate electricity releases no more carbon dioxide than if those materials simply decayed. Furthermore, biomass energy reduces the need to burn fossil fuels, and the less fossil fuel we burn the more we reduce our carbon footprint. But that hasn’t stopped fear-mongering aimed at denying biomass credit as a cleanenergy source. Claims that biomass energy is anything but carbon-neutral ignore the fact that not all carbon is created equal, at least in terms of the global carbon cycle. When fossil fuels are burned to produce energy, there is a net increase in carbon released to the atmosphere, because it takes carbon that was stored safely underground and adds it to the atmosphere. Biomass energy, however, deals with biogenic carbon - carbon that is already part of the atmospheric system. There’s no carbon added because the carbon in question is already part of the global-carbon cycle. So even if more carbon dioxide goes up a biomass-energy power-plant smokestack than a coal-fired power-plant smokestack, it’s OK because one is relatively harmless and the other relatively harmful. As regulators debate what should and shouldn’t be considered renewable energy sources, they should focus on encouraging investment to reduce emissions and our dependence on fossil fuels. Most of all, science should trump irrational fears. It’s time to give biomass the credit it is due.</t>
  </si>
  <si>
    <t>A journalist’s response to recent microbiology research: There are some things it is better just not to think about. Like the 10,000 bacteria you inhale with each breath in the average office building. Or the 10 million bacteria in each glass of tap water. Microbiologists have now added something else to the list of things too gross to contemplate: the deluge of bacteria that hit your face and flow deep into your lungs in the morning shower. This unwelcome peek behind the shower curtain has been provided by a group of microbiologists at the University of Colorado using a new type of test. Conventional tests depend on growing cultures of the bacteria to be identified, but because most species cannot be grown in the laboratory, a majority of bacterial species are missed. The new method examines the genetic material directly, without the need for culturing bacteria. As part of a project to measure microbes in the indoor human environment, they looked at shower water, in part because in showers bacteria are incorporated into fine droplets that can be breathed deep into the lungs. The bacteria get into shower heads from the water and build up there, so the dose is highest when the shower is first turned on. Running the water for 30 seconds before stepping in would mean fewer bacteria in one’s face. Also, the bacteria seem to find metal shower heads a less hospitable niche than plastic ones.</t>
  </si>
  <si>
    <t>A film critic’s assessment of the "youth culture" in Hollywood: The 23-year old Shia LaBeouf, without meaning to do so, has become a metaphor for
how youth culture - after decades of elbowing its way to the forefront - now almost entirely dominates the culture itself. One day, he was a Disney kid, starring on cable’s "Even Stevens" and in the movie "Holes", and then suddenly, Steven Spielberg turned him into an action star in the latest "Indiana Jones" film. LaBeouf’s rise owes a great deal to his own charisma and charm, of course, but the actor’s ubiquity represents a slightly off-putting new paradigm in Hollywood: Young viewers want to see young stars, as they always have, but older viewers - the ones who can still be bothered to see movies in theaters - want to see young stars as well. The disturbing part is that those older audiences seem to have lost most of their interest in films about people their own age. Many recent "adult dramas" have flopped at the box office. And while a case can be made that those individual films had flaws that had nothing to do with their target demographic, their disappointing returns are endemic of a larger cultural trend wherein youth is valued above all else and maturity is, well, boring. For the studios, this winds up as a win-win; younger stars with shorter careers don’t cost as much as a older, more established stars. And when audiences vote with their dollars for the newcomers over the veterans, that ensures a healthier profit margin.</t>
  </si>
  <si>
    <t>The following is an article about the possibility of providing health insurance to illegal immigrants in the U.S.: The question of giving health insurance to undocumented workers is ethically murky and politically impossible. Some people argue that if we’re hiring illegals to, say, shingle our roofs, we have a moral obligation to care for them if they fall off. But more people simply want them out of the country. Given that illegal immigrants have, by definition, broken our laws, it makes sense that large numbers of upstanding citizens oppose any measure that would encourage more foreigners to sneak into America or make their lives easier once they’re here. The only problem? From a purely economic standpoint, insuring illegal immigrants makes a lot of sense - and not just for them, but for everyone. Immigrants typically arrive in America during their prime working years and tend to be younger and healthier than the rest of the U.S. population. As a result, health-care expenditures for the average immigrant are lower than for a native-born American citizen with similar characteristics. It stands to reason that including the relatively healthy,relatively employable and largely uninsured illegal population in some sort of universal health-care system would be a boon rather than a burden. "Insurance in principle has to cover the average medical cost of all the people it’s serving," explains a professor of health policy. "So if you add cheaper people to the pool, like immigrants, you reduce the average cost." More undocumented workers, in other words, means lower premiums for everyone. And, since most illegal workers stay only long enough to save enough money to support their families in their home
countries, they leave before becoming a burden on the system.</t>
  </si>
  <si>
    <t>The decline of handwriting: Recently, two journalists wrote a newspaper article about the decline of handwriting. By now it’s well-known: most kids - what with computers and text messages - can no longer write by hand, except in laboured capital letters. The crisis began with the advent of the ballpoint pen. Early ballpoints were very messy and if, immediately after writing, you ran your finger over the last few words, a smudge inevitably appeared. So, people no longer felt much interest in writing well, since handwriting, when produced with a ballpoint, even a clean one, no longer had soul, style or personality. Why should we regret the passing of good handwriting? The capacity to write well and quickly on a keyboard encourages rapid thought, and often the spell-checker will underline a misspelling. However, handwriting teaches us to control our hands and encourages hand-eye coordination. Writing by hand obliges us to compose the phrase mentally before writing it down. Thanks to the resistance of pen and paper, it does make one slow down and think. It’s true that kids will write more and more on computers and cellphones.
Nonetheless, humanity has learned to rediscover as sports and aesthetic pleasures many things that civilisation had eliminated as unnecessary. People no longer travel on horseback but some go to a riding school; motor yachts exist but many people are devoted to sailing; there are tunnels but many still enjoy walking or climbing Alpine passes. It would be a good thing if parents sent kids off to handwriting schools so they could
take part in competitions and tournaments - not only to acquire grounding in what is beautiful, but also for psychomotor wellbeing.</t>
  </si>
  <si>
    <t>A Canadian journalist’s appraisal of the relationship between the U.S. and Canada: Anti-Americanism has been Canada’s defining intellectual ailment for generations. Not the fire-breathing hatred felt in some parts of the world, or even the elitist sneer directed westward from across the Atlantic; it was always a more neighborly, eyerolling disapproval that reached its zenith under George W. Bush. The Canadian press bristled with shrill attacks on the neoconservative agenda. That was then. Suddenly Canadian attitudes have matured at a breakneck pace - and not just because Americans elected Barack Obama (though of course that’s a part of it). Canadian anti-Americanism is fueled, fundamentally, by envy and fear. But
over the past year, the United States has been laid low by a devastating financial collapse. Canada’s economy, on the other hand, has escaped relatively unscathed. Its banking and real-estate sectors have been models of well-regulated stability compared with their American counterparts. The World Economic Forum proclaimed Canada to have the soundest banking system on the entire planet. Whatever Canadians think about the direction of the United States under Obama, few of them are still worried about American billionaires buying up their country lock, stock, and
barrel. America has long been lampooned by Canadian social critics as a throwback to a cruel, bygone era of laissez-faire capitalism. But under the Democratic Congress and White House, the government’s role in the economy has surged. The overall result is that the Canadian and American approaches to the size of government are beginning to converge. This healing trend comes primarily as an unintended effect of recent developments in Washington and on Wall Street. But it’s also a sign that Canada has grown up.</t>
  </si>
  <si>
    <t>Global warming and population control: As related by the Washington Post, two recent studies have pointed out that the real culprit for global warming isn’t cars or coal plants, it’s us. There are too many humans on planet Earth. The cheapest cure is contraception, according to a study
released by the London School of Economics, which points out that each $7 spent on family planning over the next four decades would reduce carbon-dioxide emissionsby more than a ton. Achieving the same result with low-carbon technologies would cost at least $32. I think I’ve got the answer to climate change: a cap-and-trade program for babies., OK, maybe not. But the notion is only a little sillier than the solution being promoted by the London School. Their model for fighting climate change by promoting birth control in the Third World ignores the fact that such programs almost never work. There are many reasons for the population explosion, but most of them come down to one factor: poverty. Women in poor countries have almost no power over reproductive decisions and are encouraged to have more children in places where infant mortality is high, so they go from one pregnancy to the next. Programs to promote condoms aren’t going to change any of this; if you want to lower birth rates
you have to reduce poverty. That means investing in development for poor countries. Of course, with development come higher greenhouse gas emissions. But there is a solution for this new problem as well: make these societies “grow green” with the help of new clean-energy technologies developed in the U.S. and other rich countries.</t>
  </si>
  <si>
    <t>A journalist’s investigation into California’s financial situation: California, the state that once boasted the best schools and highways in America
now has some of the worst. Its healthcare is ranked lowest of all the 50 states; its public finances are a disaster. Year after year, its legislature has failed to agree a budget. Its deficits make Italy look like a paragon of fiscal prudence. The government of one of the most richly endowed territories on earth, a crucible of innovation and the eighth largest economy in the world, is broke. Why has California got into such a mess? Some analysts say: "Too much democracy!" In California’s eccentric version of direct democracy, all kinds of extravagant public spending are mandated by initiatives, proposed by anyone who can gather enough signatures, and passed by a simple majority of those who bother to vote on them, while the state’s revenue-gathering possibilities are curbed by the same method. Yet it’s not fair to blame all this on government of the people by the people. Rather, California shows how such experiments in direct democracy can be perverted. For this framework of initiatives was established by self-styled progressives in the early 20th century to curb the power of the railway bosses and bring power to the people. A hundred years later, it is today’s diverse special-interest groups - not just billionaires and businesses but also powerful public service unions - who play the system to feather their own nests or further their own fads. They hire hands to collect signatures on their chosen initiative, and use advertising muscle to whip in the votes. The result is that the conflicting interests bring the government to a standstill.</t>
  </si>
  <si>
    <t>A UK journalist’s opinion on the opening of an expensive veterinary health centre: Humans are a selfish species - we breed and domesticate millions of animals for our own purposes of companionship and control, and then we complain if "too much" money is spent on their medical treatment. It doesn’t seem too much to have one state of the art veterinary centre for animals serving the whole of the UK. All modern medical treatment is expensive. The £15 million needed to operate the centre is a lot of money, but it pales in comparison with the annual National Health
Service budget of £110 billion. We abandon, neglect, maltreat, and euthanize (for our own convenience) hundreds of thousands every year. Our use of companion animals comes at a high cost to them in terms of their welfare and premature death. It only seems reasonable that we should pay something back for all their love and devotion. We need to bear in mind that these creatures wouldn’t exist if it wasn’t for us. Often I am asked to respond to this loaded question: "Is it right to have these facilities for animals while humans face waiting lists?" We could equally ask this loaded question: "Is it right to spend an annual NHS budget of £110 billion on humans when other sentient species, equally capable of suffering pain, fear, distress, anxiety, terror - domestic animals which we have brought into being and to whom we have a duty of care - are only given a tiny fraction
of the medical care they require?"</t>
  </si>
  <si>
    <t>The truthfulness of documentary films: A recent report on documentary films had a message for those who look to those films for guidance about matters as serious as business, politics, nature and the meaning of life: let the viewer beware. Based on anonymous interviews with 45 longform
documentary filmmakers, the study came to some conclusions that could shock those schooled in conventional journalistic ethics. The report found that documentarians, while they generally aspire to act honourably, often operate under ad hoc ethical codes. The craft tends to see itself as being bound less by the need to be accurate and fair than by a desire for social justice, to level the playing field between those who are perceived to be powerful and those who are not. That often means manipulating individual facts, sequences and meanings of images, said the report, if that might help viewers to grasp the documentary’s higher truth. Deception in pursuit of a good story is acceptable to some. For example, one documentarian
acknowledged letting film crew members break the legs of rabbits in order to get better shots of animals being hunted by others in the wild. Other filmmakers said that corporate executives and celebrities were entitled to less protection as interview subjects than more sympathetic individuals. "Everybody who makes a movie, documentary or otherwise, is motivated by passion and point of view", said one documentary filmmaker. "But, they are hindered by the need for access, financial resources and the realities of seeking an audience."</t>
  </si>
  <si>
    <t>A scientist’s appraisal of the state of space exploration: Neil Armstrong’s first small step for man was widely believed to be the start of a long
and glorious road to the stars. Forty years after the first Moon landing, the dream has faded. Astronauts have been stuck in low-Earth orbit, boldly going nowhere. American attempts to kick-start a new phase of lunar exploration have stalled amid the realisation that NASA´s budget is too small for the job. Clearly, some creative thinking is badly needed if humans are to have a future beyond Earth. Returning to the Moon may be worthy and attainable, but it fails to capture the public’s imagination. What does get people excited is the prospect of a mission to Mars. The lure of the red planet lies in its Earth-like conditions and the tantalising prospect of some form of life. Unfortunately, existing plans are absurdly expensive and will remain unrealistic for decades. But there is a way to put humans on Mars with foreseeable technology, and at a fraction of the projected cost. Five years ago I made the radical proposal that a handful of astronauts be sent on a one-way journey to Mars. I am not talking about a suicide mission. With its protective atmosphere, accessible water and carbon dioxide, and significant amounts of methane, Mars is one of the few places in the solar system that could support a human colony. I have presented my idea at NASA conferences, and discussed it with scientists in
other countries. The response has nearly always been positive. There is a persistent myth that nobody would volunteer to go. In fact, I have found no shortage of eager scientists, young and old, who say they would accept a one-way ticket.</t>
  </si>
  <si>
    <t>1.- According to the extract, the generation X</t>
  </si>
  <si>
    <t>2.- According to the extract</t>
  </si>
  <si>
    <t>3.- For the speaker</t>
  </si>
  <si>
    <t>4.- The man</t>
  </si>
  <si>
    <t>5.- What do we learn about the dress?</t>
  </si>
  <si>
    <t>6.- What do we learn about the young man?</t>
  </si>
  <si>
    <t>7.- The Englishman describes the U.S. immigration process as</t>
  </si>
  <si>
    <t>8.- What problem did she experience?</t>
  </si>
  <si>
    <t>9.- The elections</t>
  </si>
  <si>
    <t>10.- The woman</t>
  </si>
  <si>
    <t>11.- According to the woman</t>
  </si>
  <si>
    <t>12.- Which statement is true according to the report?</t>
  </si>
  <si>
    <t>13.- According to the text</t>
  </si>
  <si>
    <t>14.- According to the extract, the happiest people are those who</t>
  </si>
  <si>
    <t>15.- The man</t>
  </si>
  <si>
    <t>16.- The woman</t>
  </si>
  <si>
    <t>17.- What is the cause of the conflict?</t>
  </si>
  <si>
    <t>18.- A collision between the Earth and another planet may have resulted in</t>
  </si>
  <si>
    <t>19.- The boy Belbo</t>
  </si>
  <si>
    <t>20.- According to the report, which statement is true?</t>
  </si>
  <si>
    <t xml:space="preserve">21.- </t>
  </si>
  <si>
    <t>22.- According to the author</t>
  </si>
  <si>
    <t>23.- According to the interview, the journalist likes covering organized crime because</t>
  </si>
  <si>
    <t>24.- The speaker says Hillary Clinton objected to the appointment of a special prosecutor
because…</t>
  </si>
  <si>
    <t>25.- The teacher criticises</t>
  </si>
  <si>
    <t>26.- The speaker believes that…</t>
  </si>
  <si>
    <t>27.- According to the speaker, Thomas Jefferson</t>
  </si>
  <si>
    <t>28.- What opinion does the scholar express about the Book of Revelation?</t>
  </si>
  <si>
    <t>29.- According to the speaker, WWI Remembrance Day</t>
  </si>
  <si>
    <t>30.- The writer says that, when writing about history, it is particularly challenging to</t>
  </si>
  <si>
    <t>31.- According to the man, people</t>
  </si>
  <si>
    <t>32.- The speaker suggests that network news</t>
  </si>
  <si>
    <t>33.- According to the speaker, the British Armed Forces</t>
  </si>
  <si>
    <t>34.- Male midlife crisis…</t>
  </si>
  <si>
    <t>35.- The speaker suggests that the U.S.’s role should be to…</t>
  </si>
  <si>
    <t>36.- The speaker suggests that religious institutions’ views on certain issues..</t>
  </si>
  <si>
    <t>37.- What opinion does the speaker imply about the approval process for “Plan B?”</t>
  </si>
  <si>
    <t>38.- What does the traveller say about Western travellers’ perception of Tibet?</t>
  </si>
  <si>
    <t>39.- What does the speaker say about beauty?</t>
  </si>
  <si>
    <t>40.- According to the woman, how do people react to misfortunes?</t>
  </si>
  <si>
    <t>According to the extract</t>
  </si>
  <si>
    <t>nuns have higher chances of developing dementia</t>
  </si>
  <si>
    <t>keeping a diary can prevent Alzheimer's</t>
  </si>
  <si>
    <t>linguistic ability may be linked to Alzheimer's</t>
  </si>
  <si>
    <t xml:space="preserve">dementia begins at an earlier age than thought. </t>
  </si>
  <si>
    <t>The speaker was angry because throughout the labour</t>
  </si>
  <si>
    <t>she was in a lot of pain</t>
  </si>
  <si>
    <t>she couldn’t feel the baby</t>
  </si>
  <si>
    <t>she had to deliver the baby herself</t>
  </si>
  <si>
    <t xml:space="preserve">she encountered unfair treatment. </t>
  </si>
  <si>
    <t>This new use of Google’s “Street View” will allow users to…</t>
  </si>
  <si>
    <t xml:space="preserve">see what the surface of the moon looks like. </t>
  </si>
  <si>
    <t>enjoy panoramic views of life in a rain forest</t>
  </si>
  <si>
    <t xml:space="preserve">simulate a voyage under the ocean’s surface. </t>
  </si>
  <si>
    <t>take photographs of remote bio-diverse areas</t>
  </si>
  <si>
    <t xml:space="preserve">The man asked the store to… </t>
  </si>
  <si>
    <r>
      <t xml:space="preserve">A </t>
    </r>
    <r>
      <rPr>
        <sz val="11.5"/>
        <color theme="1"/>
        <rFont val="Calibri"/>
        <family val="2"/>
        <scheme val="minor"/>
      </rPr>
      <t>return his money</t>
    </r>
  </si>
  <si>
    <t>give him a toy dinosaur</t>
  </si>
  <si>
    <t>draw a picture for him</t>
  </si>
  <si>
    <t>advertise his drawings.</t>
  </si>
  <si>
    <t>What does Rose say about the job market?</t>
  </si>
  <si>
    <t xml:space="preserve">It is best to approach employers in person. </t>
  </si>
  <si>
    <t>The ways of seeking jobs have changed</t>
  </si>
  <si>
    <t>There are no job offers at present in the legal field</t>
  </si>
  <si>
    <t>The legal field is booming right now</t>
  </si>
  <si>
    <t>According to scientists, eating dirt</t>
  </si>
  <si>
    <t>is a surprisingly good source of nutrition</t>
  </si>
  <si>
    <t>is something that only healthy people do</t>
  </si>
  <si>
    <t>is dangerous because dirt contains many toxins</t>
  </si>
  <si>
    <t>has yet to be proved to have health benefits</t>
  </si>
  <si>
    <t>The analysis</t>
  </si>
  <si>
    <t>gives accurate insight into past events.</t>
  </si>
  <si>
    <t>provides explanations for political phenomena</t>
  </si>
  <si>
    <t>identifies contradictory news reports.</t>
  </si>
  <si>
    <t>comprises news stories from various decades.</t>
  </si>
  <si>
    <t>Ecuador’s police…</t>
  </si>
  <si>
    <t>looted government buildings in protest</t>
  </si>
  <si>
    <t>mutinied against the future lie detector test</t>
  </si>
  <si>
    <t>threatened to kill the nation’s president</t>
  </si>
  <si>
    <t xml:space="preserve">went on strike to protest against a salary cut. </t>
  </si>
  <si>
    <t>Now it is possible to clone a mammoth because</t>
  </si>
  <si>
    <t>crucial similarities with elephants were discovered</t>
  </si>
  <si>
    <t>intact genetic material of a mammoth was found</t>
  </si>
  <si>
    <t>know-how from different countries is being combined.</t>
  </si>
  <si>
    <t>a viable cloning method has been developed</t>
  </si>
  <si>
    <t>According to the extract, low stress levels are predicted by</t>
  </si>
  <si>
    <t>ability to deal with problems</t>
  </si>
  <si>
    <t>having good health</t>
  </si>
  <si>
    <t>having a leader personality</t>
  </si>
  <si>
    <t xml:space="preserve">a quiet and peaceful social life. </t>
  </si>
  <si>
    <t xml:space="preserve">Which statement is true? </t>
  </si>
  <si>
    <t>Users will be able to contribute to developing the site</t>
  </si>
  <si>
    <t>Those who sign up early will get a discount for the site</t>
  </si>
  <si>
    <t>The site will include unpublished scenes from the films</t>
  </si>
  <si>
    <t>The site will develop the saga’s characters</t>
  </si>
  <si>
    <t>The man says that in his experience, U.S. citizens</t>
  </si>
  <si>
    <t>are rather reserved towards newcomers</t>
  </si>
  <si>
    <t>have little interest in what happens beyond their borders</t>
  </si>
  <si>
    <t>want to know what other nations think about them</t>
  </si>
  <si>
    <t>think immigration enriches their own culture.</t>
  </si>
  <si>
    <t xml:space="preserve">What are war veterans’ strong points as workers? </t>
  </si>
  <si>
    <t>They are used to taking orders</t>
  </si>
  <si>
    <t>Some have specialized skills</t>
  </si>
  <si>
    <t>Some have experience working in the fields</t>
  </si>
  <si>
    <t>They adapt easily to new environments</t>
  </si>
  <si>
    <t>The Tunisian migrants</t>
  </si>
  <si>
    <t>will stay on Lampedusa for the time being</t>
  </si>
  <si>
    <t>ignited petrol tanks in the holding centre</t>
  </si>
  <si>
    <t>were supported by the island’s inhabitants</t>
  </si>
  <si>
    <t xml:space="preserve">rebelled after learning about their fate. </t>
  </si>
  <si>
    <t>According to the speaker, natural navigation</t>
  </si>
  <si>
    <t xml:space="preserve">is virtually impossible on a cloudy day. </t>
  </si>
  <si>
    <t>is a fast and reliable way of navigating</t>
  </si>
  <si>
    <t>uses particular landmarks for orientation</t>
  </si>
  <si>
    <t>uses plant growth patterns for orientation</t>
  </si>
  <si>
    <t>Which statement is true about Patricia and Anne?</t>
  </si>
  <si>
    <t>They studied at the same university</t>
  </si>
  <si>
    <t>They played together as children</t>
  </si>
  <si>
    <t>They both used to be married.</t>
  </si>
  <si>
    <t xml:space="preserve">They share experiences about farming. </t>
  </si>
  <si>
    <t xml:space="preserve">The woman says that… </t>
  </si>
  <si>
    <t>the city is fascinating due to its ornamentation</t>
  </si>
  <si>
    <t>the city is a few miles off the coast</t>
  </si>
  <si>
    <t>the city centre is quite intricate and chaotic</t>
  </si>
  <si>
    <t>the city centre is popular among residents</t>
  </si>
  <si>
    <t>According to the speaker</t>
  </si>
  <si>
    <t>most N. Koreans will be watching their team live on TV</t>
  </si>
  <si>
    <t>many N. Korean fans will be present at the World Cup</t>
  </si>
  <si>
    <t>the team must follow their leader’s tactical instructions</t>
  </si>
  <si>
    <t xml:space="preserve">N. Korea’s games might not be seen on TV if they lose. </t>
  </si>
  <si>
    <t>The man says that the woods of Maine</t>
  </si>
  <si>
    <t xml:space="preserve">attract a lot of tourists in summer time. </t>
  </si>
  <si>
    <t>are important for the state’s economy</t>
  </si>
  <si>
    <t xml:space="preserve">were a dangerous place in the past. </t>
  </si>
  <si>
    <t>are enormous and quite inaccessible</t>
  </si>
  <si>
    <t>The man says</t>
  </si>
  <si>
    <t>Burton represents the life he could not live</t>
  </si>
  <si>
    <t>reading a biography inspired him to change his life</t>
  </si>
  <si>
    <t>he plans to write about the places he travelled</t>
  </si>
  <si>
    <t xml:space="preserve">he could not find the route where Burton had travelled. </t>
  </si>
  <si>
    <t xml:space="preserve">CAP. ART.  JOSE  FRANCISCO   CAMPOS  BARBERO </t>
  </si>
  <si>
    <t xml:space="preserve">CAP. CAB.  GABRIEL     ECHEVERRIA  URQUIZU </t>
  </si>
  <si>
    <t xml:space="preserve">CAP. ABSTO.  MANUEL  JOSE    CEREZO       LOPEZ </t>
  </si>
  <si>
    <t>06965997</t>
  </si>
  <si>
    <t>15992562</t>
  </si>
  <si>
    <t>30499977</t>
  </si>
  <si>
    <t xml:space="preserve">CURSO INTENSIVO NIVEL FUNCIONAL ENERO/2013 </t>
  </si>
  <si>
    <t>EXAMEN 106</t>
  </si>
  <si>
    <t>EXAMEN 106/MP3/Q-1.mp3</t>
  </si>
  <si>
    <t>EXAMEN 106/MP3/Q-2.mp3</t>
  </si>
  <si>
    <t>EXAMEN 106/MP3/Q-3.mp3</t>
  </si>
  <si>
    <t>EXAMEN 106/MP3/Q-4.mp3</t>
  </si>
  <si>
    <t>EXAMEN 106/MP3/Q-5.mp3</t>
  </si>
  <si>
    <t>EXAMEN 106/MP3/Q-6.mp3</t>
  </si>
  <si>
    <t>EXAMEN 106/MP3/Q-7.mp3</t>
  </si>
  <si>
    <t>EXAMEN 106/MP3/Q-8.mp3</t>
  </si>
  <si>
    <t>EXAMEN 106/MP3/Q-9.mp3</t>
  </si>
  <si>
    <t>EXAMEN 106/MP3/Q-10.mp3</t>
  </si>
  <si>
    <t>EXAMEN 106/MP3/Q-11.mp3</t>
  </si>
  <si>
    <t>EXAMEN 106/MP3/Q-12.mp3</t>
  </si>
  <si>
    <t>EXAMEN 106/MP3/Q-13.mp3</t>
  </si>
  <si>
    <t>EXAMEN 106/MP3/Q-14.mp3</t>
  </si>
  <si>
    <t>EXAMEN 106/MP3/Q-15.mp3</t>
  </si>
  <si>
    <t>EXAMEN 106/MP3/Q-16.mp3</t>
  </si>
  <si>
    <t>EXAMEN 106/MP3/Q-17.mp3</t>
  </si>
  <si>
    <t>EXAMEN 106/MP3/Q-18.mp3</t>
  </si>
  <si>
    <t>EXAMEN 106/MP3/Q-19.mp3</t>
  </si>
  <si>
    <t>EXAMEN 106/MP3/Q-20.mp3</t>
  </si>
  <si>
    <t>EXAMEN 106/MP3/Q-21.mp3</t>
  </si>
  <si>
    <t>EXAMEN 106/MP3/Q-22.mp3</t>
  </si>
  <si>
    <t>EXAMEN 106/MP3/Q-23.mp3</t>
  </si>
  <si>
    <t>EXAMEN 106/MP3/Q-24.mp3</t>
  </si>
  <si>
    <t>EXAMEN 106/MP3/Q-25.mp3</t>
  </si>
  <si>
    <t>EXAMEN 106/MP3/Q-26.mp3</t>
  </si>
  <si>
    <t>EXAMEN 106/MP3/Q-27.mp3</t>
  </si>
  <si>
    <t>EXAMEN 106/MP3/Q-28.mp3</t>
  </si>
  <si>
    <t>EXAMEN 106/MP3/Q-29.mp3</t>
  </si>
  <si>
    <t>EXAMEN 106/MP3/Q-30.mp3</t>
  </si>
  <si>
    <t>EXAMEN 106/MP3/Q-31.mp3</t>
  </si>
  <si>
    <t>EXAMEN 106/MP3/Q-32.mp3</t>
  </si>
  <si>
    <t>EXAMEN 106/MP3/Q-33.mp3</t>
  </si>
  <si>
    <t>EXAMEN 106/MP3/Q-34.mp3</t>
  </si>
  <si>
    <t>EXAMEN 106/MP3/Q-35.mp3</t>
  </si>
  <si>
    <t>EXAMEN 106/MP3/Q-36.mp3</t>
  </si>
  <si>
    <t>EXAMEN 106/MP3/Q-37.mp3</t>
  </si>
  <si>
    <t>EXAMEN 106/MP3/Q-38.mp3</t>
  </si>
  <si>
    <t>EXAMEN 106/MP3/Q-39.mp3</t>
  </si>
  <si>
    <t>EXAMEN 106/MP3/Q-40.mp3</t>
  </si>
  <si>
    <t>a. He is not happy there</t>
  </si>
  <si>
    <t>b. There are too many Syrians</t>
  </si>
  <si>
    <t>c. Things are not cheap there</t>
  </si>
  <si>
    <t>d. He and his wife have no friends</t>
  </si>
  <si>
    <t>a. She is very happy in her job</t>
  </si>
  <si>
    <t xml:space="preserve">b. She dislikes travelling </t>
  </si>
  <si>
    <t>c. She has a small sales territory</t>
  </si>
  <si>
    <t>d. She is in the same place every day</t>
  </si>
  <si>
    <t>a. He came from a rich family</t>
  </si>
  <si>
    <t>b. Houdini is his real name</t>
  </si>
  <si>
    <t>c. He spent some time in a circus</t>
  </si>
  <si>
    <t>d. He liked to fly</t>
  </si>
  <si>
    <t>a. The departure lounge is full</t>
  </si>
  <si>
    <t>b. A flight has been cancelled</t>
  </si>
  <si>
    <t>c. The airport has no information screens</t>
  </si>
  <si>
    <t>d. The Singapore flight will leave later than planned</t>
  </si>
  <si>
    <t>a. Different kinds of fish</t>
  </si>
  <si>
    <t>b. What they do on Friday nights</t>
  </si>
  <si>
    <t>c. The town they live in</t>
  </si>
  <si>
    <t>d. How they spent the weekend</t>
  </si>
  <si>
    <t>a. He promised to fight terrorism</t>
  </si>
  <si>
    <t>b. He negotiated with Afghanistan</t>
  </si>
  <si>
    <t>c. He ended tyranny in the world</t>
  </si>
  <si>
    <t>d. He finished his mandate in 2005</t>
  </si>
  <si>
    <t xml:space="preserve">a. They all have the same opinion </t>
  </si>
  <si>
    <t>b. They are having an argument</t>
  </si>
  <si>
    <t>c. They are discussing a film</t>
  </si>
  <si>
    <t>d. They are discussing an actor</t>
  </si>
  <si>
    <t>a. The woman has acquired a new computer.</t>
  </si>
  <si>
    <t>b. The woman is learning a new program.</t>
  </si>
  <si>
    <t>c. The woman’s computer is an older model.</t>
  </si>
  <si>
    <t xml:space="preserve">d. The woman’s computer has been repaired.      </t>
  </si>
  <si>
    <t>a. Boring occupations</t>
  </si>
  <si>
    <t xml:space="preserve">b. The issue of employment </t>
  </si>
  <si>
    <t>c. Creating jobs in the White House</t>
  </si>
  <si>
    <t>d. American people</t>
  </si>
  <si>
    <t>a. It pays workers very well</t>
  </si>
  <si>
    <t>b. It sends people abroad to work</t>
  </si>
  <si>
    <t>c. It  only sends young people abroad</t>
  </si>
  <si>
    <t>d. Local people resent its people</t>
  </si>
  <si>
    <t>a. Being in a contest</t>
  </si>
  <si>
    <t>b. Having to make a big effort</t>
  </si>
  <si>
    <t>c. Insufficient oxygen to the brain</t>
  </si>
  <si>
    <t xml:space="preserve">d. High blood pressure </t>
  </si>
  <si>
    <t>a. Invest the money</t>
  </si>
  <si>
    <t>b. Pay for things</t>
  </si>
  <si>
    <t>c. Go on a holiday</t>
  </si>
  <si>
    <t>d. Wait for a rainy day</t>
  </si>
  <si>
    <t>a. She no longer performs official duties.</t>
  </si>
  <si>
    <t>b. She opened the Jubilee celebrations.</t>
  </si>
  <si>
    <t>c. She viewed a website about the celebrations.</t>
  </si>
  <si>
    <t xml:space="preserve">d. She has been the Queen for six decades.  </t>
  </si>
  <si>
    <t>a. He gives twenty pounds to his brother-in-law</t>
  </si>
  <si>
    <t>b. He is working and studying at the moment</t>
  </si>
  <si>
    <t xml:space="preserve">c. He knows a project manager </t>
  </si>
  <si>
    <t>d. His parents live in Shanghai</t>
  </si>
  <si>
    <t>a. There was an accident in India in 2004</t>
  </si>
  <si>
    <t>b. The Union Carbide Company is still operating</t>
  </si>
  <si>
    <t>c. Over three thousand people were killed due to a gas leak</t>
  </si>
  <si>
    <t>d. All of the men found guilty have gone to prison</t>
  </si>
  <si>
    <t xml:space="preserve">a. His salary was bad </t>
  </si>
  <si>
    <t>b. He didn’t like his workmates</t>
  </si>
  <si>
    <t>c. He has left his job</t>
  </si>
  <si>
    <t xml:space="preserve">d. He likes working long hours </t>
  </si>
  <si>
    <t>a. The hurricane was not expected</t>
  </si>
  <si>
    <t>b. People had been told to leave New Orleans</t>
  </si>
  <si>
    <t>c. People weren’t worried about danger</t>
  </si>
  <si>
    <t>d. People thought the storm would pass</t>
  </si>
  <si>
    <t>a. It’s OK to speak about personal matters</t>
  </si>
  <si>
    <t>b. Talking about politics is permitted</t>
  </si>
  <si>
    <t>c. Religion is an ideal topic</t>
  </si>
  <si>
    <t>d. You can speak about anything you want</t>
  </si>
  <si>
    <t>a. His family</t>
  </si>
  <si>
    <t>b. His students</t>
  </si>
  <si>
    <t>c. His friends</t>
  </si>
  <si>
    <t>d. His teachers</t>
  </si>
  <si>
    <t>a. It struggles to keep its cultural identity.</t>
  </si>
  <si>
    <t>b. It has few historical attractions.</t>
  </si>
  <si>
    <t>c. It attracts European tourists.</t>
  </si>
  <si>
    <t xml:space="preserve">d. It is of interest to archeologists.        </t>
  </si>
  <si>
    <t>a. It has lost popularity</t>
  </si>
  <si>
    <t>b. It has expanded</t>
  </si>
  <si>
    <t>c. It is now held in London</t>
  </si>
  <si>
    <t>d. It started in 1991</t>
  </si>
  <si>
    <t>a. He started an organization</t>
  </si>
  <si>
    <t>b. He misused chemicals</t>
  </si>
  <si>
    <t>c. He worked on a grape farm</t>
  </si>
  <si>
    <t>d. He employed migrant workers</t>
  </si>
  <si>
    <t>a. She lived in Africa</t>
  </si>
  <si>
    <t>b. She sang in an opera</t>
  </si>
  <si>
    <t>c. She had a happy childhood</t>
  </si>
  <si>
    <t>d. She only wrote one book</t>
  </si>
  <si>
    <t>a. They have fewer international connections.</t>
  </si>
  <si>
    <t>b. They have a longstanding link with their soldiers.</t>
  </si>
  <si>
    <t>c. They regularly perform ceremonies.</t>
  </si>
  <si>
    <t xml:space="preserve">d. They exert influence over the C.I.A.     </t>
  </si>
  <si>
    <t xml:space="preserve">a. They didn’t want to. </t>
  </si>
  <si>
    <t>b. They were encouraged to.</t>
  </si>
  <si>
    <t>c.  It made their parents anxious.</t>
  </si>
  <si>
    <t xml:space="preserve">d. They had unfortunate experiences.    </t>
  </si>
  <si>
    <t>a. She went to a special gymnastic school</t>
  </si>
  <si>
    <t>b. She disliked academic work at school</t>
  </si>
  <si>
    <t>c. She trained at gymnastics on the weekends</t>
  </si>
  <si>
    <t>d. She wasn’t accepted into the gymnastic school</t>
  </si>
  <si>
    <t xml:space="preserve">a. There are  seventeen suspects </t>
  </si>
  <si>
    <t>b. A prosecutor confessed to the crime</t>
  </si>
  <si>
    <t>c. Students were shot in a school</t>
  </si>
  <si>
    <t>d. The prime suspect died</t>
  </si>
  <si>
    <t>a. She dislikes her school dinners</t>
  </si>
  <si>
    <t>b. She has publicized her opinion of her school dinners</t>
  </si>
  <si>
    <t>c. She started a charity organization for poor children</t>
  </si>
  <si>
    <t>d. She prefers to eat dinner at home</t>
  </si>
  <si>
    <t>a. She doesn’t like her job</t>
  </si>
  <si>
    <t>b. She has to do her colleague’s work</t>
  </si>
  <si>
    <t>c. She feels that the man is not helpful</t>
  </si>
  <si>
    <t>d. Her manager always leaves early</t>
  </si>
  <si>
    <t xml:space="preserve">a. Recurring headaches </t>
  </si>
  <si>
    <t>b. Experts have found a cure for severe head pain</t>
  </si>
  <si>
    <t>c. All headaches are easy to treat</t>
  </si>
  <si>
    <t>d. The use of aspirin</t>
  </si>
  <si>
    <t>a. He had been a journalist in Iraq</t>
  </si>
  <si>
    <t>b. He did not see war first hand</t>
  </si>
  <si>
    <t>c. He understands how the troops feel</t>
  </si>
  <si>
    <t>d. He would love to return to Iraq</t>
  </si>
  <si>
    <t>a. They are still inefficient</t>
  </si>
  <si>
    <t>b. They are bigger than conventional ones</t>
  </si>
  <si>
    <t>c. They do not vibrate</t>
  </si>
  <si>
    <t>d. They are economical at the moment</t>
  </si>
  <si>
    <t>a. Consumers prefer designer clothes</t>
  </si>
  <si>
    <t>b. Clothes made outside the US are more in demand</t>
  </si>
  <si>
    <t>c. Consumers now want clothes made in the US</t>
  </si>
  <si>
    <t>d. Textile companies do not want to change</t>
  </si>
  <si>
    <t>a. It is Japan’s number one toymaker</t>
  </si>
  <si>
    <t>b. It does not want to change anything</t>
  </si>
  <si>
    <t>c. It specializes in alarm clocks</t>
  </si>
  <si>
    <t>d. It makes unusual gadgets now</t>
  </si>
  <si>
    <t xml:space="preserve">a. Natural causes </t>
  </si>
  <si>
    <t>b. Bad agricultural practices</t>
  </si>
  <si>
    <t>c. Clearing trees</t>
  </si>
  <si>
    <t>d. The United Nations</t>
  </si>
  <si>
    <t>a. They are international</t>
  </si>
  <si>
    <t>b. One is given every year</t>
  </si>
  <si>
    <t>c. The recipients are very creative</t>
  </si>
  <si>
    <t>d. The recipients are academic achievers</t>
  </si>
  <si>
    <t>a. He is very religious.</t>
  </si>
  <si>
    <t>b. He studied social media at Oxford.</t>
  </si>
  <si>
    <t>c. He won a contest.</t>
  </si>
  <si>
    <t xml:space="preserve">d. He dislikes working.  </t>
  </si>
  <si>
    <t>a. Abdul Nasser Garem  is schizophrenic</t>
  </si>
  <si>
    <t>b. He attended art school in Saudi Arabia</t>
  </si>
  <si>
    <t>c. He taught art in the Saudi Arabian Army</t>
  </si>
  <si>
    <t>d. He  taught himself about art</t>
  </si>
  <si>
    <t>a. He was a follower of Slobodan Milosevic</t>
  </si>
  <si>
    <t>b. He believes in non-violent struggle</t>
  </si>
  <si>
    <t>c. He learned his strategies from Arab revolutionaries</t>
  </si>
  <si>
    <t>d. He is a preacher from Belgrade</t>
  </si>
  <si>
    <t>a. He liked the advertisement</t>
  </si>
  <si>
    <t>b. He didn’t recognize the Ford logo</t>
  </si>
  <si>
    <t>c. He never remembers car ads</t>
  </si>
  <si>
    <t>d. He has bought a Ford car</t>
  </si>
  <si>
    <t>1.- Living abroad……...What does Rajab say about living in York?</t>
  </si>
  <si>
    <t>2.- A job description……... Which statement is correct about the speaker?</t>
  </si>
  <si>
    <t>3.- Harry Houdini ……...Which statement is correct about Houdini?</t>
  </si>
  <si>
    <t>4.- At the airport ……...What is the principal message?</t>
  </si>
  <si>
    <t xml:space="preserve">5.- A short conversation……...What are the speakers talking about?  </t>
  </si>
  <si>
    <t>6.- Bush Mandate……...What can be said of President Bush?</t>
  </si>
  <si>
    <t>7.- Exchanging opinions……...What can be said about the speakers?</t>
  </si>
  <si>
    <t xml:space="preserve">8.- New Technology……...Which of the following is true? </t>
  </si>
  <si>
    <t>9.- A hot topic ……...What is being referred to in the extract?</t>
  </si>
  <si>
    <t>10.- Voluntary Service Overseas (VSO)……...What can be said about this organization?</t>
  </si>
  <si>
    <t>11.- Fainting……...What is the cause of fainting?</t>
  </si>
  <si>
    <t>12.- If you were given some money……...What would the interviewee like to do?</t>
  </si>
  <si>
    <t xml:space="preserve">13.- Queen Elizabeth……...What is said about Queen Elizabeth the Second?                                                                        </t>
  </si>
  <si>
    <t>14.- Working in Shanghai……...What can be said about Chen Liu?</t>
  </si>
  <si>
    <t>15.- Union Carbide……...Which statement is correct according to the extract?</t>
  </si>
  <si>
    <t>16.- Sailing around the world……...Which statement is correct about Thomas Hunter?</t>
  </si>
  <si>
    <t>17.- Hurricane Katrina……...Which statement is correct according to the extract?</t>
  </si>
  <si>
    <t>18.- Conversation at dinner ……... Which statement is correct?</t>
  </si>
  <si>
    <t xml:space="preserve">19.- Meet the Authors: Morris Gleitzman……...Who were the first people to read Morris Gleitzman’s stories? </t>
  </si>
  <si>
    <t xml:space="preserve">20.- Ethiopia.……...What is said about Ethiopia? </t>
  </si>
  <si>
    <t xml:space="preserve">21.- Listen to English. Going to the Dogs……...What is said about Cruft’s dog show? </t>
  </si>
  <si>
    <t xml:space="preserve">22.- Migrant Farm Workers.……...What is said about the migrant farm worker, Cezar Chavez? </t>
  </si>
  <si>
    <t xml:space="preserve">23.- The New Elizabethans. Doris Lessing. ……...What is said about Doris Lessing? </t>
  </si>
  <si>
    <t xml:space="preserve">24.- Monarchy.……...What is said about British monarchs? </t>
  </si>
  <si>
    <t xml:space="preserve">25.- Children and Nature……...What is said about the children going outdoors? </t>
  </si>
  <si>
    <t xml:space="preserve">26.- Nadia Comaneci.……...What is said about Nadia Comaneci? </t>
  </si>
  <si>
    <t>27.- A shooting……...Which of the following statements is correct according to what you have heard?</t>
  </si>
  <si>
    <t xml:space="preserve">28.- School dinners.……...What is said about the schoolgirl, Martha Payne? </t>
  </si>
  <si>
    <t xml:space="preserve">29.- Frustrations at Work……...Why is the woman complaining? </t>
  </si>
  <si>
    <t>30.- Headaches……...What is the subject of the extract?</t>
  </si>
  <si>
    <t>31.- US Army specialist……...Which statement is correct about the man interviewed?</t>
  </si>
  <si>
    <t>32.- Wind Turbines……...What can be said about the speaker’s wind turbines?</t>
  </si>
  <si>
    <t>33.- US clothing trends……...Which statement is correct according to the extract?</t>
  </si>
  <si>
    <t>34.- Japanese toymaker……...Which statement is correct about Takara?</t>
  </si>
  <si>
    <t>35.- Deforestation……...According to the extract, what is the principal cause of deforestation?</t>
  </si>
  <si>
    <t xml:space="preserve">36.- English Café.The McArthur Fellows Program……...What is said about the Genius Awards? </t>
  </si>
  <si>
    <t xml:space="preserve">37.- Musa Okwonga……...Which of the following is true about Musa Okwonga?                                                                </t>
  </si>
  <si>
    <t>38.- Saudi army officer……... Which of the following statements is correct according to what you have heard?</t>
  </si>
  <si>
    <t>39.- A Serb teaches Arab revolutionaries……...What can we say about Srdja Popovic?</t>
  </si>
  <si>
    <t>40.- A car advertisement……...Which statement is correct about the speaker?</t>
  </si>
  <si>
    <t xml:space="preserve">NIVEL FUNCIONAL ABRIL 2013 </t>
  </si>
  <si>
    <t>EXAMEN COMPRENSION TEXTOS ABRIL 2013</t>
  </si>
  <si>
    <t>106R-4</t>
  </si>
  <si>
    <t>106R-3</t>
  </si>
  <si>
    <t>106R-2</t>
  </si>
  <si>
    <t>EXAMEN 106R-2</t>
  </si>
  <si>
    <t>EXAMEN 106R-1</t>
  </si>
  <si>
    <t>EXAMEN 106R-3</t>
  </si>
  <si>
    <t>EXAMEN 106R-4</t>
  </si>
  <si>
    <t>51358887</t>
  </si>
  <si>
    <t>51652408</t>
  </si>
  <si>
    <t>52104944</t>
  </si>
  <si>
    <t>43012165</t>
  </si>
  <si>
    <t>TCOL. ANGEL MURILLO GÓMEZ</t>
  </si>
  <si>
    <t>50701438</t>
  </si>
  <si>
    <t>11735404</t>
  </si>
  <si>
    <t>03824117</t>
  </si>
  <si>
    <t>78074909</t>
  </si>
  <si>
    <t>31648311</t>
  </si>
  <si>
    <t>50843117</t>
  </si>
  <si>
    <t>21500338</t>
  </si>
  <si>
    <t>33934211</t>
  </si>
  <si>
    <t>32678655</t>
  </si>
  <si>
    <t>09259803</t>
  </si>
  <si>
    <t>75757745</t>
  </si>
  <si>
    <t>32633576</t>
  </si>
  <si>
    <t>00379813</t>
  </si>
  <si>
    <t>07525490</t>
  </si>
  <si>
    <t>73770475</t>
  </si>
  <si>
    <t>52887029</t>
  </si>
  <si>
    <t>72985673</t>
  </si>
  <si>
    <t>03913140</t>
  </si>
  <si>
    <t>44352647</t>
  </si>
  <si>
    <t>72998617</t>
  </si>
  <si>
    <t>09758017</t>
  </si>
  <si>
    <t>07512351</t>
  </si>
  <si>
    <t>09419326</t>
  </si>
  <si>
    <t>32033891</t>
  </si>
  <si>
    <t>29119215</t>
  </si>
  <si>
    <t>03457112</t>
  </si>
  <si>
    <t>24225777</t>
  </si>
  <si>
    <t>50828592</t>
  </si>
  <si>
    <t>11821590</t>
  </si>
  <si>
    <t>25140809</t>
  </si>
  <si>
    <t>25442191</t>
  </si>
  <si>
    <t>45279892</t>
  </si>
  <si>
    <t>09337260</t>
  </si>
  <si>
    <t>13113534</t>
  </si>
  <si>
    <t>51460093</t>
  </si>
  <si>
    <t>29113542</t>
  </si>
  <si>
    <t>11846830</t>
  </si>
  <si>
    <t>47768761</t>
  </si>
  <si>
    <t>29133751</t>
  </si>
  <si>
    <t>13117909</t>
  </si>
  <si>
    <t>25143730</t>
  </si>
  <si>
    <t>35324071</t>
  </si>
  <si>
    <t>25079402</t>
  </si>
  <si>
    <t>29170771</t>
  </si>
  <si>
    <t>41507482</t>
  </si>
  <si>
    <t>78918065</t>
  </si>
  <si>
    <t>75890640</t>
  </si>
  <si>
    <t>20262808</t>
  </si>
  <si>
    <t>33246623</t>
  </si>
  <si>
    <t>CTE. D. JOSÉ ALFONSO ROMÁN BIENES</t>
  </si>
  <si>
    <t>TCOL. D. FRANCISCO JOSÉ LUGO PÉREZ</t>
  </si>
  <si>
    <t>TCOL. D. BALTASAR BONILLA MORALES</t>
  </si>
  <si>
    <t>TCOL. D. PABLO FERNANDO LESTAU MORELL</t>
  </si>
  <si>
    <t>CTE. D. MANUEL CARRASCO GÓMEZ</t>
  </si>
  <si>
    <t>CTE. D. AGUSTÍN FÉLIX AHEDO PELLITERO</t>
  </si>
  <si>
    <t>CAP. D. ANTONIO Mª CLARET IBÁÑEZ TARRADELLAS</t>
  </si>
  <si>
    <t>CTE. D. FRANCISCO GÓMEZ PAREDES</t>
  </si>
  <si>
    <t>CTE. D. BONIFACIO DE LA VIUDA LOZANO</t>
  </si>
  <si>
    <t>CAP. D. JUAN JERÓNIMO VILLALÓN CARBELLIDO</t>
  </si>
  <si>
    <t>CAP. D. ÁNGEL LUIS PIÑEIRO BUSTABAD</t>
  </si>
  <si>
    <t>CAP. D. PEDRO GARCÍA AGUADO</t>
  </si>
  <si>
    <t>CTE. D. DANIEL DONOSO RODRÍGUEZ</t>
  </si>
  <si>
    <t>CAP. D. MIGUEL A. ESTEVE AGUILAR</t>
  </si>
  <si>
    <t>TTE. D. JOSÉ OCTAVIO BOIRA MORENO</t>
  </si>
  <si>
    <t>TTE. D. CARLOS CLARAMONTE MARZO</t>
  </si>
  <si>
    <t>TTE. D. ALBERTO RUÍZ BIELSA</t>
  </si>
  <si>
    <t>TTE. D. ENRIQUE SÁNCHEZ DÍAZ</t>
  </si>
  <si>
    <t>TTE. D. JOAQUÍN PELLEGRÍN GAYÁN</t>
  </si>
  <si>
    <t>TCOL. D. SANTIAGO ÁLVAREZ HERRERO</t>
  </si>
  <si>
    <t>CAP. D. LEOPOLDO SANTOS SANTOS</t>
  </si>
  <si>
    <t>CAP. D. LUIS MARTÍNEZ THOMAS</t>
  </si>
  <si>
    <t>TCOL. D. RODOLFO MARTÍNEZ AZOFRA</t>
  </si>
  <si>
    <t>CTE. D. DARÍO DE JULIÁN FRÍAS</t>
  </si>
  <si>
    <t>CTE. D. JAVIER VÁZQUEZ HERMOSO</t>
  </si>
  <si>
    <t>TCOL. D. ALBERTO JAVIER GARCÍA ROMERA</t>
  </si>
  <si>
    <t>TCOL. D. PABLO MORA BURBANO</t>
  </si>
  <si>
    <t>CTE. D. MIGUEL DUEÑAS GONZÁLEZ</t>
  </si>
  <si>
    <t>TCOL. D. BENJAMÍN RIVED LEDESMA</t>
  </si>
  <si>
    <t>TCOL. D. CARLOS GALLEGO REMIRO</t>
  </si>
  <si>
    <t>CTE. D. ÁNGEL TOMÉ CARRILLO</t>
  </si>
  <si>
    <t>CTE. D. JOSÉ MANUEL FERNÁNDEZ MELÓN</t>
  </si>
  <si>
    <t>TCOL. D. JULIO JAVIER CARDERO ESCOS</t>
  </si>
  <si>
    <t>TTE. D. FERNANDO VIDALES BERROYA</t>
  </si>
  <si>
    <t>CTE. D. RODRIGO JOSÉ HERNÁNDEZ NAVARRO</t>
  </si>
  <si>
    <t>CAP. D. PEDRO ANTONIO MARTÍNEZ IRANZO</t>
  </si>
  <si>
    <t>CAP. D. CONSUELO DELAGE GARCÍA DE ÁNGULO</t>
  </si>
  <si>
    <t>TTE. D. VÍCTOR MONREAL GUMIEL</t>
  </si>
  <si>
    <t>COR. D. JOSÉ MANUEL SIABA PORTELA</t>
  </si>
  <si>
    <t>TCOL. D. JOSÉ ANTONIO ARAUZO MARTÍNEZ</t>
  </si>
  <si>
    <t>TCOL. D. MARCOS ÁNGEL SANZ OBERBERGER</t>
  </si>
  <si>
    <t>CTE. D. JUAN CARLOS MILLÓN PINTOS</t>
  </si>
  <si>
    <t>CAP. D. ÁLVARO LOMAS CARDONA</t>
  </si>
  <si>
    <t>TTE. D. ESTEBAN VICENTE BOISSEAU</t>
  </si>
  <si>
    <t>TTE. D. FRANCISCO JOSÉ OSUNA LOZANO</t>
  </si>
  <si>
    <t>TTE. D. SERGIO VILLAESCUSA GONZÁLEZ</t>
  </si>
  <si>
    <t>TTE. D. JOSÉ ANTONIO PEREA ÁLVAREZ</t>
  </si>
  <si>
    <t>TTE. D. MARIO LOZANO BENITO</t>
  </si>
  <si>
    <t xml:space="preserve">Afghan President Hamid Karzai has said international support after foreign forces withdraw in 2014 is crucial if Afghanistan is to remain stable. His comments opened a major global conference on Afghanistan’s future in the German city of Bonn. It comes 10 years after a similar gathering held in the city, weeks after the Taliban fell from power. &lt;u&gt;But key player Pakistan is boycotting this round in protest at a Nato attack on a border checkpoint.&lt;/u&gt; NATO apologized for the air strike on 26 November 2011 in which 24 Pakistani troops were killed and US President Barack Obama also offered his condolences, but Pakistan has insisted it will not reverse its decision on the talks. President Karzai hailed the progress Afghanistan has made in the decade since the last conference, but warned that such gains were by no means secure. He said the conference presented an opportunity for Afghanistan to consolidate its gains. </t>
  </si>
  <si>
    <t>The Honduran Congress has voted to ban motorcyclists from riding with passengers in a bid to curb a spate of drive-by killings. The move follows two high-profile murders this week, both blamed on gunmen on motorbikes. Honduras has the world’s highest murder rate: 82 per 100,000 people a year. During a session held in private because of security fears, legislators approved a decree limiting the number of people allowed on a motorbike to just one. The measure, which will last for six months, was requested by President Porfirio Lobo, whose government is facing rising crime. Motorcycles have been used in several high-profile murders. Honduras is a key transit country for cocaine smuggled from South America and on to the US market. &lt;u&gt;In November the Honduran authorities began deploying troops to carry out policing duties&lt;/u&gt;. The police force itself is undergoing a purge amid efforts to root out officers with links to organized crime.</t>
  </si>
  <si>
    <t>Prince Harry had to swap boats during his Jubilee tour when the speed boat he was travelling on broke down. Harry ‘abandoned ship’ and hopped on board a press and media boat following the tour.&lt;u&gt; He was off the Bahamas&lt;/u&gt; as part of his official tour of the Caribbean and was supposed to join the crew of a Royal Bahamian Defense Force patrol boat on a naval exercise. He eventually landed on tiny Harbor Island, where he met crowds of tourists and locals.&lt;br&gt;&lt;br&gt;&lt;b&gt;Note: When we say that someone is ‘off’ or ‘just off’ a location, we mean that they are close to it.&lt;/b&gt;</t>
  </si>
  <si>
    <t>&lt;u&gt;A six-year-old girl has survived after being trapped &lt;/u&gt;under ice in a river and spending four days in a coma. The girl and her brother were playing on ice when it gave way. Medics say that the girl has not suffered any injuries and that she has been sitting up in bed and enjoying an ice cream. &lt;br&gt;&lt;br&gt;&lt;b&gt;Note: To be ‘stuck’ is to be trapped meaning that escape is impossible or difficult.&lt;/b&gt;</t>
  </si>
  <si>
    <t>Two daring commando raids by two nations in one day against Somali pirates show that some &lt;u&gt;naval forces are taking a harder line, perhaps because nothing else they have tried has stopped the rise of lawlessness off the east coast of Africa&lt;/u&gt;. The raids by South Korea and Malaysia could be a sign of more aggressive tactics to come – both by navies and by pirates responding to them. Experts say pirates could increasingly use hostages as human shields if raids become more common. The European Union Naval Force refuses to raid hijacked ships out of concern for the safety of hostages, but frustration is rising. Despite patrols by an international flotilla of warships, drones patrolling the Indian Ocean and diverse strategies employed, including the sinking of pirate boats, Somali pirates have been relentless.  &lt;br&gt;&lt;br&gt;&lt;b&gt;Note: When we do something as a ‘last resort’, it usually means we don’t really want to do it but we have tried everything else and nothing else works.&lt;/b&gt;</t>
  </si>
  <si>
    <t>A South African gold mining company owned by members of the Mandela and Zuma families is accused of exploiting its political connections to avoid punishment over its abuse of workers. The company is also accused of profiting from selling mine assets it does not own- a claim it vehemently denies.&lt;br&gt;Aurora Empowerment Systems, took control of two gold mines just outside of Johannesburg around 18 months ago. Today, South Africa’s mining unions claim the company owes its workers more than 12m rand (1.8m) in unpaid salaries. The managing director of Aurora is Zondwa Gadafi Mandela, grandson of Nelson Mandela. The chairman is the nephew of President Jacob Zuma. Despite having no previous experience in the mining industry, a high court-appointed liquidator gave Aurora control of two gold mines after the previous owner went bust. Since then, the company has been at the centre of huge controversy in South Africa, with critics claiming that the company has committed multiple legal and regulatory infringements, &lt;u&gt;but has escaped any kind of sanction because of the significant political connections of its senior management. &lt;/u&gt;</t>
  </si>
  <si>
    <t>&lt;u&gt;Japan’s government is set to suspend all cattle shipments from Fukushima as concerns over radiation-tainted beef escalate&lt;/u&gt;. Senior Vice Health Minister Kohei Otsuka said beef from surrounding areas may also be affected. Increasing numbers of cows have been found to have consumed rice straw containing high levels of radioactive caesium. The straw was harvested from rice paddies in Fukushima prefecture after the devastating earthquake and tsunami knocked out critical cooling systems at the local nuclear plant leading to a meltdown. More than four months on, radioactive material continues to escape from the facility. Distributors across the country have bought meat from exposed cows and some of it could have already reached consumers. The major supermarket chain Aeon said that hundreds of kilos of the beef have been sold at 14 of its stores in Tokyo and the surrounding areas. The retailer said it would start to check beef shipments from all areas for contamination. The government has also acknowledged that the problem could be wider than just Fukushima.&lt;br&gt;&lt;br&gt;&lt;b&gt;Note: ‘Suspend’ is a synonym for ‘postpone’.&lt;/b&gt;</t>
  </si>
  <si>
    <t>The man who led a legal battle which led to the recent discovery of treasure worth billions of dollars in an Indian Temple has died at the age of 70. Sundar Rajan, petitioned for the vaults of the sixteenth century temple in Kerala to be opened. Inside, investigators found gold and silver jewelry and precious stones which had been hidden for decades. Local legend had long held that vast riches had been interred in the walls and vaults of the temple. Sundar Rajan went to the Supreme Court asking that the state take over control of the temple, saying the current temple trust was incapable of protecting the wealth inside. The court ordered an inspection of the temple vaults and when inspectors broke through, they found huge amounts of treasure, including diamonds, jewelry pots and gold coins. Neither the state of Kerala nor the descendants of the royal family have made any claim on the treasure, which they say is the property of the temple and its deity. &lt;u&gt;But the discovery has sparked a public debate&lt;/u&gt;, with many believing the items should be put in museums or sold and the profits used for the public good. &lt;br&gt;&lt;br&gt;&lt;b&gt;Note: ‘Contention’ here  means ‘disagreement’.&lt;/b&gt;</t>
  </si>
  <si>
    <t>I recently reported on an organization called KaBOOM! which helps residents in low-income communities across the United States build playgrounds and take steps towards re-creating their communities. In the poorest areas of the country, there is a severe shortage of quality play spaces for children; some areas have been described as ‘play deserts’. &lt;u&gt;This problem has drawn the attention of child advocates and some, but not enough, policy makers. Park and recreation budgets are often the first to be slashed when budgets are tightened. In recent years, groups like KaBOOM! have helped to fill the gap by raising private funds to finance playgrounds&lt;/u&gt;. But KaBOOM! goes a step further: it shows locals how to organize and build playgrounds themselves. If each generation of citizens has to rediscover its capacity for societal renewal, the past can certainly serve as a guide. Why did community playgrounds and children’s vegetable gardens end? &lt;br&gt;&lt;br&gt;&lt;b&gt;Note: The statement is saying that KaBooM raised private funds in response to budget cuts.&lt;/b&gt;</t>
  </si>
  <si>
    <t>Six major US tobacco companies have defeated a lawsuit by hospitals seeking compensation for treating patients with smoking-related illnesses. Thirty-seven hospitals in the state of Missouri had claimed cigarette companies delivered an “unreasonably dangerous” product. They sought more than $455m reimbursement for treating uninsured smokers who had not paid for care. The hospitals treat many destitute, non-paying patients. They said medical ethics required them to treat people in need, regardless of their ability to pay. In the case, the hospitals claimed that tobacco companies manipulated the nicotine content in cigarettes and misrepresented the health effects of smoking. But a jury in St. Louis rejected their claim. An official from Lorillard, another company in the case, said: &lt;u&gt;“Compelling evidence was presented to the jury, including testimony from hospital witnesses that confirmed the hospitals were not financially damaged as they asserted.” &lt;/u&gt;</t>
  </si>
  <si>
    <t xml:space="preserve">It’s three o’clock in the morning and Jaycee Solis is taking a call from a client who wants to book a flight from Detroit to New York. Jaycee’s American accent is so convincing that the US caller is almost certainly unaware that he’s on the other side of the world, in the Philippines. It’s this accent coupled with the high number of fluent English speakers that is making the Philippines the new destination of choice for international companies wanting to outsource their call centers. “In voice-based business, we really excel,” says Bong Borja , the Philippine president of a call center  company. &lt;u&gt;To American ears, Filipinos often sound clearer than agents in India – the king of the call centre industry. Mr. Borja says. “That’s the reason some companies in India are moving to the Philippines.” Some are even run by Indians, and many employ a high number of Indian expatriates on their management staff.&lt;/u&gt; People with these management skills “can only be found in India – they have the expertise and they were there a couple of years ahead of us,” says Mr. Borja. </t>
  </si>
  <si>
    <t>Cuban and American politicians have celebrated together at the opening of Hemingway’s, an invitation –only bar located in a Washington DC embassy. It started like a typical Washington DC function. Men and women in dark suits milled around a formal room in the Swiss Embassy.  But after a series of speeches, guests were led to the back of the room, and into an entirely different experience. They had entered Hemingway’s, a bar celebrating the American writer who made his home in Cuba. There, the floors were covered in terracotta tile, while wooden fans whirred above. Bartenders poured cocktails under a brass replica of Hemingway’s signature. Aside from the fact that it serves liquor, Hemingway’s isn’t a bar in the traditional sense. &lt;u&gt;Tucked inside the embassy, where the Cuban Interests Section resides, the bar has a strict invitation-only list. It will be used for entertaining guests of the Interest Section, so tourists hoping to catch happy hour are out of luck. &lt;/u&gt; It’s illegal for the bar to conduct any commerce, but the embassy is free from the trade embargo that forbids importing products from the communist country. &lt;u&gt;So drinks were free, made with Cuban rum that’s normally impossible to find in the U.S.&lt;/b&gt;&lt;br&gt;&lt;br&gt;&lt;b&gt;Note: The first question is answered in the last sentence and the answer to the second question appears earlier in the text.&lt;/b&gt;</t>
  </si>
  <si>
    <t>Last December a policeman in a small town near Rome put on a balaclava, kidnapped his neighbor’s teenage son and demanded an 85,000 euro ransom. Quickly tracked down and arrested by his fellow officers, he told them that he was up to his neck in debts as he lost everything at video poker. Bizarre stories like this are popping up more often as Italians develop a serious gambling habit. Italy has now moved into the number one spot for gambling in Europe after overtaking the U.K. &lt;u&gt;The boom has been driven by the legalization of slot machines which have overtaken lotteries, horses and football to account for more than half of today’s total spending. &lt;/u&gt; “Until the 1990s it was disapproved of and the government’s tendency was to control it,” said sociologist Maurizio Fiasco. “Then it became a useful revenue.” While the gambling parlors provide a revenue for the cash-strapped government, &lt;u&gt;the mafia has also moved in for its cut – allegedly using front companies to obtain licenses then laundering drug money through operations. &lt;/u&gt;&lt;br&gt;&lt;br&gt;&lt;b&gt;Note: ‘Front companies’ are ‘false companies’ and the mafia’s ‘cut’ means its profit.&lt;/b&gt;</t>
  </si>
  <si>
    <t xml:space="preserve">A National Trust farm is to be run by online subscribers voting on which crops to grow and livestock to rear. For a 30-pound annual fee, 10,000 farm followers will help manage Wimpole Home Farm, in Cambridgeshire. &lt;u&gt;The ‘My Farm’ project aims to reconnect people with where their food comes from. &lt;/u&gt;It was partly inspired by the online Face book game Farmville and follows the example of Ebbsfleet Football Club which is run on a similar basis. Wimpole Home Farm, which is converting to organic, is currently commercially self-sustaining. The 1,200 acre site is home to rare breeds of sheep, cattle, poultry, horses and goats and produces meat, eggs, wheat and oil seed rape. Subscribers will be expected to make key decisions on which crops to plant, which animals to buy and whether to put in measures such as new hedgerows to help wildlife. They will be asked to make 12 major monthly decisions during the course of the year as well as other choices. &lt;u&gt;The options put to members will be within parameters dictated by climate, &lt;/u&gt;legislation, and the requirements of the environmental stewardship scheme which the farm is signed up to, as well as the heritage protection given to the estate. </t>
  </si>
  <si>
    <t>Arsenic mines and factories in Georgia abandoned after the fall of the Soviet Union are leaking toxic chemicals, and scientific studies show high rates of illness in local children. But it seems villagers in Uravi, high in the Caucasus mountains in north-west Georgia, &lt;u&gt;are being kept in the dark and locals know nothing about the harm the pollution could be doing to their young. The government is aware of the problem, but with its economy still only 60% of what it was in Soviet times, the country just does not have the necessary resources, says environment minister Giorgi Khachidze. &lt;/u&gt; “All over the country we have the legacy of pesticides, landmines, abandoned factories, sources of radiation. Every day we get information about something and we just don’t have the money to sort out all these in a day.” Uravi is a beautiful spot, where hills dotted with small wooden houses rise up form the river to peaks covered in snow. But locals call this the Black Valley. Zaza Bochirishvili, who runs a local NGO campaigning on green issues, says the whole area is polluted. “All mountain rivers should have fish in them but this river does not.” Recent tests show arsenic levels in the soil around the village are 20-30 times higher than normal. Other scientific studies have found arsenic in the blood of local children.&lt;br&gt;&lt;br&gt;&lt;b&gt;Note: The first part of the underlined text answers the second question. If someone is ‘kept in the dark’,  about something, they are not informed about it. The second sentence of underlined text answers the first question as it refers to the country not having enough resources. This is reinforced later by the speaker who says ‘ We just don’t have enough money.’&lt;/b&gt;</t>
  </si>
  <si>
    <t>When Botswana achieved independence in 1966, it was one of Africa’s poorest countries with few schools or hospitals and only a handful of university graduates. Today the country has a national digital telephone network and universal access to health and education, which are largely funded by the government. Botswana has mineral wealth, mainly in the form of diamonds, as well as political stability. But these alone cannot explain why Botswana has fared so much better than many countries with similar starting positions. &lt;u&gt;Along with efficient macroeconomic management, a key lesson from the Botswana experience is ensuring that economic growth translates into tangible social benefits for all. &lt;/u&gt;It means that growth needs to create jobs and incomes and that it must extend to the poorest in society. It also means that growth must lead to improvements in public services, particularly in health and education. This is not easy and in rural communities in Botswana, poverty remains at unacceptably high levels. For a number of reasons, many African countries continue to rely on the export of primary commodities rather than value addition and diversification of the economic base. &lt;u&gt;The resultant capital-intensive growth has little direct effect on employment levels and few linkages to employment-intensive sectors such as agriculture. Thus, it is no wonder that despite years of strong economic growth, poverty remains so pervasive in so many resource-rich countries on the continent. &lt;/u&gt;</t>
  </si>
  <si>
    <t xml:space="preserve">Global warming has already harmed the world’s food production and has driven up food prices by as much as 20% over recent decades, new research has revealed. &lt;u&gt;The drop in the productivity of crop plants around the world was not caused by changes in rainfall but was because higher temperatures can cause dehydration, prevent pollination and lead to slowed photosynthesis&lt;/u&gt;.                                                                                                                                                           Lester Brown, president of the Earth Policy Institute, said the findings indicate a turning point: “Agriculture as it exists today evolved over 11,000 years of reasonably stable climate, but that climate system is no more. Adaptation is difficult because our knowledge of the future is not strong enough to drive new investments”, he said. “So we just keep going, hoping for the best.&lt;u&gt;” The scientists say their work shows how crucial it is to find ways to adapt farming to a warmer world, &lt;/u&gt;to ensure that rises in global population are matched by rising food production. “It is vital,” said Wolfram Schlenker, one of the research team. “If we continue to have the same seed varieties and temperatures continue to rise, then food prices will rise further. Addressing that is the big question.”  </t>
  </si>
  <si>
    <t>Green, incredibly alcoholic and some say mind-altering-these are the qualities that led to absinthe being banned in France almost 100 years ago. But all that’s about to change, after the government voted to allow sales of the drink nicknamed the “green fairy”.                                                      “I will not be seen as a drug addict anymore,” says Clement Arnoux, an absinthe drinker. The green, anise-flavoured spirit is associated with many of the country’s most famous and esteemed artists and writers but it was banned in France in 1915 for its alleged harmful effect. &lt;u&gt;Later, the rule was relaxed, allowing the drink to be sold as long as it was not called absinthe, &lt;/u&gt;and instead labelled “a spirit made from extracts of the absinthe plant.” Now the ban is expected to be lifted entirely any day now, after the French Senate voted in favour of the move in mid-April. &lt;u&gt;While drinkers like Clement Arnoux are relieved that the stigma of illegality has gone, not everyone sees the change of law as cause for celebration. &lt;/u&gt;Absinthe is usually around 60 or 70% alcohol, though it is not designed to be drunk neat, but mixed instead with water. For some, the drink’s high proof is part of its appeal. Young people are “always looking for something more,” says Laurent Legay, who works with people with drink problems.&lt;br&gt;&lt;br&gt;&lt;b&gt;Note: The second question is answered by the first piece of underlined text. The use of ‘ as long as’ indicates that there is a special condition. The first question is answered by the second piece of underlined text.&lt;/b&gt;</t>
  </si>
  <si>
    <t>Several months ago, parts of the Amazon rainforest were in the grip of one of the most severe droughts on record. Rivers levels were at historic lows and the impact on wildlife was severe. The number of pink river dolphins in a remote part of the Peruvian Amazon dropped by nearly half in October compared with 2009, as the level of the Samiria River, a major tributary of the Amazon, fell. Along a 20km stretch of the river, a population of 250 declined to about 140.But now a team of conservation experts working in the region has found that many species have recovered more quickly than expected. &lt;u&gt;This includes the pink dolphins, which, according to surveys conducted in March, have seen their numbers increased by nearly 10%, compared to the same period last year, prior to the drought&lt;/u&gt;. The number of grey dolphins is also up from March 2010 – by 30%. The research is being carried out in a national reserve in the Amazon. &lt;u&gt;“This reserve is flooded forest, where we get high levels and low levels in the rivers every year,” says Dr. Bodmer. &lt;/u&gt; “But the 2010 drought and the record floods the previous year were much worse.” Now the water levels are extremely high again and local officials have declared a state of emergency. &lt;u&gt;“We are being hit on both sides – extremely high levels of water or droughts,” says Dr. Bodmer. &lt;/u&gt;&lt;br&gt;&lt;br&gt;&lt;b&gt;Note: The second two pieces of underlined text answer both answer the second question.&lt;/b&gt;</t>
  </si>
  <si>
    <t>She is the embodiment of modern Thai youth, dressed in flip flops, T-shirt and shorts and sipping an iced coffee with friends after university lectures. But 20-year-old Kanthoop is not just another university student. She has been spat at, publicly denigrated, threatened by police and faces up to 15 years in jail for little more, she says, than “having opinions.” To understand why Kanthoop might be so vilified is to understand Thai society. Twice a day time stands still in this nation of 69 million as the national anthem sputters out of public loudspeakers and everyone stands in silent salute. &lt;u&gt;The routine testifies to the adoration Thai people feel for both their nation and their king. &lt;/u&gt; But that reverence is backed up by the world’s strictest pro-monarchy regulations, which sentences anyone who insults, defames or threatens the king to three to fifteen years imprisonment. Opponents argue that the law, known as Article 112, prevents healthy dialogue and is being used as a political tool to stifle dissent. &lt;u&gt;Human rights groups, as well as the U.S, E.U. and U.N, have voiced concern over the way the law is used. &lt;/u&gt;&lt;br&gt;&lt;br&gt;&lt;b&gt;Note: The first piece of underlined text answers the second question. We know that the royal family is venerated because of the use of words such as ‘adoration’ and ‘reverence’. The first question is answered by the second piece of underlined text.&lt;/b&gt;</t>
  </si>
  <si>
    <t>d) &lt;b&gt;When he was close to the Bahamas&lt;/b&gt;</t>
  </si>
  <si>
    <t>b) &lt;b&gt;She was stuck under the ice&lt;/b&gt;</t>
  </si>
  <si>
    <t>d)&lt;b&gt;Companies favor the Philippines over India regarding language aptitude&lt;/b&gt;</t>
  </si>
  <si>
    <t>b) &lt;b&gt;Some organizations are disturbed by Article 112&lt;/b&gt;</t>
  </si>
  <si>
    <t>a) &lt;b&gt;It venerates its monarchy&lt;/b&gt;</t>
  </si>
  <si>
    <t>d) &lt;b&gt;The raids are carried out as a last resort &lt;/b&gt;</t>
  </si>
  <si>
    <t>b)Efforts are being made to eliminate corruption in the military</t>
  </si>
  <si>
    <t>d) &lt;b&gt;Pakistan spurned the proceedings&lt;/b&gt;</t>
  </si>
  <si>
    <t>c) &lt;b&gt;The military is now active in tackling crime problems in Honduras&lt;/b&gt;</t>
  </si>
  <si>
    <t>a) &lt;b&gt;Has been exempt from penalties because of its ties&lt;/b&gt;</t>
  </si>
  <si>
    <t>b) &lt;b&gt;Transportation of cattle from Fukushima has been postponed&lt;/b&gt;</t>
  </si>
  <si>
    <t>b) &lt;b&gt;There is contention over the fortune&lt;/b&gt;</t>
  </si>
  <si>
    <t>b) &lt;b&gt;KaBOOM!’s beginning was influenced by budget cuts&lt;/b&gt;</t>
  </si>
  <si>
    <t>c) &lt;b&gt;Hospital funds were not found to be badly affected&lt;/b&gt;</t>
  </si>
  <si>
    <t>b) &lt;b&gt;Drinks were served free of charge&lt;/b&gt;</t>
  </si>
  <si>
    <t>c) &lt;b&gt;Slot machines dominate the gambling scene&lt;/b&gt;</t>
  </si>
  <si>
    <t>a) &lt;b&gt;Reacquaint people with food production&lt;/b&gt;</t>
  </si>
  <si>
    <t>b) &lt;b&gt;The fact that it is short of funds&lt;/b&gt;</t>
  </si>
  <si>
    <t>b) &lt;b&gt;The advantages of economic growth have reached many people&lt;/b&gt;</t>
  </si>
  <si>
    <t>c) &lt;b&gt;Increased warmth&lt;/b&gt;</t>
  </si>
  <si>
    <t>c) &lt;b&gt;Has met with a mixed reaction&lt;/b&gt;</t>
  </si>
  <si>
    <t>a) &lt;b&gt;The population of pink dolphins increased more rapidly after the drought&lt;/b&gt;</t>
  </si>
  <si>
    <t>a) &lt;b&gt;Many of the call centers are under Indian management&lt;/b&gt;</t>
  </si>
  <si>
    <t>c) &lt;b&gt;Access to it is restricted&lt;/b&gt;</t>
  </si>
  <si>
    <t>b) &lt;b&gt;They access the gambling business through false enterprises&lt;/b&gt;</t>
  </si>
  <si>
    <t>c) &lt;b&gt;Climatic conditions&lt;/b&gt;</t>
  </si>
  <si>
    <t>a) &lt;b&gt;They are not being well-informed about the problem&lt;/b&gt;</t>
  </si>
  <si>
    <t xml:space="preserve">d) &lt;b&gt;Provide more jobs&lt;/b&gt; </t>
  </si>
  <si>
    <t>b) &lt;b&gt;Try to adapt crop production to new climatic conditions&lt;/b&gt;</t>
  </si>
  <si>
    <t>b) &lt;b&gt;Absinthe was sold under special conditions&lt;/b&gt;</t>
  </si>
  <si>
    <t>d) &lt;b&gt;Regularly suffers droughts and floods&lt;/b&gt;</t>
  </si>
  <si>
    <r>
      <t>A rare Jane Austen manuscript will remain in the UK after being sold for 993,250 pounds in London. Auction house Sotheby’s had originally valued the unfinished novel entitled ‘The Watsons’ as no more than 300,000 pounds. The manuscript, originally owned privately, was purchased by the Bodleian Libraries of Oxford. It is thought Austin wrote the tale, about a young woman who returned home to her father’s household after being brought up by a wealthy aunt, in 1804. Richard Ovenden, from Bodleian Libraries said they were “delighted to have secured such a valuable part of our literary heritage.” “We are glad it will now stay in Britain,” he added, saying the “priceless manuscript” would be made available to the general public as early as this autumn. &lt;u&gt;</t>
    </r>
    <r>
      <rPr>
        <u/>
        <sz val="11"/>
        <color theme="1"/>
        <rFont val="Calibri"/>
        <family val="2"/>
        <scheme val="minor"/>
      </rPr>
      <t>Much of the money came from the National Heritage Memorial Fund (NHMF) through an 894,700 pound grant&lt;/u&gt;. &lt;br&gt;&lt;br&gt;&lt;B&gt;</t>
    </r>
    <r>
      <rPr>
        <i/>
        <u/>
        <sz val="11"/>
        <color theme="1"/>
        <rFont val="Calibri"/>
        <family val="2"/>
        <scheme val="minor"/>
      </rPr>
      <t>Note: A ‘grant’ is a form of subsidy&lt;/B&gt;.</t>
    </r>
  </si>
  <si>
    <r>
      <t>Somewhere in the Netherlands, a post woman is in trouble. When I visited her, bad health, snow and ice and chaos in her personal life had left her months behind on her deliveries. &lt;u&gt;</t>
    </r>
    <r>
      <rPr>
        <u/>
        <sz val="11"/>
        <color theme="1"/>
        <rFont val="Calibri"/>
        <family val="2"/>
        <scheme val="minor"/>
      </rPr>
      <t xml:space="preserve">She rents a privatized ex-council flat with her partner and so many crates of mail had built up that is was getting hard to move around&lt;/u&gt;. </t>
    </r>
    <r>
      <rPr>
        <sz val="11"/>
        <color theme="1"/>
        <rFont val="Calibri"/>
        <family val="2"/>
        <scheme val="minor"/>
      </rPr>
      <t>Twice a week, one of the private mail companies she was working for dropped off three or four crates of letters, magazines and catalogues. She was sorting and delivering the new crates but the winter backlog was difficult to clear.</t>
    </r>
    <r>
      <rPr>
        <i/>
        <sz val="11"/>
        <color theme="1"/>
        <rFont val="Calibri"/>
        <family val="2"/>
        <scheme val="minor"/>
      </rPr>
      <t xml:space="preserve"> Note: The mail has built up because she has fallen behind with her deliveries so she has an excess to deliver. &lt;br&gt;&lt;br&gt;&lt;b&gt;</t>
    </r>
    <r>
      <rPr>
        <sz val="11"/>
        <color theme="1"/>
        <rFont val="Calibri"/>
        <family val="2"/>
        <scheme val="minor"/>
      </rPr>
      <t>Note: The mail has built up because she has fallen behind with her deliveries so she has an excess to deliver.&lt;/b&gt;</t>
    </r>
  </si>
  <si>
    <r>
      <t>In 1957 a 30-year-old engineer named Max Mathews got an IBM 704 mainframe computer at the Bell Telephone Laboratories in Murray Hill, N. J., to generate 17 seconds of music, then recorded the result for prosperity</t>
    </r>
    <r>
      <rPr>
        <u/>
        <sz val="11"/>
        <color theme="1"/>
        <rFont val="Calibri"/>
        <family val="2"/>
        <scheme val="minor"/>
      </rPr>
      <t>. &lt;u&gt;While not the first person to make sound with a computer, Max was the first one to do so with a combination of hardware and software that allowed the user to specify what tones he wanted to hear</t>
    </r>
    <r>
      <rPr>
        <sz val="11"/>
        <color theme="1"/>
        <rFont val="Calibri"/>
        <family val="2"/>
        <scheme val="minor"/>
      </rPr>
      <t>.&lt;/u&gt; This piece of music, called “The Silver Scale” and composed by a colleague at Bell Labs, was never intended to be a masterpiece. It was a proof-of-concept, and it laid the groundwork for a revolutionary advancement in music, the reverberations of which are felt everywhere today. When Max died in April at the age of 84,he left a world where the idea that computers make sound is noncontroversial; even banal. In 2011, Musicians make their recordings using digital audio workstations, and perform with synthesizers, drum machines and laptop computers. As listeners, we tune in to digital broadcasts from satellite radio or the Internet. &lt;br&gt;&lt;br&gt;&lt;b&gt;</t>
    </r>
    <r>
      <rPr>
        <i/>
        <sz val="11"/>
        <color theme="1"/>
        <rFont val="Calibri"/>
        <family val="2"/>
        <scheme val="minor"/>
      </rPr>
      <t>Note: The text states that he wasn’t the first person to make sound but could specify tones, that is pitch.&lt;/b&gt;</t>
    </r>
  </si>
  <si>
    <r>
      <t xml:space="preserve">The latest assignment for Rankin saw him fly to Sange in troubled eastern Congo with Oxfam. The town’s population has doubled in size as people have fled the fighting, and Oxfam is trying to provide clean water and sanitation.                                                                                                                                                           Among the displaced masses is 25-year-old Zafrani and her husband Farbrize. The couple got married, only to have to abandon their home when the conflict got too close.  On arrival in Sange, they were taken in by 45-year-old Annie. “In the Congo anyone can be in need of help at any time. Today it is our friends; tomorrow it could be us,” Annie explains. What most struck Rankin about the DRC, was that he never heard anyone moan. “In London people are always griping-about their relationships, their mortgages,” he said. “In the Congo there’s none of that constant analysis and portraying yourself as a victim.&lt;u&gt; </t>
    </r>
    <r>
      <rPr>
        <u/>
        <sz val="11"/>
        <color theme="1"/>
        <rFont val="Calibri"/>
        <family val="2"/>
        <scheme val="minor"/>
      </rPr>
      <t xml:space="preserve">People live with conflict and poverty, but there’s so much humanity, a deep instinct to help one another.”&lt;/u&gt;                                                                                                                                                      </t>
    </r>
    <r>
      <rPr>
        <sz val="11"/>
        <color theme="1"/>
        <rFont val="Calibri"/>
        <family val="2"/>
        <scheme val="minor"/>
      </rPr>
      <t>The subjects of Rankin’s photos stare out of the white canvas. It is only reading the captions that you get a sense of the reality: a country wracked by violence, lives shattered by loss and upheaval. &lt;U&lt;</t>
    </r>
    <r>
      <rPr>
        <u/>
        <sz val="11"/>
        <color theme="1"/>
        <rFont val="Calibri"/>
        <family val="2"/>
        <scheme val="minor"/>
      </rPr>
      <t>But these people are not presented as victims but ordinary folk&lt;/u&gt;</t>
    </r>
    <r>
      <rPr>
        <sz val="11"/>
        <color theme="1"/>
        <rFont val="Calibri"/>
        <family val="2"/>
        <scheme val="minor"/>
      </rPr>
      <t>, full of love-for a partner, for a baby, for knowledge, or simply for looking good. It is a deliberate strategy adopted by British photographer Rankin: “I wanted people to relate to their humanity, the expression on their faces. These are neither ugly images of brutality nor sentimental images of suffering</t>
    </r>
    <r>
      <rPr>
        <u/>
        <sz val="11"/>
        <color theme="1"/>
        <rFont val="Calibri"/>
        <family val="2"/>
        <scheme val="minor"/>
      </rPr>
      <t>.&lt;u&gt; I wanted it to be like looking in the mirror.&lt;/u&gt;” &lt;br&gt;&lt;br&gt;&lt;b&gt;</t>
    </r>
    <r>
      <rPr>
        <i/>
        <u/>
        <sz val="11"/>
        <color theme="1"/>
        <rFont val="Calibri"/>
        <family val="2"/>
        <scheme val="minor"/>
      </rPr>
      <t>Note: The last two pieces of underlined text answer the second question.&lt;/b&gt;</t>
    </r>
  </si>
  <si>
    <r>
      <t>&lt;u&gt;The strangest of all the strange things about North Korea, is that it’s surprisingly easy to go there.&lt;/u&gt; I’d always thought that it was only a bit less difficult than going to the moon but my amazing revelation is this: type “North Korea” and “tourism” into Google, and you’ll find Koryo Tours, a British-run travel firm. A couple of clicks and a certain amount of cash later, and you too could find yourself on a vintage Russian jetliner heading towards the Democratic People’s Republic of Korea. &lt;br&gt;It’s exciting. Because barely 1,500 people a year visit North Korea. As we land on an empty runway, and walk into an empty terminal, it feels like entering a fold in the space-time continuum. Our mobile phones are immediately confiscated. The investment bankers in the group ( we have three of them, two of whom have been recently made redundant- there’s obviously something about having  experienced the disintegrating edge of capitalism that makes North Korea an attractive holiday destination) look like they might cry. And yet, for what the West calls a rogue state and the most easterly point on the axis of evil, it doesn’t seem very evil. It takes a while to clear customs, not because our belongings are searched or we’re interrogated about the purpose of our visit</t>
    </r>
    <r>
      <rPr>
        <u/>
        <sz val="11"/>
        <color theme="1"/>
        <rFont val="Calibri"/>
        <family val="2"/>
        <scheme val="minor"/>
      </rPr>
      <t>, &lt;u&gt;but because, as becomes clear when we see the luggage carousel, we’re the only passengers who’ve failed to pack at least two flat-screen TVs.&lt;/u&gt;</t>
    </r>
    <r>
      <rPr>
        <sz val="11"/>
        <color theme="1"/>
        <rFont val="Calibri"/>
        <family val="2"/>
        <scheme val="minor"/>
      </rPr>
      <t xml:space="preserve">  And when we meet our guides by the departures board they’re smiling expansively. &lt;br&gt;&lt;br&gt;&lt;b&gt;</t>
    </r>
    <r>
      <rPr>
        <i/>
        <sz val="11"/>
        <color theme="1"/>
        <rFont val="Calibri"/>
        <family val="2"/>
        <scheme val="minor"/>
      </rPr>
      <t>Note: The first question is answered by the first sentence of the text and the rest of the first paragraph continues to explain why North Korea is accessible, or easy to visit.&lt;/b&gt;</t>
    </r>
  </si>
  <si>
    <r>
      <t>&lt;u&gt;Leaving the house in your pyjamas is nothing unusual in Shanghai, where locals blame their not getting dressed on high temperatures.&lt;/u&gt; However, when Expo 2010 begins in the city, the local authorities are planning to crack down on public pyjama-wearers. The slogan for their campaign: “Be civilized for the Expo: don’t wear your pyjamas outdoors.” &lt;br&gt;Shanghai is expecting 70 million visitors when it hosts the World Expo -the international technology, science and economy fair. The city has been preparing for the six-month event for the past eight years. But there are still a few finishing touches. Xiaodong Du is a student in Shanghai. He writes: “Back in the 1960’s and even earlier, pyjamas were considered a luxury and only worn by two kinds of people</t>
    </r>
    <r>
      <rPr>
        <u/>
        <sz val="11"/>
        <color theme="1"/>
        <rFont val="Calibri"/>
        <family val="2"/>
        <scheme val="minor"/>
      </rPr>
      <t>. &lt;u&gt;The first- the wealthy, who wore pyjamas to demonstrate that they enjoyed an easy life.</t>
    </r>
    <r>
      <rPr>
        <sz val="11"/>
        <color theme="1"/>
        <rFont val="Calibri"/>
        <family val="2"/>
        <scheme val="minor"/>
      </rPr>
      <t xml:space="preserve"> &lt;/u&gt;The second - people who worked in the entertainment industry, such as dancers, because they thought it charming. Up to the 1970s, wearing pyjamas became increasingly more popular, and seeing them in the street became part of the urban landscape of Shanghai. &lt;br&gt;&lt;br&gt;&lt;b&gt;</t>
    </r>
    <r>
      <rPr>
        <i/>
        <sz val="11"/>
        <color theme="1"/>
        <rFont val="Calibri"/>
        <family val="2"/>
        <scheme val="minor"/>
      </rPr>
      <t>Note: An easy life is a synonym for a comfortable life.&lt;/b&gt;</t>
    </r>
  </si>
  <si>
    <r>
      <t>Kathryn Bigelow has become the first woman to win the best directing Oscar, as her Iraq war drama ‘The Hurt Locker’ took six prizes, including best film. &lt;br&gt;&lt;u&gt;</t>
    </r>
    <r>
      <rPr>
        <u/>
        <sz val="11"/>
        <color theme="1"/>
        <rFont val="Calibri"/>
        <family val="2"/>
        <scheme val="minor"/>
      </rPr>
      <t xml:space="preserve">“It’s the moment of a lifetime,” said Bigelow – only the fifth woman to be nominated in Academy Awards history.&lt;/u&gt;                                                                                                                                             </t>
    </r>
    <r>
      <rPr>
        <sz val="11"/>
        <color theme="1"/>
        <rFont val="Calibri"/>
        <family val="2"/>
        <scheme val="minor"/>
      </rPr>
      <t>Jeff Bridges and Sandra Bullock won the top acting Oscars for their roles in Crazy Heart and The Blind Side.&lt;br&gt;Bridges, playing a hard-living country singer, beat George Clooney, Morgan Freeman, Jeremy Renner and Britain’s Colin Firth to win with his fifth Academy Award nomination. An emotional &lt;u&gt;</t>
    </r>
    <r>
      <rPr>
        <u/>
        <sz val="11"/>
        <color theme="1"/>
        <rFont val="Calibri"/>
        <family val="2"/>
        <scheme val="minor"/>
      </rPr>
      <t>Bullock picked up the coveted best actress award, just a day after winning the Razzie for worst actress, for her role in ‘All About Steve.’ &lt;/u&gt;&lt;br&gt;</t>
    </r>
    <r>
      <rPr>
        <sz val="11"/>
        <color theme="1"/>
        <rFont val="Calibri"/>
        <family val="2"/>
        <scheme val="minor"/>
      </rPr>
      <t xml:space="preserve">Christoph Waltz and Mo’Nique were winners of the supporting acting awards, categories they were both widely tipped to win. Waltz won for his role as a diabolical SS officer in ‘Inglorious Bastards’, while Mo’ Nique triumphed for her role in ‘Precious.’ </t>
    </r>
  </si>
  <si>
    <r>
      <t>Paul Oparaji is the chairman of a local neighborhood watch group in Enugu- quite normal for a pensioner, one might think. But in Nigeria “neighborhood watch” means taking to the streets with a gun or machete and possibly lynching armed robbers.&lt;br&gt;At an age where other men are keen to put their feet up and enjoy the company of their family, Mr Oparaji is a vigilante, prepared to dispense what he calls “jungle justice.” &lt;br&gt;Every night at around 22.30, he and 18 other men strap their ancient shotguns to their backs and walk through their neighborhood banging a large metal bell to let the people in their houses know someone is watching over them, and let the robbers know someone is coming. This “informal policing” happens in cities across Nigeria. The vigilantes are the only ones that stand between robbers and residents. &lt;u&gt;</t>
    </r>
    <r>
      <rPr>
        <u/>
        <sz val="11"/>
        <color theme="1"/>
        <rFont val="Calibri"/>
        <family val="2"/>
        <scheme val="minor"/>
      </rPr>
      <t>And if they get caught, a robber can expect to be killed before the authorities arrive. The police say the presence of vigilante groups is “welcome.” “They pre-date the police, and they compliment our efforts</t>
    </r>
    <r>
      <rPr>
        <sz val="11"/>
        <color theme="1"/>
        <rFont val="Calibri"/>
        <family val="2"/>
        <scheme val="minor"/>
      </rPr>
      <t>.&lt;/u&gt; Any vigilantes who kill suspects would face the law,” he said.&lt;br&gt;                                                   Vigilante expert, Chris Ugwu says many Nigerians see the rule of law as an alien concept. “Some police have been compromised- the robber hands over some money and is released. He will go back and gloat to the people who handed him over.”  &lt;br&gt;&lt;br&gt;&lt;b&gt;</t>
    </r>
    <r>
      <rPr>
        <i/>
        <sz val="11"/>
        <color theme="1"/>
        <rFont val="Calibri"/>
        <family val="2"/>
        <scheme val="minor"/>
      </rPr>
      <t>Note: The first question is answered by the second sentence of underlined text. ‘ They compliment our efforts’ is another way to say: ‘They help us’. The first sentence of underlined text answers the second question as the vigilantes sometimes kill the robbers.&lt;/b&gt;</t>
    </r>
  </si>
  <si>
    <r>
      <t xml:space="preserve">The outback is a different place to what I had expected: welcoming, safe, the snakes all asleep in this season. We’re in John’s country, his home. John Kemarre Cavanaugh is a traditional landowner who still follows traditional Aboriginal law. He comes from a family of healers and cracks jokes about “witch doctors”. He’s invited me to his country east of Alice Springs, along with his “old men”,&lt;u&gt; </t>
    </r>
    <r>
      <rPr>
        <u/>
        <sz val="11"/>
        <color theme="1"/>
        <rFont val="Calibri"/>
        <family val="2"/>
        <scheme val="minor"/>
      </rPr>
      <t>Ken and Frankie Tilmouth, who are his ritual caretakers, related through a maternal line. He can’t tell stories in his land or make decisions about the land without their presence and approval. And he fulfills the same role for them on their land.&lt;/u&gt;&lt;br&gt;</t>
    </r>
    <r>
      <rPr>
        <sz val="11"/>
        <color theme="1"/>
        <rFont val="Calibri"/>
        <family val="2"/>
        <scheme val="minor"/>
      </rPr>
      <t>‘Australia’, the movie with Nicole Kidman, dramatizes what happened to the “stolen generation”, children born of Aboriginal mothers but fathered by white men, removed from their mothers and sent to missions. But full-blooded Aboriginal children were taken away from their families too, and this is a story less well-known. &lt;br&gt;John was born in 1957 and taken away from his parents by missionaries. Early one morning he sits by the coals of the night’s fire, drawing with a stick in the sand. The dormitory of Santa Theresa Mission, a line coming from either side, showing the yard separated, one side for boys, the other for girls. John’s parents were nearby, and he would see them lining up to collect rations, but he couldn’t wave to them. They’d just look at each other across the yard in silence.  John ran away from the mission several times.  &lt;br&gt;&lt;u&gt;</t>
    </r>
    <r>
      <rPr>
        <u/>
        <sz val="11"/>
        <color theme="1"/>
        <rFont val="Calibri"/>
        <family val="2"/>
        <scheme val="minor"/>
      </rPr>
      <t>What amazes me about John is that he’s still open-hearted, not bitter or angry,</t>
    </r>
    <r>
      <rPr>
        <sz val="11"/>
        <color theme="1"/>
        <rFont val="Calibri"/>
        <family val="2"/>
        <scheme val="minor"/>
      </rPr>
      <t xml:space="preserve"> &lt;/u&gt;though he’d be more than justified. He wants to share his story, wants to invite outsiders to his land, wants different peoples to understand each other.</t>
    </r>
  </si>
  <si>
    <r>
      <t>Elzbieta and Viera, mother and daughter, stand in their garden looking down at the Roma (Gypsy) children tobogganing in the winter snows. All that separates them is a new, white concrete wall. Beyond the wall stand the mud hovels where many Roma live here in Ostrovany, in eastern Slovakia.&lt;br&gt;&lt;u&gt;</t>
    </r>
    <r>
      <rPr>
        <u/>
        <sz val="11"/>
        <color theme="1"/>
        <rFont val="Calibri"/>
        <family val="2"/>
        <scheme val="minor"/>
      </rPr>
      <t xml:space="preserve">“I don’t mind them really,” says Viera. “We put up with them pretty well actually, considering they’ve built their homes on land which doesn’t belong to them.&lt;/u&gt; </t>
    </r>
    <r>
      <rPr>
        <sz val="11"/>
        <color theme="1"/>
        <rFont val="Calibri"/>
        <family val="2"/>
        <scheme val="minor"/>
      </rPr>
      <t>But I have one rule in our relations with them: don’t do to others what you would not like done to yourself.”                                    She is talking about the theft of fruit, vegetables and even the metal fence posts from their gardens, which she and the others blame on the Roma. It went on for years, she says, until the local council responded to their complaints and spent 13,000 euros of public funds on the wall.                                                                                                                                                                         “The wall does not segregate the Roma, nor does it limit their access to main roads or services,” says the Mayor of Ostrovany. “The only criticism I am willing to accept, is that public money was used to protect private property</t>
    </r>
    <r>
      <rPr>
        <u/>
        <sz val="11"/>
        <color theme="1"/>
        <rFont val="Calibri"/>
        <family val="2"/>
        <scheme val="minor"/>
      </rPr>
      <t>. &lt;u&gt;But the public money is also used to help the Roma. We help some people one day, others the next.”&lt;/u&gt; &lt;br&gt;&lt;br&gt;&lt;b&gt;</t>
    </r>
    <r>
      <rPr>
        <i/>
        <u/>
        <sz val="11"/>
        <color theme="1"/>
        <rFont val="Calibri"/>
        <family val="2"/>
        <scheme val="minor"/>
      </rPr>
      <t>Note: The phrasal verb ‘to put up with’ is a synonym for ‘tolerate’.    If you are ‘not exempt’ from something, it means you are included.&lt;/b&gt;</t>
    </r>
  </si>
  <si>
    <r>
      <t>The European Commission has cleared the way for a genetically modified potato to be grown in the E.U.-only the second GM product it has allowed. The starch of the Amflora potato can be utilised for industrial uses like making paper, and animal feed- but not for human consumption.                                                                                                                                                      &lt;u&gt;</t>
    </r>
    <r>
      <rPr>
        <u/>
        <sz val="11"/>
        <color theme="1"/>
        <rFont val="Calibri"/>
        <family val="2"/>
        <scheme val="minor"/>
      </rPr>
      <t>Environmental groups have strongly opposed the introduction of GM crops&lt;/u&gt;</t>
    </r>
    <r>
      <rPr>
        <sz val="11"/>
        <color theme="1"/>
        <rFont val="Calibri"/>
        <family val="2"/>
        <scheme val="minor"/>
      </rPr>
      <t>. But the Commission insisted its decision was based on “a considerable volume of sound science.”&lt;br&gt;The Amflora variety was developed by German chemical and biotechnology firm BASF, for the special qualities of its starch</t>
    </r>
    <r>
      <rPr>
        <u/>
        <sz val="11"/>
        <color theme="1"/>
        <rFont val="Calibri"/>
        <family val="2"/>
        <scheme val="minor"/>
      </rPr>
      <t>.&lt;u&gt; But it has been a political hot potato for seven years</t>
    </r>
    <r>
      <rPr>
        <sz val="11"/>
        <color theme="1"/>
        <rFont val="Calibri"/>
        <family val="2"/>
        <scheme val="minor"/>
      </rPr>
      <t>.&lt;/u&gt; BASF applied to grow it in Sweden in 2003. Sweden agreed but was obliged to seek EU permission. The Council of ministers – the committee of national governments-has been unable to agree to a decision, passing the issue back into the hands of the Commission.&lt;br&gt;Even though it has now been cleared, individual countries still have the right to decide whether it should be grown on their territory.&lt;br&gt;Some countries remain firmly opposed to the cultivation of GM crops, arguing that they could eventually reduce biodiversity and natural resistance to pests and disease, &lt;u&gt;</t>
    </r>
    <r>
      <rPr>
        <u/>
        <sz val="11"/>
        <color theme="1"/>
        <rFont val="Calibri"/>
        <family val="2"/>
        <scheme val="minor"/>
      </rPr>
      <t>and that it is very hard to stop them cross-pollinating with non-GM crops.&lt;/u&gt; &lt;br&gt;&lt;br&gt;&lt;b&gt;Note: The first two underlined sentences answer the first question showing that there are different viewpoints about the genetically modified potato. The second question is answered by the last sentence. ‘Cross-pollinating’ indicates mixing. &lt;/b&gt;</t>
    </r>
  </si>
  <si>
    <r>
      <t xml:space="preserve">The wheels of justice tend to be slow but arrests can happen with lightening speed- and what happens next can be crucial. In searches, seizure and interrogation, things can go badly wrong. At that moment, a lawyer might help keep things from getting out of hand. But getting that lawyer is no easy thing, said Chris Miles, who co-founded a company, Lawyer Up, to get lawyers on the case within 15 minutes. The company he co-founded recently started full operations in several states, having built a roster of criminal lawyers who do not mind getting late-night calls. The service’s personal plan costs $4.95 a month.&lt;u&gt; </t>
    </r>
    <r>
      <rPr>
        <u/>
        <sz val="11"/>
        <color theme="1"/>
        <rFont val="Calibri"/>
        <family val="2"/>
        <scheme val="minor"/>
      </rPr>
      <t>Those who do not have a subscription can pay a fee of $100 for the first call</t>
    </r>
    <r>
      <rPr>
        <sz val="11"/>
        <color theme="1"/>
        <rFont val="Calibri"/>
        <family val="2"/>
        <scheme val="minor"/>
      </rPr>
      <t xml:space="preserve">, </t>
    </r>
    <r>
      <rPr>
        <u/>
        <sz val="11"/>
        <color theme="1"/>
        <rFont val="Calibri"/>
        <family val="2"/>
        <scheme val="minor"/>
      </rPr>
      <t>which the company calls its ‘pay-in-a-pinch</t>
    </r>
    <r>
      <rPr>
        <sz val="11"/>
        <color theme="1"/>
        <rFont val="Calibri"/>
        <family val="2"/>
        <scheme val="minor"/>
      </rPr>
      <t xml:space="preserve"> </t>
    </r>
    <r>
      <rPr>
        <u/>
        <sz val="11"/>
        <color theme="1"/>
        <rFont val="Calibri"/>
        <family val="2"/>
        <scheme val="minor"/>
      </rPr>
      <t>plan’.&lt;/u&gt;</t>
    </r>
    <r>
      <rPr>
        <sz val="11"/>
        <color theme="1"/>
        <rFont val="Calibri"/>
        <family val="2"/>
        <scheme val="minor"/>
      </rPr>
      <t xml:space="preserve"> Lawyers do not pay to sign on the roster or for the client calls.&lt;br&gt;&lt;br&gt;&lt;b&gt;Note: The underlined sentence indicates that a subscription is not necessary.&lt;/b&gt;</t>
    </r>
  </si>
  <si>
    <r>
      <t>Slovakia’s brown bears are a rare conservation triumph, but their growing number has forced some of them to swap forest life for a more urban setting. Until recently, getting a glimpse of a European brown bear would mean venturing deep into Slovakia’s mountainous forests. But now close encounters with these animals increasingly are happening much closer to home. &lt;u&gt;</t>
    </r>
    <r>
      <rPr>
        <u/>
        <sz val="11"/>
        <color theme="1"/>
        <rFont val="Calibri"/>
        <family val="2"/>
        <scheme val="minor"/>
      </rPr>
      <t xml:space="preserve">After they were hunted almost to extinction in the 1930’s,&lt;/u&gt; </t>
    </r>
    <r>
      <rPr>
        <sz val="11"/>
        <color theme="1"/>
        <rFont val="Calibri"/>
        <family val="2"/>
        <scheme val="minor"/>
      </rPr>
      <t>the bears have made a big comeback and the boost in numbers has meant that some curious bears have started to take an interest in village life. But for the people living in the High Tatras village area, these new visitors are not welcome. The Mayor of the village explains: “The people are scared and they are coming to complain everyday. I think some controlled shooting is necessary.” But conservationists say killing problem bears is not the answer. Instead they want to study them.&lt;br&gt;&lt;br&gt; &lt;b&gt;Note: ‘Hunted to almost extinction’ has the same meaning as ‘in danger of eradication’ here.&lt;/b&gt;</t>
    </r>
  </si>
  <si>
    <r>
      <t>&lt;u&gt;The American security manufacturer Armor Holdings has paid a $16 million fine to settle bribery charges.&lt;/u&gt; From 2001 to 2006, Armor Holdings paid a UN official to help it deliver a contract to supply body armor for UN peacekeepers, according to US authorities. The alleged misconduct happened before the company was acquired by British defense giant BAE Systems in 2007. BAE said it had “cooperated extensively in the investigation.” “It is important to acknowledge that all of the matters in question occurred well before Armor’s acquisition by BAE Systems,” spokesman Brian Roehrkasse told the BBC in an emailed statement. &lt;u&gt;</t>
    </r>
    <r>
      <rPr>
        <u/>
        <sz val="11"/>
        <color theme="1"/>
        <rFont val="Calibri"/>
        <family val="2"/>
        <scheme val="minor"/>
      </rPr>
      <t>Florida-based Armor Holdings agreed to pay the fines in order to avoid facing criminal prosecution on charges brought by the US Department of Justice and the Securities and Exchange&lt;/u&gt;</t>
    </r>
    <r>
      <rPr>
        <sz val="11"/>
        <color theme="1"/>
        <rFont val="Calibri"/>
        <family val="2"/>
        <scheme val="minor"/>
      </rPr>
      <t xml:space="preserve"> Commission. (SEC)                                                                                                                                        &lt;br&gt;&lt;br&gt;&lt;b&gt;Note: The two underlined sentences indicate that C is the correct answer as Armor Holdings paid the fine so that they don’t have to face prosecution for criminal activities. ‘Facing prosecution’ is a synonym for ‘being tried’.&lt;/b&gt;</t>
    </r>
  </si>
  <si>
    <r>
      <t>Seventeen lost pyramids are among the buildings identified in a new satellite survey of Egypt. More than 1,000 tombs and 3,000 ancient settlements were also revealed by looking at infra-red images which show up underground buildings. Initial excavations have already confirmed some of the findings, including two suspected pyramids. The work has been pioneered at the University of Alabama by US Egyptologist Dr. Sarah Parcak. Her team analyzed images from satellites orbiting 700km above the earth, equipped with cameras so powerful they can pinpoint objects less than 1m in diameter on the earth’s surface. &lt;u&gt;</t>
    </r>
    <r>
      <rPr>
        <u/>
        <sz val="11"/>
        <color theme="1"/>
        <rFont val="Calibri"/>
        <family val="2"/>
        <scheme val="minor"/>
      </rPr>
      <t>Ancient Egyptians built their houses and structures out of mud brick, which is much denser than the soil that surrounds it, so the shapes of houses, temples and tombs can be seen. &lt;/u&gt;&lt;br&gt;&lt;br&gt;&lt;b&gt;</t>
    </r>
    <r>
      <rPr>
        <sz val="11"/>
        <color theme="1"/>
        <rFont val="Calibri"/>
        <family val="2"/>
        <scheme val="minor"/>
      </rPr>
      <t>Note: ‘Shape’ here is the same as ‘form’ and to be able to ‘see’ the forms of the buildings is the same as being able to ‘discern’ them.&lt;/b&gt;</t>
    </r>
  </si>
  <si>
    <r>
      <t>Singapore Airlines (SIA) has said it plans to start a budget carrier flying across longer distances. The new airline will start operating with a year, using wide-body aircraft to ferry passengers. Other details, such as its name, planned routes and ticket prices, have not been revealed. The budget carrier is expected to compete with long- haul, cut-price Asian airlines operated by Australia’s Qantas and Malaysia’s Air Asia</t>
    </r>
    <r>
      <rPr>
        <u/>
        <sz val="11"/>
        <color theme="1"/>
        <rFont val="Calibri"/>
        <family val="2"/>
        <scheme val="minor"/>
      </rPr>
      <t xml:space="preserve">.&lt;u&gt; “As we have observed on short-haul routes within Asia, low-fare airlines help stimulate demand for travel,”&lt;/u&gt; </t>
    </r>
    <r>
      <rPr>
        <sz val="11"/>
        <color theme="1"/>
        <rFont val="Calibri"/>
        <family val="2"/>
        <scheme val="minor"/>
      </rPr>
      <t>Goh Choon Phong, chief executive of SIA, said in a statement. “We expect this will also prove true for longer flights.” Short-haul flights generally last less than four hours, while long-haul flights go greater distances. The new subsidiary will be based in Singapore and will be owned by SIA but it will be operated independently and managed separately from the flag carrier.&lt;br&gt;&lt;br&gt;&lt;b&gt;Note: The correct answer appears in the underlined quote as to ‘stimulate demand’ for something is ‘to encourage’ it.&lt;/b&gt;</t>
    </r>
  </si>
  <si>
    <r>
      <t>Union members at Eton College, David Cameron’s former school, have agreed to ‘minimize’ strike disruption for pupils. Cameron told public sector workers that strikes were “wrong-for you, the people you serve, for the good of the country,” in a last ditch attempt to avert a mass walkout by members of four unions. But it emerged that around 70 teachers at Eton are members of the Association of Teachers and Lecturers, which is taking industrial action for the first time in its history. The prospect of a walkout by teachers at Britain’s most expensive public school, in the face of pension changes proposed by a government that currently includes several former pupils, would have been embarrassing for the Prime Minister. Efforts to contact a union rep at the college failed, but Tony Little, the Eton headmaster, issued a statement which read: &lt;u&gt;</t>
    </r>
    <r>
      <rPr>
        <u/>
        <sz val="11"/>
        <color theme="1"/>
        <rFont val="Calibri"/>
        <family val="2"/>
        <scheme val="minor"/>
      </rPr>
      <t>‘Members of ATL met over the weekend, and have taken the view that they wish to minimize disruption but take the pensions issue forward by other means.’</t>
    </r>
    <r>
      <rPr>
        <sz val="11"/>
        <color theme="1"/>
        <rFont val="Calibri"/>
        <family val="2"/>
        <scheme val="minor"/>
      </rPr>
      <t xml:space="preserve"> &lt;/u&gt;              &lt;br&gt;&lt;br&gt;&lt;b&gt;Note: The underlined statement says that the teachers will take the pension issue forward by other means which means they will find another way to deal with it but they are not giving up. ‘To give up’ is the same as ‘to capitulate’ and they will not do this.&lt;/b&gt;</t>
    </r>
  </si>
  <si>
    <r>
      <t>Bob Burns of the Associated Press: “Today the Afghan Ministry of Defense said that it has removed hundreds of members of the Afghan National Security Forces (ANSF) after having checked their backgrounds again. You said you’re committed to stopping insider attacks. Is it really possible to stop them entirely?&lt;br&gt;Lieutenant General Terry: “As I said, the entire leadership of Afghanistan is seized by this and committed to stopping it, from the President on down. &lt;u&gt;</t>
    </r>
    <r>
      <rPr>
        <u/>
        <sz val="11"/>
        <color theme="1"/>
        <rFont val="Calibri"/>
        <family val="2"/>
        <scheme val="minor"/>
      </rPr>
      <t>What this is moving toward specifically is implementing improvements in their vetting system-&lt;/u&gt;t</t>
    </r>
    <r>
      <rPr>
        <sz val="11"/>
        <color theme="1"/>
        <rFont val="Calibri"/>
        <family val="2"/>
        <scheme val="minor"/>
      </rPr>
      <t>heir vetting system that’s been established. It’s also caused them the re-look back to their procedures and then re-look at a number of individuals. In other words, we’re starting to re-look at a number of individuals out there and &lt;u&gt;</t>
    </r>
    <r>
      <rPr>
        <u/>
        <sz val="11"/>
        <color theme="1"/>
        <rFont val="Calibri"/>
        <family val="2"/>
        <scheme val="minor"/>
      </rPr>
      <t>improve the vetting process.&lt;/u&gt;</t>
    </r>
    <r>
      <rPr>
        <sz val="11"/>
        <color theme="1"/>
        <rFont val="Calibri"/>
        <family val="2"/>
        <scheme val="minor"/>
      </rPr>
      <t xml:space="preserve"> In addition to that, they’re looking at increased efforts to improve the living conditions for their soldiers and also how they prepare their soldiers for leave periods, and then how they address those soldiers once they return from leave.&lt;br&gt;&lt;br&gt;&lt;b&gt;Note: The underlined pieces of text refer to improvements in the vetting system. To ‘vet’ someone, is to check them.&lt;/b&gt;</t>
    </r>
  </si>
  <si>
    <r>
      <t>The first –known occurrence of an oral infection has been found in a 275-million-year-old fossil: The ‘L hamatus’ fossil, whose detailed analysis shows signs of an abscess. The animal was among the first to have just one set of teeth, rather than continuously replacing them. The adaptation to a plant –based diet would have made them more susceptible, as humans are, to tooth decay and loss. L hamatus was one of the first fully terrestrial reptiles, and &lt;u&gt;</t>
    </r>
    <r>
      <rPr>
        <u/>
        <sz val="11"/>
        <color theme="1"/>
        <rFont val="Calibri"/>
        <family val="2"/>
        <scheme val="minor"/>
      </rPr>
      <t xml:space="preserve">with the evolution from a water to land-based life came a change in diet.&lt;/u&gt; </t>
    </r>
    <r>
      <rPr>
        <sz val="11"/>
        <color theme="1"/>
        <rFont val="Calibri"/>
        <family val="2"/>
        <scheme val="minor"/>
      </rPr>
      <t>For millions of years, the animal’s predecessors had teeth that continuously replaced themselves; new teeth grew into the inner side of the jaw and, when the loosely-connected outer teeth fell out, rose up to take their place. &lt;u&gt;</t>
    </r>
    <r>
      <rPr>
        <u/>
        <sz val="11"/>
        <color theme="1"/>
        <rFont val="Calibri"/>
        <family val="2"/>
        <scheme val="minor"/>
      </rPr>
      <t>However, the diet of tough plant matter that land-based reptiles began to eat did not lend itself to weak teeth,&lt;/u&gt;</t>
    </r>
    <r>
      <rPr>
        <sz val="11"/>
        <color theme="1"/>
        <rFont val="Calibri"/>
        <family val="2"/>
        <scheme val="minor"/>
      </rPr>
      <t xml:space="preserve"> so animals like L hamatus over millions of years evolved more deeply-anchored teeth. &lt;br&gt;&lt;br&gt;&lt;b&gt;Note: The underlined text indicates that the teeth of reptiles needed to change as they started living on land and as a result of this, their diet changed.&lt;/b&gt;</t>
    </r>
  </si>
  <si>
    <r>
      <t>Politics are back but for the moment at least economics is on hold. The new parliament is functioning but the massive shift in economic policy that is about to occur is not yet upon us. We know that x billions have to come out of public spending and/or be added to taxation. But we cannot quite think through what this might mean.&lt;br&gt;Even the structure of the debate has yet to take shape. We are still hearing the political language of the past. The Government was in the position of an employee in a steady job, knowing he or she would get regular increases in the monthly salary even allowing for inflation</t>
    </r>
    <r>
      <rPr>
        <u/>
        <sz val="11"/>
        <color theme="1"/>
        <rFont val="Calibri"/>
        <family val="2"/>
        <scheme val="minor"/>
      </rPr>
      <t>. &lt;u&gt;So the decisions were about apportioning that salary in a sensible way</t>
    </r>
    <r>
      <rPr>
        <sz val="11"/>
        <color theme="1"/>
        <rFont val="Calibri"/>
        <family val="2"/>
        <scheme val="minor"/>
      </rPr>
      <t>. &lt;u&gt;&lt;br&gt;So what will happen? Well, just as we will stumble towards new institutional arrangements to control our deficit, our politicians will stumble towards a new language to explain the changed nature of government. If the amount you can spend is going down, not up, you have to explain what governments can and cannot do. You could, I suppose blame your predecessors, but that does not really help. &lt;u&gt;</t>
    </r>
    <r>
      <rPr>
        <u/>
        <sz val="11"/>
        <color theme="1"/>
        <rFont val="Calibri"/>
        <family val="2"/>
        <scheme val="minor"/>
      </rPr>
      <t>No, you have to explain why the proposition underlying Western politics since the Second World War –that governments can go on providing more services without significantly higher taxes – is wrong. That game is over.&lt;/u&gt;</t>
    </r>
    <r>
      <rPr>
        <sz val="11"/>
        <color theme="1"/>
        <rFont val="Calibri"/>
        <family val="2"/>
        <scheme val="minor"/>
      </rPr>
      <t xml:space="preserve"> Demography and debts have ended it forever. &lt;br&gt;&lt;br&gt;&lt;b&gt;Note: In the first answer, ‘apportioning’ is the same as ‘dividing.                                                            The second answer is stated in the last sentence when the writer says that governments can no longer provide services without higher taxes.&lt;/b&gt;</t>
    </r>
  </si>
  <si>
    <r>
      <t>Beneath the forests of western Canada lies the tarry rock that is one of America’s top sources of imported oil. &lt;u&gt;</t>
    </r>
    <r>
      <rPr>
        <u/>
        <sz val="11"/>
        <color theme="1"/>
        <rFont val="Calibri"/>
        <family val="2"/>
        <scheme val="minor"/>
      </rPr>
      <t xml:space="preserve">There is no chance of a rig blowout here, or a deepwater oil spill like the one from the BP well that fouled the Gulf of Mexico. But the oil extracted from Canada’s oil sands poses other environmental challenges, like toxic sludge ponds, greenhouse gas emissions and the destruction of boreal forests.&lt;/u&gt;                                                                                                                                      </t>
    </r>
    <r>
      <rPr>
        <sz val="11"/>
        <color theme="1"/>
        <rFont val="Calibri"/>
        <family val="2"/>
        <scheme val="minor"/>
      </rPr>
      <t>Oil sands are now getting more scrutiny as the Obama administration reviews a Canadian company’s request to build a new 2,000-mile underground pipeline that would run from Alberta to the Texas Gulf Coast and would significantly increase America’s access to the oil. In making the decision, federal officials are weighing the environmental concerns against the need to secure a reliable supply of oil to help satisfy the nation’s insatiable thirst</t>
    </r>
    <r>
      <rPr>
        <u/>
        <sz val="11"/>
        <color theme="1"/>
        <rFont val="Calibri"/>
        <family val="2"/>
        <scheme val="minor"/>
      </rPr>
      <t>.&lt;u&gt; In a world in which so many oil-producing nations are far away, unstable or hostile to the United States, Canadian oil sands hold great political appeal. &lt;/u&gt;</t>
    </r>
    <r>
      <rPr>
        <sz val="11"/>
        <color theme="1"/>
        <rFont val="Calibri"/>
        <family val="2"/>
        <scheme val="minor"/>
      </rPr>
      <t>“It is undeniable that having a large supply of crude oil available by pipeline from a friendly neighbor is extremely valuable to the energy security of the United States,” a spokesperson said.&lt;br&gt;&lt;br&gt;&lt;b&gt;Note: For the answer to the first question, the text gives an example of the damage done by one oilspill and then gives examples of different kinds of environmental problems that could be caused by extracting oil from Canada’s oil sands.                                                                                                                                                               In the answer to the second question, the text indicates that many of the nations currently producing oil are not friendly to the United States but Canada is. To have an ‘amicable’ relationship is to have a positive or friendly relationship. &lt;/b&gt;</t>
    </r>
  </si>
  <si>
    <r>
      <t>There we sat, five paddlers in three canoes on the Colorado River in northern Arizona, simply observing. The still surface of the river so perfectly mirrored the cliffs and sky that it was hard to know where the river ended and the cliffs began. Though in some ways this 15-mile stretch of river with its sandy beaches, rich archaeological history and unspoiled scenery is a dead ringer for parts of the Grand Canyon farther downriver</t>
    </r>
    <r>
      <rPr>
        <u/>
        <sz val="11"/>
        <color theme="1"/>
        <rFont val="Calibri"/>
        <family val="2"/>
        <scheme val="minor"/>
      </rPr>
      <t xml:space="preserve">, &lt;u&gt;there are some key differences – most notably that it’s about 200 miles shorter than the Grand Canyon trip, requires no special permits&lt;/u&gt; </t>
    </r>
    <r>
      <rPr>
        <sz val="11"/>
        <color theme="1"/>
        <rFont val="Calibri"/>
        <family val="2"/>
        <scheme val="minor"/>
      </rPr>
      <t>and is significantly more tranquil, with none of the boat-tossing rapids that can occur downriver. So while a trip down the Colorado through the Grand Canyon takes at least a week to float, requires a permit that can take years to win and includes some fierce rapids, this leg only takes a day or two and is perfect for beginner boaters.&lt;br&gt;Yet sandwiched between Lake Powell and the Grand Canyon – two of the Southwest’s most popular destinations – &lt;u&gt;</t>
    </r>
    <r>
      <rPr>
        <u/>
        <sz val="11"/>
        <color theme="1"/>
        <rFont val="Calibri"/>
        <family val="2"/>
        <scheme val="minor"/>
      </rPr>
      <t xml:space="preserve">this stretch of flat water is often forgotten by kayakers, rafters and canoeists.&lt;/u&gt; </t>
    </r>
    <r>
      <rPr>
        <sz val="11"/>
        <color theme="1"/>
        <rFont val="Calibri"/>
        <family val="2"/>
        <scheme val="minor"/>
      </rPr>
      <t>And it’s easy to get to. Instead of heading downstream from Lee’s Ferry, where most river trips through the Grand Canyon begin, you go upstream instead.&lt;br&gt;&lt;br&gt;&lt;b&gt;Note: In the answer to the second question, in this context, the fact that the kayakers, rafters and canoeists ‘forget’ this stretch of water, means that they ‘overlook’ it. That is, they know it is there but they don’t consider it.&lt;/b&gt;</t>
    </r>
  </si>
  <si>
    <r>
      <t>The complaint says that from July 2007 to September 2009, the doctor, Anthony Galea, illegally distributed human growth hormone and the unapproved drug Actovegin to various athletes. &lt;u&gt;</t>
    </r>
    <r>
      <rPr>
        <u/>
        <sz val="11"/>
        <color theme="1"/>
        <rFont val="Calibri"/>
        <family val="2"/>
        <scheme val="minor"/>
      </rPr>
      <t>It says that Galea also made false statements to federal authorities.&lt;br&gt;Galea has said Tiger Woods and Alex Rodriguez were among his patients&lt;/u&gt;</t>
    </r>
    <r>
      <rPr>
        <sz val="11"/>
        <color theme="1"/>
        <rFont val="Calibri"/>
        <family val="2"/>
        <scheme val="minor"/>
      </rPr>
      <t>, and he has maintained that he never provided performance-enhancing drugs to them or any other athlete.&lt;br&gt;&lt;u&gt;</t>
    </r>
    <r>
      <rPr>
        <u/>
        <sz val="11"/>
        <color theme="1"/>
        <rFont val="Calibri"/>
        <family val="2"/>
        <scheme val="minor"/>
      </rPr>
      <t>However, Galea’s assistant, who is cooperating with federal authorities,</t>
    </r>
    <r>
      <rPr>
        <sz val="11"/>
        <color theme="1"/>
        <rFont val="Calibri"/>
        <family val="2"/>
        <scheme val="minor"/>
      </rPr>
      <t xml:space="preserve"> </t>
    </r>
    <r>
      <rPr>
        <u/>
        <sz val="11"/>
        <color theme="1"/>
        <rFont val="Calibri"/>
        <family val="2"/>
        <scheme val="minor"/>
      </rPr>
      <t xml:space="preserve">created a potentially troublesome issue for Rodriguez in her statements to the authorities&lt;/u&gt;, </t>
    </r>
    <r>
      <rPr>
        <sz val="11"/>
        <color theme="1"/>
        <rFont val="Calibri"/>
        <family val="2"/>
        <scheme val="minor"/>
      </rPr>
      <t xml:space="preserve">according to a person briefed on the investigation.&lt;br&gt;&lt;brAccording to that person, the assistant said that Galea injected Rodriguez with a cocktail of drugs on at least one occasion, although its ingredients were not known. In the complaint, the assistant says that Galea treated a number of athletes with a cocktail that included H.G.H., which is banned as a performance-enhancing drug by football, baseball and golf. But nothing in the complaint specifically links that assertion to Rodriguez.                                                                                The person spoke on the condition of anonymity so as not to jeopardize access to sensitive information. &lt;br&gt;&lt;br&gt;&lt;b&gt;Note: In the answer to the first question, ‘prominent sportsmen’ in this context means ‘famous sportsmen.’&lt;br&gt;In the answer to the second question, ‘a potentially troublesome issue’ indicates that the issue could become a problem.  &lt;/b&gt; </t>
    </r>
  </si>
  <si>
    <r>
      <t>There are a number of potential reactions to the recent news that the constituency of Brighton Pavilion has elected Britain’s first ever Green MP, party leader Caroline Lucas. If you voted for her, you’re entitled to feel a little smug about making political history. For others, news of her election will undermine the view of Brighton as a kind of British equivalent of San Francisco: a bohemian city with a massive gay population and a penchant for alternative free-thinking. &lt;u&gt;</t>
    </r>
    <r>
      <rPr>
        <u/>
        <sz val="11"/>
        <color theme="1"/>
        <rFont val="Calibri"/>
        <family val="2"/>
        <scheme val="minor"/>
      </rPr>
      <t>While for Londoners, the news was presumably greeted with little more than a shrug. &lt;/u&gt; &lt;br&gt;</t>
    </r>
    <r>
      <rPr>
        <sz val="11"/>
        <color theme="1"/>
        <rFont val="Calibri"/>
        <family val="2"/>
        <scheme val="minor"/>
      </rPr>
      <t>In fairness, her victory was more complicated and hard-fought than that suggests. Brighton Pavilion is a diverse constituency. It includes Hanover, home to a lot of students and commuters who left London for something a little more Soil Association Certified –and the North Laines, the town’s bohemian hub, where The Body Shop opened it first branch and where today you can find a shop called &lt;u&gt;</t>
    </r>
    <r>
      <rPr>
        <u/>
        <sz val="11"/>
        <color theme="1"/>
        <rFont val="Calibri"/>
        <family val="2"/>
        <scheme val="minor"/>
      </rPr>
      <t>Bell Book and Candle, which dominates the local market in the sale of rune and casting stones&lt;/u&gt;.&lt;br&gt;&lt;br&gt;</t>
    </r>
    <r>
      <rPr>
        <sz val="11"/>
        <color theme="1"/>
        <rFont val="Calibri"/>
        <family val="2"/>
        <scheme val="minor"/>
      </rPr>
      <t>&lt;b&gt;Note: The first piece of underlined text answers the first question. A ‘shrug’ is an up-and-down movement people make with the shoulders when they don’t know or don’t care about something. This is the reaction of people in London, which indicates that they don’t care. This is the same as saying they are ‘indifferent.’&lt;br&gt;The second question is answered by the last sentence which says the shop ‘dominates the local market’. This means that it is the main seller.&lt;/b&gt;</t>
    </r>
  </si>
  <si>
    <r>
      <t>It was Milan Kundera who warned young lovers to beware how they behaved in their first nights together. &lt;u&gt;</t>
    </r>
    <r>
      <rPr>
        <u/>
        <sz val="11"/>
        <color theme="1"/>
        <rFont val="Calibri"/>
        <family val="2"/>
        <scheme val="minor"/>
      </rPr>
      <t>For the pattern they established in those initial hours would govern them ever after. &lt;/u&gt;</t>
    </r>
    <r>
      <rPr>
        <sz val="11"/>
        <color theme="1"/>
        <rFont val="Calibri"/>
        <family val="2"/>
        <scheme val="minor"/>
      </rPr>
      <t>The Czech novelist advised the beau, intoxicated with romance, to hesitate before bringing his belle breakfast in bed: every morning afterwards that he provided no such treat would count as disappointment. Without even realizing it, the lovers were drafting the “unwritten conventions” of their future relationship. Apparently filled with the spontaneity of love and desire, a newly joined man and woman were instead “like the most hard-nosed of lawyers” drawing up “the fine print” of the contract between them.                                                                           &lt;u&gt;</t>
    </r>
    <r>
      <rPr>
        <u/>
        <sz val="11"/>
        <color theme="1"/>
        <rFont val="Calibri"/>
        <family val="2"/>
        <scheme val="minor"/>
      </rPr>
      <t>Such a warning would seem to apply most naturally to David Cameron and Nick Clegg, already widely likened to a couple joined in civil, if not matrimonial, harmony.</t>
    </r>
    <r>
      <rPr>
        <sz val="11"/>
        <color theme="1"/>
        <rFont val="Calibri"/>
        <family val="2"/>
        <scheme val="minor"/>
      </rPr>
      <t xml:space="preserve"> In fact, though, </t>
    </r>
    <r>
      <rPr>
        <u/>
        <sz val="11"/>
        <color theme="1"/>
        <rFont val="Calibri"/>
        <family val="2"/>
        <scheme val="minor"/>
      </rPr>
      <t>Kundera’s advice speaks to Labor as much as the Conservatives&lt;/u&gt;.</t>
    </r>
    <r>
      <rPr>
        <sz val="11"/>
        <color theme="1"/>
        <rFont val="Calibri"/>
        <family val="2"/>
        <scheme val="minor"/>
      </rPr>
      <t xml:space="preserve"> All need to tread carefully through the immediate, post election period. Decisions they take now, when everything appears so flexible, could harden and congeal.&lt;br&gt;&lt;br&gt;&lt;b&gt;Note: The first two pieces of underlined text answer the first question but the key sentence is the first one. In the answer to the second  question, the warning , or advice, is aimed at both labor and conservative politicians. &lt;/b&gt; </t>
    </r>
  </si>
  <si>
    <r>
      <t>O, the small-hour doubts and the troubled manhood of so many American men who didn’t go to Vietnam when they could have – the strange guilt they seem to feel when they confront Vietnam veterans. Strange: there were some cheaters and liars, but all that most of them did was exercise their legal rights</t>
    </r>
    <r>
      <rPr>
        <u/>
        <sz val="11"/>
        <color theme="1"/>
        <rFont val="Calibri"/>
        <family val="2"/>
        <scheme val="minor"/>
      </rPr>
      <t>.&lt;u&gt; They had a right to avoid the draft with academic deferments, occupational deferments and medical deferments obtained from doctors noted for their artistry in taking X-rays of dangerous deformities.&lt;/u&gt;</t>
    </r>
    <r>
      <rPr>
        <sz val="11"/>
        <color theme="1"/>
        <rFont val="Calibri"/>
        <family val="2"/>
        <scheme val="minor"/>
      </rPr>
      <t xml:space="preserve"> They were entitled to get married and sire a child that could bring them a 3-A hardship deferment. Couldn’t these men argue that they had a moral obligation not to fight in an immoral, pointless war?                                                                                                                            As a marine (and a Vietnam veteran of no distinction whatsoever) I’ve run into men who told me they’d been in the Marines too. Always happy to meet a fellow Marine, I’d ask what unit they served in. &lt;u&gt;</t>
    </r>
    <r>
      <rPr>
        <u/>
        <sz val="11"/>
        <color theme="1"/>
        <rFont val="Calibri"/>
        <family val="2"/>
        <scheme val="minor"/>
      </rPr>
      <t>“Oh, I was in….the 173</t>
    </r>
    <r>
      <rPr>
        <u/>
        <vertAlign val="superscript"/>
        <sz val="11"/>
        <color theme="1"/>
        <rFont val="Calibri"/>
        <family val="2"/>
        <scheme val="minor"/>
      </rPr>
      <t>rd</t>
    </r>
    <r>
      <rPr>
        <u/>
        <sz val="11"/>
        <color theme="1"/>
        <rFont val="Calibri"/>
        <family val="2"/>
        <scheme val="minor"/>
      </rPr>
      <t>....”Except there is no 173</t>
    </r>
    <r>
      <rPr>
        <u/>
        <vertAlign val="superscript"/>
        <sz val="11"/>
        <color theme="1"/>
        <rFont val="Calibri"/>
        <family val="2"/>
        <scheme val="minor"/>
      </rPr>
      <t>rd</t>
    </r>
    <r>
      <rPr>
        <u/>
        <sz val="11"/>
        <color theme="1"/>
        <rFont val="Calibri"/>
        <family val="2"/>
        <scheme val="minor"/>
      </rPr>
      <t xml:space="preserve"> in the Marine Corps. I’ve felt embarrassed for them and wondered how empty their lives were that they’d tell such a lie.&lt;/u&gt;</t>
    </r>
    <r>
      <rPr>
        <sz val="11"/>
        <color theme="1"/>
        <rFont val="Calibri"/>
        <family val="2"/>
        <scheme val="minor"/>
      </rPr>
      <t xml:space="preserve"> The fact is that regardless of whether a war was moral, justified, won or meaningful, having served in one – particularly in combat – confers prestige.&lt;br&gt;&lt;br&gt;&lt;b&gt;Note: In the answer to the first question, the options given in a, b and d all enabled men to avoid the draft but having artistic abilities was not one of them. The ‘artistry’ mentioned  in the underlined text refers  to the  ability of doctors to take clever x-rays.&lt;br&gt;The second question is answered by the second piece of underline text in which the writer admits to feeling embarrassed, or shamed, for men who lie about serving in Vietnam.&lt;/b&gt;</t>
    </r>
  </si>
  <si>
    <r>
      <t>China’s census shows its population grew to 1.34 billion people by 2010, with a sharp rise in those over 60. Nearly half of all Chinese now live in cities. But the figures reveal that China’s population is growing more slowly than in the past. That could affect the economy, as the number of potential workers, especially from rural areas, could shrink.&lt;br&gt;When China carried out its first census in 1953 it had a population of 594 million, less than half the current figure. &lt;u&gt;</t>
    </r>
    <r>
      <rPr>
        <u/>
        <sz val="11"/>
        <color theme="1"/>
        <rFont val="Calibri"/>
        <family val="2"/>
        <scheme val="minor"/>
      </rPr>
      <t>This census, the first in ten years, comes after a decade of rapid economic growth that has led to significant social change.&lt;/u&gt;</t>
    </r>
    <r>
      <rPr>
        <sz val="11"/>
        <color theme="1"/>
        <rFont val="Calibri"/>
        <family val="2"/>
        <scheme val="minor"/>
      </rPr>
      <t xml:space="preserve"> The results revealed that almost half of all Chinese – 49.7% of the population – now live in cities, up from about 36% ten years ago. Many have been drawn to jobs in China’s factories and coastal industrial zones. The census for the first time counted migrant workers where they were living, rather than where they were registered</t>
    </r>
    <r>
      <rPr>
        <u/>
        <sz val="11"/>
        <color theme="1"/>
        <rFont val="Calibri"/>
        <family val="2"/>
        <scheme val="minor"/>
      </rPr>
      <t>. &lt;u&gt;It found more than 220 million Chinese had worked away from home for over six months in 2010, almost double the previous figure&lt;/u&gt;.&lt;br&gt;</t>
    </r>
    <r>
      <rPr>
        <sz val="11"/>
        <color theme="1"/>
        <rFont val="Calibri"/>
        <family val="2"/>
        <scheme val="minor"/>
      </rPr>
      <t>The government’s strict controls on family size, including its one-child policy for urban families, have reduced annual population growth to below 1%. As it currently stands, most urban couples are limited to one child and rural families to two.&lt;br&gt;&lt;br&gt;&lt;b&gt;Note. In the answer to the first question, ‘rapid economic growth’ is the same as ‘economic expansion.’ In the answer to the second question, the text indicates that the number of Chinese working away from home is almost twice what it was previously.&lt;/b&gt;</t>
    </r>
  </si>
  <si>
    <r>
      <t>Earlier this year, New York Mayor, Michael Bloomberg announced a number of initiatives that are intended to help immigrant-owned enterprises get started and grow, among them a business plan competition and free business courses in Chinese, Korean, Spanish and Russian. In New York</t>
    </r>
    <r>
      <rPr>
        <u/>
        <sz val="11"/>
        <color theme="1"/>
        <rFont val="Calibri"/>
        <family val="2"/>
        <scheme val="minor"/>
      </rPr>
      <t>,&lt;u&gt; immigrants represent 49% of self-employed workers. Nationwide they are twice as likely to start a business.But, Mr. Bloomberg said, they are also more likely to see their business fail within three-and-a-half years than native-born entrepreneurs.&lt;/u&gt; &lt;br&gt;</t>
    </r>
    <r>
      <rPr>
        <sz val="11"/>
        <color theme="1"/>
        <rFont val="Calibri"/>
        <family val="2"/>
        <scheme val="minor"/>
      </rPr>
      <t>Former “rust belt” cities like Cleveland are partnering up with Pittsburgh and Detroit to create a regional centre for the immigrant investor visa program EB-5. In those regions, immigrants may obtain a green card by investing $500,000 and creating ten new jobs in an economically distressed area. With a population loss of 25% in ten years and a decline in the local car industry, Detroit fits the “economically distressed” label. Even immigrants without the financial resources to invest hundreds of thousands of dollars can play a big role in the revival of a city. “Urban retail thrives with ethnic immigrants who are willing to invest in areas of unstable demand</t>
    </r>
    <r>
      <rPr>
        <u/>
        <sz val="11"/>
        <color theme="1"/>
        <rFont val="Calibri"/>
        <family val="2"/>
        <scheme val="minor"/>
      </rPr>
      <t>. &lt;u&gt;Detroit has a lot of low-cost property which is a great opportunity for immigrants,”&lt;/u&gt;</t>
    </r>
    <r>
      <rPr>
        <sz val="11"/>
        <color theme="1"/>
        <rFont val="Calibri"/>
        <family val="2"/>
        <scheme val="minor"/>
      </rPr>
      <t xml:space="preserve"> says Steven Tobocman, who leads an initiative which looks at how the region can profit from foreign-born talent.&lt;br&gt;&lt;br&gt;&lt;b&gt;Note: In the answer to the first question, the word ‘entreprenuer’ means ‘businessman’ or someone starting a business. It can also refer to the person who has the idea for a business.&lt;br&gt;In the answer to the second question, ‘low cost’ means the same as ‘inexpensive.’&lt;/b&gt;</t>
    </r>
  </si>
  <si>
    <r>
      <t>India has successfully launched a rocket into space carrying three satellites, officials say. The trouble-free launch was in contrast to a major setback in December when a satellite launch vehicle blew up and fell into the Bay of Bengal. This was the second consecutive failure to launch the rocket. In contrast, the Polar Satellite Launch Vehicle (PSLV) had a smooth lift-off and deployed the satellites in orbit around 820km above Earth. Staff at the launch pad in Andhra Pradesh cheered as the rocket took off. &lt;u&gt;</t>
    </r>
    <r>
      <rPr>
        <u/>
        <sz val="11"/>
        <color theme="1"/>
        <rFont val="Calibri"/>
        <family val="2"/>
        <scheme val="minor"/>
      </rPr>
      <t xml:space="preserve">The main satellite in the launch from the Sriharikota space centre was the remote-sensing Resourcesat-2, which will study the impact of humans on the earth’s natural resources.&lt;/u&gt; </t>
    </r>
    <r>
      <rPr>
        <sz val="11"/>
        <color theme="1"/>
        <rFont val="Calibri"/>
        <family val="2"/>
        <scheme val="minor"/>
      </rPr>
      <t>The rocket also carried a joint Indian and Russian satellite for stellar and atmospheric studies as well as an imaging orbiter built by the Singapore-based Nanyang Technological University. India is hoping to send its first manned flight into space in 2016.The country sees its space exploration program as an achievement that emphasizes its emergence as a major world economy, and correspondents say that many Indians take patriotic pride in its development. &lt;u&gt;</t>
    </r>
    <r>
      <rPr>
        <u/>
        <sz val="11"/>
        <color theme="1"/>
        <rFont val="Calibri"/>
        <family val="2"/>
        <scheme val="minor"/>
      </rPr>
      <t>Delhi and Beijing’s Moon missions have gained fresh impetus since last year’s Nasa budget cuts,&lt;/u&gt;</t>
    </r>
    <r>
      <rPr>
        <sz val="11"/>
        <color theme="1"/>
        <rFont val="Calibri"/>
        <family val="2"/>
        <scheme val="minor"/>
      </rPr>
      <t xml:space="preserve"> which dashed US hopes of a lunar return by 2020-more than half a century after the Americans first visit.&lt;br&gt;&lt;br&gt;&lt;b&gt;Note: In the answer to the first  question, ‘ the impact of humans on the earth’s natural resources’ is the same as saying ‘how the planet is affected by people’.&lt;br&gt;In the answer to the second question, ‘budget cuts’  are the same as  ‘reductions in spending’.&lt;/b&gt;</t>
    </r>
  </si>
  <si>
    <r>
      <t>Drying laundry in the home poses a health risk to those prone to asthma, hay fever and other allergies, according to new research. A study found that many homes had too much moisture indoors. Up to a third of this moisture was attributed to drying laundry. The researchers have called on housebuilders to build dedicated drying areas into new housing to address the health concerns. A study of 100 homes found 87% dried their washing indoors in colder weather. Researcher Rosalie Menon said: “Going into people’s homes, we found they were drying washing in their living rooms, in their bedrooms. Some were literally decorating their house with it, but from one load of washing two litres of water will be emitted.” A total of 75% of households had moisture levels which could lead to dust mite growth. &lt;u&gt;There was also a strong association between drying laundry and mould spores. A mould spore known to cause lung infections in people with weakened immune systems was found in 25% of the homes sampled&lt;/u&gt;. All of the types of housing surveyed had a lack of suitable spaces for drying clothes.&lt;br&gt;&lt;br&gt;&lt;b&gt;</t>
    </r>
    <r>
      <rPr>
        <u/>
        <sz val="11"/>
        <color theme="1"/>
        <rFont val="Calibri"/>
        <family val="2"/>
        <scheme val="minor"/>
      </rPr>
      <t>Note:</t>
    </r>
    <r>
      <rPr>
        <sz val="11"/>
        <color theme="1"/>
        <rFont val="Calibri"/>
        <family val="2"/>
        <scheme val="minor"/>
      </rPr>
      <t xml:space="preserve"> ‘Damp laundry’ is laundry that is still wet or in the process of drying. The underlined sentences indicate the link between this and lung problems.&lt;/b&gt;</t>
    </r>
  </si>
  <si>
    <r>
      <t>“A lot of the insider threat is very, very complicated and very, very tough,” said Lt. Gen. Mick Bednareck. “It’s reinforcing the importance of situational awareness, and every soldier, regardless of our military occupational specialty or rank , has to have situational awareness, our head on  a swivel. Soldiers must always be scanning their surroundings,” he said “while reinforcing trust with their Afghan partners. &lt;u&gt;</t>
    </r>
    <r>
      <rPr>
        <u/>
        <sz val="11"/>
        <color theme="1"/>
        <rFont val="Calibri"/>
        <family val="2"/>
        <scheme val="minor"/>
      </rPr>
      <t>Although alot of these incidents are certainly caused by stress of all different kinds, certainly some percentage is due to pressure from the Taliban, certainly some percentage is caused by the Taliban posing as Afghan security forces&lt;/u&gt;.</t>
    </r>
    <r>
      <rPr>
        <sz val="11"/>
        <color theme="1"/>
        <rFont val="Calibri"/>
        <family val="2"/>
        <scheme val="minor"/>
      </rPr>
      <t xml:space="preserve"> Prevention is always the key to success and force protection should cover not only coalition troops but the Afghan forces as well. We have a vested interest if the Afghans succeed,” he said. &lt;br&gt;&lt;br&gt;&lt;b&gt;</t>
    </r>
    <r>
      <rPr>
        <u/>
        <sz val="11"/>
        <color theme="1"/>
        <rFont val="Calibri"/>
        <family val="2"/>
        <scheme val="minor"/>
      </rPr>
      <t>Note:</t>
    </r>
    <r>
      <rPr>
        <sz val="11"/>
        <color theme="1"/>
        <rFont val="Calibri"/>
        <family val="2"/>
        <scheme val="minor"/>
      </rPr>
      <t xml:space="preserve"> The underlined sentence indicates that there are different reasons incidents occur&lt;/b&gt;</t>
    </r>
  </si>
  <si>
    <r>
      <t>“To continue progress in this AO, the remaining forces must maintain sufficient situational awareness to know when and where to inject coalition operations. &lt;u&gt;</t>
    </r>
    <r>
      <rPr>
        <u/>
        <sz val="11"/>
        <color theme="1"/>
        <rFont val="Calibri"/>
        <family val="2"/>
        <scheme val="minor"/>
      </rPr>
      <t>The vast majority of these operations must be conducted by, with and through the ANSF. Coalition activities in the AO and in all of Helmand Province must lead toward a sustainable and competent ANSF capable of providing security to the citizens of the province&lt;/u&gt;.</t>
    </r>
    <r>
      <rPr>
        <sz val="11"/>
        <color theme="1"/>
        <rFont val="Calibri"/>
        <family val="2"/>
        <scheme val="minor"/>
      </rPr>
      <t xml:space="preserve"> Coalition forces must work with the Government of the Islamic Republic of Afghanistan ( GIRoA) officials to ‘preserve the GIRoA offer’ so that local citizens continue to side with the government against the Taliban. The GIRoA offer includes a representative government that provides water, security, access to basic healthcare, education for children and means to address grievances.”&lt;br&gt;&lt;br&gt;&lt;b&gt;Note: The extract indicates that most of these operations should be carried out by and through the ANSF which indicates its role is important here. The next sentence explains why this is so.&lt;/b&gt;</t>
    </r>
  </si>
  <si>
    <r>
      <t>US President Barack Obama has held private talks with the exiled Tibetan spiritual leader, the Dalai Lama, despite strong critcism from China. Mr. Obama told the Dalai Lama of his ‘strong support’ for human rights in Tibet, a White House statement said. Beijing released an angry statement saying the meeting had damaged relations between the two countries. The talks were held in the Map room rather than the Oval office, which is traditionally  reserved for visiting heads of state. &lt;u&gt;</t>
    </r>
    <r>
      <rPr>
        <u/>
        <sz val="11"/>
        <color theme="1"/>
        <rFont val="Calibri"/>
        <family val="2"/>
        <scheme val="minor"/>
      </rPr>
      <t>“The President reiterated his strong support for the preservation of unique religious, cultural and linguistic traditions of Tibet and the Tibetan people throughout the world,” the White House statement said. “</t>
    </r>
    <r>
      <rPr>
        <sz val="11"/>
        <color theme="1"/>
        <rFont val="Calibri"/>
        <family val="2"/>
        <scheme val="minor"/>
      </rPr>
      <t xml:space="preserve"> &lt;/u&gt;He underscored the importance of  the protection of human rights of Tibetans in China.” Mr. Obama also reiterated that the US considers Tibet to be part of China, and said that he encouraged “direct dialogue to resolve long-standing differences.” China had earlier warned the US not to receive the Dalai Lama. &lt;br&gt;&lt;br&gt;&lt;b&gt;</t>
    </r>
    <r>
      <rPr>
        <u/>
        <sz val="11"/>
        <color theme="1"/>
        <rFont val="Calibri"/>
        <family val="2"/>
        <scheme val="minor"/>
      </rPr>
      <t>Note:</t>
    </r>
    <r>
      <rPr>
        <sz val="11"/>
        <color theme="1"/>
        <rFont val="Calibri"/>
        <family val="2"/>
        <scheme val="minor"/>
      </rPr>
      <t xml:space="preserve"> The underlined sentence clearly shows that B is the correct answer with ‘traditions’ being a synonym for ‘customs’.&lt;/b&gt;</t>
    </r>
  </si>
  <si>
    <r>
      <t>Many dementia patients being prescribed antipsychotic drugs could be better treated with simple painkillers, research says. The study found painkillers significantly cut agitation in dementia patients. Agitation, a common dementia symptom, is often treated with antipsychotic drugs, which have risky side effects. The Alzheimer’s Society wants doctors to consider other types of treatment. Experts say that each year about 150,000 patients in the UK are unnecessarily prescribed antispsychotics, which have a powerful sedative effect and can worsen dementia symptoms. They are often given to patients whose dementia makes them aggressive or agitated. &lt;u&gt;</t>
    </r>
    <r>
      <rPr>
        <u/>
        <sz val="11"/>
        <color theme="1"/>
        <rFont val="Calibri"/>
        <family val="2"/>
        <scheme val="minor"/>
      </rPr>
      <t>But researchers speculated that the behavior may sometimes be caused by pain, which patients  were unable to express in other ways.&lt;/u&gt;</t>
    </r>
    <r>
      <rPr>
        <sz val="11"/>
        <color theme="1"/>
        <rFont val="Calibri"/>
        <family val="2"/>
        <scheme val="minor"/>
      </rPr>
      <t xml:space="preserve"> They studied 352 patients with moderate or severe dementia. Half were given painkillers with every meal, the rest continued with their usual treatments. After eight weeks, there was a reduction in agitation symptoms in the group being given painkillers. The researchers concluded that if patients’ pain was properly managed, doctors could reduce the number of prescriptions for antipsychotic drugs. &lt;br&gt;&lt;br&gt;&lt;b&gt;</t>
    </r>
    <r>
      <rPr>
        <u/>
        <sz val="11"/>
        <color theme="1"/>
        <rFont val="Calibri"/>
        <family val="2"/>
        <scheme val="minor"/>
      </rPr>
      <t>Note:</t>
    </r>
    <r>
      <rPr>
        <sz val="11"/>
        <color theme="1"/>
        <rFont val="Calibri"/>
        <family val="2"/>
        <scheme val="minor"/>
      </rPr>
      <t xml:space="preserve"> The underlined sentence indicates that researchers believe pain could be the cause for the patient’s aggressive behavior or ‘disquiet’. ‘Disquiet’ is also another way to express ‘agitation’ which is referred to in the article. &lt;/b&gt;</t>
    </r>
  </si>
  <si>
    <r>
      <t>Cesc Fabregas’ birth certificate says he is 23 but everyone in football knows it is a gross understatement.  Few better than Fabregas, it is now clear. &lt;u&gt;</t>
    </r>
    <r>
      <rPr>
        <u/>
        <sz val="11"/>
        <color theme="1"/>
        <rFont val="Calibri"/>
        <family val="2"/>
        <scheme val="minor"/>
      </rPr>
      <t>No one’s time is infinite, of course, but the sense of this must be especially acute when you are so young and accomplished and you see so clearly the fact that the years are slipping through your fingers like grains of sand.&lt;/u&gt; &lt;br&gt;</t>
    </r>
    <r>
      <rPr>
        <sz val="11"/>
        <color theme="1"/>
        <rFont val="Calibri"/>
        <family val="2"/>
        <scheme val="minor"/>
      </rPr>
      <t>Fabregas’ competitive maturity is so great, and his understanding that football can take away gifts as quickly as it gives them so profound, his Arsenal manager, Arsène Wenger, must know that he is now facing more than the restlessness of a young superstar. Fabregas is a superstar all right, someone in the bracket of Messi, Ronaldo and Rooney, &lt;u&gt;</t>
    </r>
    <r>
      <rPr>
        <u/>
        <sz val="11"/>
        <color theme="1"/>
        <rFont val="Calibri"/>
        <family val="2"/>
        <scheme val="minor"/>
      </rPr>
      <t xml:space="preserve">but he is also besieged by the conviction that unlike those brilliant rivals it has taken too long to fulfill his brilliant talent.&lt;/u&gt;                                                                                                                                                                            </t>
    </r>
    <r>
      <rPr>
        <sz val="11"/>
        <color theme="1"/>
        <rFont val="Calibri"/>
        <family val="2"/>
        <scheme val="minor"/>
      </rPr>
      <t>Fabregas now appears to see the future in going back to his beloved home town of Barcelona and the playing situation for which he has increasingly pined: the chance to play with a team capable of winning all the prizes.&lt;br&gt;&lt;br&gt;&lt;b&gt;</t>
    </r>
    <r>
      <rPr>
        <u/>
        <sz val="11"/>
        <color theme="1"/>
        <rFont val="Calibri"/>
        <family val="2"/>
        <scheme val="minor"/>
      </rPr>
      <t>Note:</t>
    </r>
    <r>
      <rPr>
        <sz val="11"/>
        <color theme="1"/>
        <rFont val="Calibri"/>
        <family val="2"/>
        <scheme val="minor"/>
      </rPr>
      <t xml:space="preserve"> The question is answered by the two pieces of underlined text as Fabregas is obviously talented but hasn’t had an opportunity use his talent completely yet.  &lt;/b&gt;  </t>
    </r>
  </si>
  <si>
    <t>President Obama’s handling of the gulf oil spill has been disappointing. No, the gulf oil spill is not Obama’s Katrina. It’s his 9/11 – and it is disappointing to see him making the same mistake George W. Bush made with his 9/11. Sept. 11, 2001, was one of those rare events that create the possibility to energize the country to do something really important and lasting that is too hard to do in normal times. President Bush’s greatest failure was not Iraq, Afghanistan or Katrina. &lt;u&gt;It was his failure of imagination after 9/11 to mobilize the country to get behind a really big initiative for nation-building in America.&lt;/u&gt;&lt;br&gt;Sadly, President Obama seems intent on squandering his environmental 9/11 with a Bush-level failure of imagination. So far, the Obama policy is: “Think small and carry a big stick.” He is rightly hammering the oil company executives. &lt;u&gt;But he is offering no big strategy to end our oil addiction.&lt;/u&gt;&lt;br&gt;&lt;br&gt;&lt;b&gt;Note: The two underlined sentences answer the question. The first refers to President Bush’s failure and the second refers to President Obama’s failure to make decisions and take actions which would have long-term effects. &lt;/b&gt;</t>
  </si>
  <si>
    <r>
      <t>The Paris commune, it is not. Nor will anything resembling the basilica of the Sacrè Coeur be built one day over the bodies of the fallen redshirts at the Ratchaprasong intersection of Bangkok. &lt;u&gt;</t>
    </r>
    <r>
      <rPr>
        <u/>
        <sz val="11"/>
        <color theme="1"/>
        <rFont val="Calibri"/>
        <family val="2"/>
        <scheme val="minor"/>
      </rPr>
      <t>But such is liberal democracy’s antipathy to, or fear of, revolution that its governing elites assume people have grown out of them, that the concept of political revolt is no longer in their DNA. Thailand’s slow-burning political crisis may teach them otherwise.&lt;/u&gt;</t>
    </r>
    <r>
      <rPr>
        <sz val="11"/>
        <color theme="1"/>
        <rFont val="Calibri"/>
        <family val="2"/>
        <scheme val="minor"/>
      </rPr>
      <t xml:space="preserve"> &lt;br&gt;The longer this crisis continues, and the harsher the methods used to contain it, the harder it becomes to characterize solely as a color-coded clash between two mutually exclusive tribes, the urban and rural poor against an establishment elite of royalists, bureaucrats and military generals.   After the deaths of another 29 people, all of them civilians, the mood on both sides of the bamboo and tyre barricades has hardened. One thing is clear: even if Thailand’s military-backed government succeeds in wiping this unseemly blot of open dissent from Bangkok’s city centre, the country’s political order will never be the same.&lt;br&gt;&lt;br&gt; &lt;b&gt;</t>
    </r>
    <r>
      <rPr>
        <u/>
        <sz val="11"/>
        <color theme="1"/>
        <rFont val="Calibri"/>
        <family val="2"/>
        <scheme val="minor"/>
      </rPr>
      <t>Note:</t>
    </r>
    <r>
      <rPr>
        <sz val="11"/>
        <color theme="1"/>
        <rFont val="Calibri"/>
        <family val="2"/>
        <scheme val="minor"/>
      </rPr>
      <t xml:space="preserve"> The  underlined sentence indicates that governing elites are no longer expecting revolutions so they would not have expected the  protests.&lt;/b&gt;</t>
    </r>
  </si>
  <si>
    <r>
      <t>Voters in Britain’s second most hotly contested election this year will begin casting their votes later this week, &lt;u&gt;</t>
    </r>
    <r>
      <rPr>
        <u/>
        <sz val="11"/>
        <color theme="1"/>
        <rFont val="Calibri"/>
        <family val="2"/>
        <scheme val="minor"/>
      </rPr>
      <t>with Oxford University hoping to consign to history the controversy and ill-feeling caused by its last, aborted search for a Professor of Poetry.&lt;/u&gt;</t>
    </r>
    <r>
      <rPr>
        <sz val="11"/>
        <color theme="1"/>
        <rFont val="Calibri"/>
        <family val="2"/>
        <scheme val="minor"/>
      </rPr>
      <t xml:space="preserve"> &lt;br&gt;Whoever wins will be hoping that his or her success draws a line under the unsavory fallout caused by the selection process last year, which saw the leading candidate- Nobel Laureate Derek Walcott – dramatically pull out of the contest after he became the victim of an anonymous smear campaign which resurrected allegations of sexual misconduct against him. The eventual winner was Ruth Padel, the first woman to hold the professorship. But she was forced to resign after just a week in the job, despite vehemently denying any involvement in the attempts to discredit Mr. Walcott. Since then, the position has remained empty while Oxford University set about changing the rules of engagement for the contest in an attempt to increase turnout from a recent average of just 500 voters.&lt;br&gt;&lt;br&gt;&lt;b&gt;</t>
    </r>
    <r>
      <rPr>
        <u/>
        <sz val="11"/>
        <color theme="1"/>
        <rFont val="Calibri"/>
        <family val="2"/>
        <scheme val="minor"/>
      </rPr>
      <t>Note:</t>
    </r>
    <r>
      <rPr>
        <sz val="11"/>
        <color theme="1"/>
        <rFont val="Calibri"/>
        <family val="2"/>
        <scheme val="minor"/>
      </rPr>
      <t xml:space="preserve"> The answer is given with the phrase; ‘Oxford University is hoping to consign (the search) to history….’ which is the same as saying; ‘Oxford University wants to put (the search) behind it’.&lt;/b&gt;</t>
    </r>
  </si>
  <si>
    <r>
      <t>What does a defense authorization bill have to do with allowing undocumented young people to earn legal status in the United States? Many Republicans are asking that question. The Dream Act, which Senate Majority Leader Harry Reid has promised to include as part of the Defense Department’s authorization, has enjoyed bipartisan support for years, but never gained traction because of promises that it would be rolled into a major immigration reform. This one should be an easy call for senators: It would encourage about 65,000 undocumented students who graduate annually nationwide to go to college or join the military. These young people did not cross a border illegally of their own volition. They were innocent bystanders. They are now expected to pay for their parents’ actions of entering or staying illegally in the United States. Most of these children have never returned to the country where they were born. &lt;u&gt;</t>
    </r>
    <r>
      <rPr>
        <u/>
        <sz val="11"/>
        <color theme="1"/>
        <rFont val="Calibri"/>
        <family val="2"/>
        <scheme val="minor"/>
      </rPr>
      <t>They have assimilated into American society&lt;/u&gt;,</t>
    </r>
    <r>
      <rPr>
        <sz val="11"/>
        <color theme="1"/>
        <rFont val="Calibri"/>
        <family val="2"/>
        <scheme val="minor"/>
      </rPr>
      <t xml:space="preserve"> becoming top students.Given a chance, these are America’s future business people, scientists, doctors, nurses, teachers, generals. They would be paying into Social Security, too. &lt;br&gt;&lt;br&gt;&lt;b&gt;</t>
    </r>
    <r>
      <rPr>
        <u/>
        <sz val="11"/>
        <color theme="1"/>
        <rFont val="Calibri"/>
        <family val="2"/>
        <scheme val="minor"/>
      </rPr>
      <t>Note:</t>
    </r>
    <r>
      <rPr>
        <sz val="11"/>
        <color theme="1"/>
        <rFont val="Calibri"/>
        <family val="2"/>
        <scheme val="minor"/>
      </rPr>
      <t xml:space="preserve"> The question is answered by the underlined phrase. The children of the immigrants ‘have assimilated into American society’ means that they are taking part in American society.&lt;/b&gt;</t>
    </r>
  </si>
  <si>
    <r>
      <t>Liam Fox made a good first impression at the Ministry of Defense. &lt;u&gt;</t>
    </r>
    <r>
      <rPr>
        <u/>
        <sz val="11"/>
        <color theme="1"/>
        <rFont val="Calibri"/>
        <family val="2"/>
        <scheme val="minor"/>
      </rPr>
      <t>The department has been subjected to upheaval and uncertainty thanks to a revolving door of ministers. Dr Fox said he intended to stay for five years as Secretary of State. &lt;/u&gt; &lt;br&gt;</t>
    </r>
    <r>
      <rPr>
        <sz val="11"/>
        <color theme="1"/>
        <rFont val="Calibri"/>
        <family val="2"/>
        <scheme val="minor"/>
      </rPr>
      <t xml:space="preserve">Now comes the hard part. Dr. Fox will have to deal with a Strategic Defense Review and as he said on taking office, the priority is Afghanistan.&lt;br&gt;The new Defense Secretary takes over at a time when the role of British troops in Helmand is going through fundamental changes, the main one being that they will be reporting from 1 June to Major General Richard Mills of the US Marine Corps, instead of Major General Nick Carter of the British Army.&lt;br&gt;There will, undoubtedly, be criticism of the passing of command after all the sacrifices that have been made in Helmand. But the reality on the ground is that the Americans will be taking the lead in large-scale missions in the future as they did in Marjah.&lt;br&gt;General Stanley McChrystal, the head of NATO’s Afghan force wants British forces to move from Helmand to Kandahar to replace the outgoing Canadians. The previous government and the head of the military, Air Chief Marshal Sir Jock Stirrup, were all adamantly opposed to the Kandahar move. </t>
    </r>
    <r>
      <rPr>
        <u/>
        <sz val="11"/>
        <color theme="1"/>
        <rFont val="Calibri"/>
        <family val="2"/>
        <scheme val="minor"/>
      </rPr>
      <t>The Kandahar option would be a bold move for the new government and may assuage the rancor with the Americans over the hasty withdrawal,</t>
    </r>
    <r>
      <rPr>
        <sz val="11"/>
        <color theme="1"/>
        <rFont val="Calibri"/>
        <family val="2"/>
        <scheme val="minor"/>
      </rPr>
      <t xml:space="preserve"> against their wishes, from Basra.                                                                                                                                                                     &lt;br&gt;&lt;br&gt;&lt;b&gt;</t>
    </r>
    <r>
      <rPr>
        <u/>
        <sz val="11"/>
        <color theme="1"/>
        <rFont val="Calibri"/>
        <family val="2"/>
        <scheme val="minor"/>
      </rPr>
      <t>Note:</t>
    </r>
    <r>
      <rPr>
        <sz val="11"/>
        <color theme="1"/>
        <rFont val="Calibri"/>
        <family val="2"/>
        <scheme val="minor"/>
      </rPr>
      <t xml:space="preserve"> In the first answer, ‘A revolving door’ of ministers refers to ministers starting and then leaving their posts so there are many different ministers coming and going. This is the same as ‘a high turnover.’&lt;br&gt;In the second answer, ‘to assuage the rancor’ with someone means ‘to make peace’ with someone.&lt;/b&gt;</t>
    </r>
  </si>
  <si>
    <r>
      <t>It has been a quiet few weeks in the offices of Britain’s biggest union, Unite but that was a lull that could not last. Unite must now decide whether or how to deploy its financial muscle in the Labor Party leadership election. It has also caused some surprise that a union so closely tied to the Labor Party should want to hold a strike that will provoke so much outrage among air travelers. Twenty days’ disruption by British Airways cabin crews would make the name of Unite so notorious that it could threaten to be the kiss of death to whichever Labor leadership candidate the union endorses. By the same token, last December’s planned strike could have done damage to Labor’s election prospects, had it not been barred by a High Court. And yet Unite is Labor’s biggest financial backer. &lt;br&gt;&lt;u&gt;</t>
    </r>
    <r>
      <rPr>
        <u/>
        <sz val="11"/>
        <color theme="1"/>
        <rFont val="Calibri"/>
        <family val="2"/>
        <scheme val="minor"/>
      </rPr>
      <t>The key to this apparent contradiction is that Unite is so large and fragmented that a more apt name for it would be Disunite&lt;/u&gt;.</t>
    </r>
    <r>
      <rPr>
        <sz val="11"/>
        <color theme="1"/>
        <rFont val="Calibri"/>
        <family val="2"/>
        <scheme val="minor"/>
      </rPr>
      <t xml:space="preserve"> It is an amalgam of unions brought together and run by competing general secretaries. &lt;u&gt;</t>
    </r>
    <r>
      <rPr>
        <u/>
        <sz val="11"/>
        <color theme="1"/>
        <rFont val="Calibri"/>
        <family val="2"/>
        <scheme val="minor"/>
      </rPr>
      <t>Even so, Unite’s support guarantees that its chosen Labor candidate will be able to fight a well-funded campaign,&lt;/u&gt;</t>
    </r>
    <r>
      <rPr>
        <sz val="11"/>
        <color theme="1"/>
        <rFont val="Calibri"/>
        <family val="2"/>
        <scheme val="minor"/>
      </rPr>
      <t xml:space="preserve"> and that hundreds and thousands of Unite members will receive communications from their union in his support. &lt;br&gt;&lt;br&gt;&lt;b&gt;</t>
    </r>
    <r>
      <rPr>
        <u/>
        <sz val="11"/>
        <color theme="1"/>
        <rFont val="Calibri"/>
        <family val="2"/>
        <scheme val="minor"/>
      </rPr>
      <t>Note:</t>
    </r>
    <r>
      <rPr>
        <sz val="11"/>
        <color theme="1"/>
        <rFont val="Calibri"/>
        <family val="2"/>
        <scheme val="minor"/>
      </rPr>
      <t xml:space="preserve"> In the first answer, Unite is referred to as ‘fragmented’ which means it is divided. &lt;br&gt; In the second answer, ‘the candidate will fight a well-funded campaign’ indicates that he will have financial support. To ‘lack’ something is not to have it or to not have enough of it&lt;/b&gt;</t>
    </r>
  </si>
  <si>
    <r>
      <t>An hour after first setting foot on Belle-Ile-en-Mer in August in 1894, Sarah Bernhardt had bought an abandoned fort on the cliff top at la Pointe des Poulins. “I love Belle-Ile,” the actress told the London Telegraph in 1904. Stepping off the ferry after the 45-minute crossing from Quiberon, , I could see the attraction: a pretty little port with visitors lunching in their launches, seafood restaurants and small shops selling biscuits, local goats’ cheese and beautifully packaged tinned tuna. Warmed by the Gulf Stream, Belle-Ile has a sunnier disposition than mainland Brittany. The 5,000 inhabitants and 50,000 summer visitors have 58 beaches to enjoy and 100km of coastal paths to explore.  &lt;u&gt;</t>
    </r>
    <r>
      <rPr>
        <u/>
        <sz val="11"/>
        <color theme="1"/>
        <rFont val="Calibri"/>
        <family val="2"/>
        <scheme val="minor"/>
      </rPr>
      <t>But the island is not all sweetness and light. The brutal beauty of the north-west coast is savage and inspiring&lt;/u&gt;</t>
    </r>
    <r>
      <rPr>
        <sz val="11"/>
        <color theme="1"/>
        <rFont val="Calibri"/>
        <family val="2"/>
        <scheme val="minor"/>
      </rPr>
      <t>. Rocky plateaux drop sharply into deep ravines, sea-spray fountains up the cliffs. The island is a well-kept secret by the French.&lt;br&gt;I spent a couple of hours exploring Sarah Bernhardt’s old haunts. These stoned buildings have since opened as exhibition rooms, and an audio guide led me through Bernhardt’s extraordinary career: from humble beginnings through roles as Joan of Arc, Cleopatra, Phèdre and even Hamlet, to being awarded the Lègion d’honneur.  Back outside, I followed a path down to the imposing stone fort that was Bernhardt’s former home. As I entered the cool interior, &lt;u&gt;</t>
    </r>
    <r>
      <rPr>
        <u/>
        <sz val="11"/>
        <color theme="1"/>
        <rFont val="Calibri"/>
        <family val="2"/>
        <scheme val="minor"/>
      </rPr>
      <t xml:space="preserve">I took advantage of the peace and quiet to picture her holding court among her friends&lt;/u&gt;, </t>
    </r>
    <r>
      <rPr>
        <sz val="11"/>
        <color theme="1"/>
        <rFont val="Calibri"/>
        <family val="2"/>
        <scheme val="minor"/>
      </rPr>
      <t>working on a new sculpture or reading quietly on her chaise longue. Her love affair with Belle- Ile is one that many visitors will share.&lt;br&gt;&lt;br&gt;&lt;b&gt;</t>
    </r>
    <r>
      <rPr>
        <u/>
        <sz val="11"/>
        <color theme="1"/>
        <rFont val="Calibri"/>
        <family val="2"/>
        <scheme val="minor"/>
      </rPr>
      <t>Note:</t>
    </r>
    <r>
      <rPr>
        <sz val="11"/>
        <color theme="1"/>
        <rFont val="Calibri"/>
        <family val="2"/>
        <scheme val="minor"/>
      </rPr>
      <t xml:space="preserve"> The first question is answered by the contrast in the description. The island is first described as sunny with beaches and coastal paths and then the contrast appears in the next sentence introduced by ‘but’. It is reinforced by the use of the adjectives ‘brutal’ and ‘savage’. In the second answer, the phrase’ holding court among her friends’ is a more formal way to say ‘chatting with’ or just ‘talking with’ her friends.&lt;/b&gt;</t>
    </r>
  </si>
  <si>
    <r>
      <t>Every time it looks as if the big powers have finally run out of patience with Iran’s nuclear misdeeds, Tehran’s leaders suddenly decide they’re in the mood to compromise. And every time the big powers let up on the pressure, Tehran’s compromises turn to smoke.&lt;br&gt;It was no surprise on Monday when Iran announced it was ready to accept a deal to ship some of its nuclear fuel out of the country. So it is welcome news that the United States, Europe, Russia and China will press ahead with new United Nations Security Council sanctions. The resolution takes aim at Iran’s financial institutions. It would also require countries to inspect ships or aircraft coming into or out of Iran if there are suspicions they are carrying banned materials. Like the three resolutions that preceded it, it is probably not tough enough to change minds in Tehran. &lt;u&gt;</t>
    </r>
    <r>
      <rPr>
        <u/>
        <sz val="11"/>
        <color theme="1"/>
        <rFont val="Calibri"/>
        <family val="2"/>
        <scheme val="minor"/>
      </rPr>
      <t xml:space="preserve">But the fact that Russia and China – Iran’s longtime enablers – have signed on is likely to make some players in Iran’s embattled government nervous.&lt;/u&gt;                                                                                                               </t>
    </r>
    <r>
      <rPr>
        <sz val="11"/>
        <color theme="1"/>
        <rFont val="Calibri"/>
        <family val="2"/>
        <scheme val="minor"/>
      </rPr>
      <t>The 11</t>
    </r>
    <r>
      <rPr>
        <vertAlign val="superscript"/>
        <sz val="11"/>
        <color theme="1"/>
        <rFont val="Calibri"/>
        <family val="2"/>
        <scheme val="minor"/>
      </rPr>
      <t>th</t>
    </r>
    <r>
      <rPr>
        <sz val="11"/>
        <color theme="1"/>
        <rFont val="Calibri"/>
        <family val="2"/>
        <scheme val="minor"/>
      </rPr>
      <t>-hour agreement announced this week with the leaders of Brazil and Turkey was much like one reached with the big powers last fall. Iran would transfer about 2,640 pounds of its low-enriched uranium to Turkey within one month and receive- within one year- fuel rods for use in a medical research reactor.&lt;br&gt;The original deal was intended to measurably delay Iran’s progress toward a nuclear weapon while opening the door to serious negotiations. &lt;u&gt;</t>
    </r>
    <r>
      <rPr>
        <u/>
        <sz val="11"/>
        <color theme="1"/>
        <rFont val="Calibri"/>
        <family val="2"/>
        <scheme val="minor"/>
      </rPr>
      <t>The current deal leaves Iran with too much fuel, puts no brakes on enrichment at a higher rate, lets Tehran take back the fuel stored in Turkey when it wants and makes no commitment to talks. &lt;/u&gt;&lt;br&gt;&lt;br&gt;&lt;b&gt;Note:</t>
    </r>
    <r>
      <rPr>
        <sz val="11"/>
        <color theme="1"/>
        <rFont val="Calibri"/>
        <family val="2"/>
        <scheme val="minor"/>
      </rPr>
      <t xml:space="preserve"> The first underlined sentence answers the first question. It indicates that Russia and China have now signed sanctions against Iran but previously, they were its supporters (‘enablers’).&lt;br&gt;The second question is answered by the last sentence which lists the possibilities Iran will be given by the deal with Brazil and Turkey. &lt;/b&gt;                                                              </t>
    </r>
  </si>
  <si>
    <r>
      <t>This year’s festival has been low on Hollywood stars, and the market feels flat. The weather is cold and the lineup spotty, and yet none of this matters – because God is coming to town. Jean-Luc Godard! Inside the Palais, the delegates recite his name like an incantation. Who cares if he is old and frail (79 last birthday?) So what if he says his latest work – Film Socialism – will be his last? If anyone is guaranteed to raise Cannes to the rafters, it is the revolutionary firebrand behind Breathless, Weekend and Contempt.&lt;br&gt;There are still some at this festival who can recall the heady days of May 1968, when Cannes was galvanized by the uprisings in Paris. &lt;u&gt;</t>
    </r>
    <r>
      <rPr>
        <u/>
        <sz val="11"/>
        <color theme="1"/>
        <rFont val="Calibri"/>
        <family val="2"/>
        <scheme val="minor"/>
      </rPr>
      <t>They will tell you how Godard was at the vanguard of a gang of nine film-makers who stormed the festival hall and brought the event to a halt.&lt;/u&gt;</t>
    </r>
    <r>
      <rPr>
        <sz val="11"/>
        <color theme="1"/>
        <rFont val="Calibri"/>
        <family val="2"/>
        <scheme val="minor"/>
      </rPr>
      <t xml:space="preserve"> These directors came to rally support for the strikers and the students. The audience, however, thought they had come to burn the cinema down and proceeded to break for the exit. Cannes 68 was officially cancelled the following morning.&lt;br&gt;Cannes 2010 is just a few days old. The man himself has yet to arrive but that’s OK, because a glance through the program suggests that the spirit of 1968 is alive and well. The lineup includes pointed political films from France, Italy, Africa and China, amid the usual crop of Hollywood blockbusters and B-movie rip-offs. &lt;u&gt;</t>
    </r>
    <r>
      <rPr>
        <u/>
        <sz val="11"/>
        <color theme="1"/>
        <rFont val="Calibri"/>
        <family val="2"/>
        <scheme val="minor"/>
      </rPr>
      <t>It has become a Cannes tradition to balance its ticket, to offset the celebrity glitz with the sort of films that kick up a storm and clamor for action. &lt;/u&gt;&lt;br&gt;&lt;br&gt;&lt;b&gt;Note:</t>
    </r>
    <r>
      <rPr>
        <sz val="11"/>
        <color theme="1"/>
        <rFont val="Calibri"/>
        <family val="2"/>
        <scheme val="minor"/>
      </rPr>
      <t xml:space="preserve"> Although Jean-Luc Godard is a famous filmmaker, the first underlined sentence in the text indicates that he is also famous for other activities at the film festival.&lt;br&gt;The second question is clearly answered by the last sentence of the article which indicates that the film festival features both celebrity ‘glitz’ ( a synonym for ‘glamour’) and controversy.&lt;/b&gt;</t>
    </r>
  </si>
  <si>
    <r>
      <t>At this point, Microsoft must have developed its own seminar for employees called something like Apologizing With Optimism: How to Persuade People to Give You Another Try. &lt;br&gt;It seems like one product after another – Windows 7, Windows Phone 7, Bing and now a revamped Hotmail, due this summer – arrive with Microsoft admitting it could have done more with previous versions of its software, while promising people that things really are better this time around .&lt;br&gt;Of course, Hotmail suffers in the United States from a bit of a “perception problem,” as the Microsoft vice president Chris Jones put it. &lt;u&gt;</t>
    </r>
    <r>
      <rPr>
        <u/>
        <sz val="11"/>
        <color theme="1"/>
        <rFont val="Calibri"/>
        <family val="2"/>
        <scheme val="minor"/>
      </rPr>
      <t>People perceive that Hotmail is plagued by spam, has underwhelming storage, is missing a lot of features and is basically yesteryear’s e-mail service. &lt;/u&gt;&lt;br&gt;</t>
    </r>
    <r>
      <rPr>
        <sz val="11"/>
        <color theme="1"/>
        <rFont val="Calibri"/>
        <family val="2"/>
        <scheme val="minor"/>
      </rPr>
      <t>Gone are those dark ages when you just swapped messages with co-workers and college chums. Everyone has e-mail and that means a flood of photos, documents, status updates, spam and shopping messages pouring into your personal inbox.                                                                This summer, &lt;u&gt;</t>
    </r>
    <r>
      <rPr>
        <u/>
        <sz val="11"/>
        <color theme="1"/>
        <rFont val="Calibri"/>
        <family val="2"/>
        <scheme val="minor"/>
      </rPr>
      <t>Microsoft will roll out a retooled Hotmail that filters messages into four buckets</t>
    </r>
    <r>
      <rPr>
        <sz val="11"/>
        <color theme="1"/>
        <rFont val="Calibri"/>
        <family val="2"/>
        <scheme val="minor"/>
      </rPr>
      <t xml:space="preserve"> &lt;/u&gt;–mail from people you know, mail from social networks, personal business and spam. So, with a quick glance, you’ll be able to gauge which messages are most important to you – likely those from people you know – and act on them first. You can also click a button to hide unwanted stuff. &lt;br&gt;&lt;br&gt;&lt;b&gt;</t>
    </r>
    <r>
      <rPr>
        <u/>
        <sz val="11"/>
        <color theme="1"/>
        <rFont val="Calibri"/>
        <family val="2"/>
        <scheme val="minor"/>
      </rPr>
      <t>Note:</t>
    </r>
    <r>
      <rPr>
        <sz val="11"/>
        <color theme="1"/>
        <rFont val="Calibri"/>
        <family val="2"/>
        <scheme val="minor"/>
      </rPr>
      <t xml:space="preserve"> The answer to the first question appears in the first underlined sentence which lists the problems associated with hotmail and describes it as ‘yesteryear’s’ email which means it is out of date.&lt;br&gt;The second underlined phrase answers the second question. Hotmail will filter the messages into different buckets according where they come from, that is, they will be categorized.&lt;/b&gt;</t>
    </r>
  </si>
  <si>
    <r>
      <t>In the shadow of Guantanamo Bay and Abu Ghraib, the default liberal view of US troops in Iraq was often of stoned, cowardly rednecks shooting innocents for sport. But when I spent time as an embedded reporter with the US Army in Baghdad, the soldiers I met were generally brave, quick-witted and compassionate. I wasn’t quite sure what to expect last week on an excursion with the Indian Army. The faces, languages and generous hospitality of India were the last thing I’d anticipated in rural Democratic Republic of the Congo. But with more than 4,000 troops on the ground, they’re the biggest contingent of the biggest UN peacekeeping operation in the world. At the Monuc compound, I met Major Rohit Sharma, 35, from Delhi. I hitched a ride with him in a UN jeep and we travelled 150km north of Goma stopping at military bases along the way. They all had an Indian flavor. There were Indian flags and shrines, Indian food and furniture, and a military etiquette and deference to tradition that somehow evoked popular notions of the British Raj. At every opportunity I was offered a cup of tea and we spoke a common language, English, in this otherwise officially francophone country. &lt;u&gt;</t>
    </r>
    <r>
      <rPr>
        <u/>
        <sz val="11"/>
        <color theme="1"/>
        <rFont val="Calibri"/>
        <family val="2"/>
        <scheme val="minor"/>
      </rPr>
      <t xml:space="preserve">The soldiers expressed tentative optimism that their mission is working and violence is slowly ebbing here.&lt;/u&gt; </t>
    </r>
    <r>
      <rPr>
        <sz val="11"/>
        <color theme="1"/>
        <rFont val="Calibri"/>
        <family val="2"/>
        <scheme val="minor"/>
      </rPr>
      <t>But that same night, two people were killed, and more were hospitalized, in a rebel attack on a nearby village.I went back to Goma and said my goodbyes to Sharma. The Indian Army in the Congo will never seize the international limelight like the Americans and British in Afghanistan. Many people are unaware that they are even there. But perhaps &lt;u&gt;</t>
    </r>
    <r>
      <rPr>
        <u/>
        <sz val="11"/>
        <color theme="1"/>
        <rFont val="Calibri"/>
        <family val="2"/>
        <scheme val="minor"/>
      </rPr>
      <t>a cup of tea should be raised in honor &lt;/u&gt;</t>
    </r>
    <r>
      <rPr>
        <sz val="11"/>
        <color theme="1"/>
        <rFont val="Calibri"/>
        <family val="2"/>
        <scheme val="minor"/>
      </rPr>
      <t>of these unsung tours of duty in the half-forgotten corners of the world.&lt;br&gt;&lt;br&gt; &lt;b&gt;</t>
    </r>
    <r>
      <rPr>
        <u/>
        <sz val="11"/>
        <color theme="1"/>
        <rFont val="Calibri"/>
        <family val="2"/>
        <scheme val="minor"/>
      </rPr>
      <t>Note:</t>
    </r>
    <r>
      <rPr>
        <sz val="11"/>
        <color theme="1"/>
        <rFont val="Calibri"/>
        <family val="2"/>
        <scheme val="minor"/>
      </rPr>
      <t xml:space="preserve"> The soldiers have expressed that they believe their mission is ‘working’ which means they feel positive about it. ‘Ebbing’ means ‘decreasing.’&lt;br&gt;‘A cup of tea raised in honor’ is the writer’s way of expressing that these soldiers should be recognised, even though it is a humble recognition.&lt;/b&gt;</t>
    </r>
  </si>
  <si>
    <r>
      <t>It was going to be the largest single charitable donation in Panama’s history: more than $50 million for poor children. Wilson Lucom, a US tycoon, left most of his estate to a foundation to help the neediest people in the country where he lived until his death in 2006, aged 88.                                    Now, four years later, after a bitter legal battle, the fortune is going to one of Panama’s most powerful dynasties and the children have been left without a cent.&lt;br&gt;Panama’s supreme court declared Lucom’s will void in August, it has emerged, giving the entire estate to his widow, Hilda, the ailing, octogenarian matriarch of the Arias family, which has extensive media, property and financial interests. Her five children from a previous marriage are expected to inherit the money after she dies. &lt;u&gt;</t>
    </r>
    <r>
      <rPr>
        <u/>
        <sz val="11"/>
        <color theme="1"/>
        <rFont val="Calibri"/>
        <family val="2"/>
        <scheme val="minor"/>
      </rPr>
      <t>Critics have accused the tycoon’s widow of greed and questioned the integrity of Panama’s judicial system.&lt;/u&gt;&lt;br&gt;</t>
    </r>
    <r>
      <rPr>
        <sz val="11"/>
        <color theme="1"/>
        <rFont val="Calibri"/>
        <family val="2"/>
        <scheme val="minor"/>
      </rPr>
      <t>Lucom was an unlikely champion of poor children. He married Hilda Piza de Arias and in the 1990s they moved to Panama. Lucom, who never had children of his own, continued propagating radical beliefs, such as nuclear strikes to deter terrorism.&lt;br&gt;Several courts upheld the will as reflecting Lucom’s last wishes but &lt;u&gt;</t>
    </r>
    <r>
      <rPr>
        <u/>
        <sz val="11"/>
        <color theme="1"/>
        <rFont val="Calibri"/>
        <family val="2"/>
        <scheme val="minor"/>
      </rPr>
      <t xml:space="preserve">Panama’s Supreme Court declared it void last month, arguing that Lucom’s reference to his “beloved wife” showed he really wanted her to inherit the estate,&lt;/u&gt; </t>
    </r>
    <r>
      <rPr>
        <sz val="11"/>
        <color theme="1"/>
        <rFont val="Calibri"/>
        <family val="2"/>
        <scheme val="minor"/>
      </rPr>
      <t>not poor children. Critics – including a former US ambassador – have in the past accused Panama’s justice system of favoring the rich and powerful.&lt;br&gt;&lt;br&gt;&lt;b&gt;</t>
    </r>
    <r>
      <rPr>
        <u/>
        <sz val="11"/>
        <color theme="1"/>
        <rFont val="Calibri"/>
        <family val="2"/>
        <scheme val="minor"/>
      </rPr>
      <t>Note:</t>
    </r>
    <r>
      <rPr>
        <sz val="11"/>
        <color theme="1"/>
        <rFont val="Calibri"/>
        <family val="2"/>
        <scheme val="minor"/>
      </rPr>
      <t xml:space="preserve"> In the answer to the first question, ‘to question the integrity’ is the same as ‘expressing misgivings.’&lt;br&gt; In the answer to the second question, ‘the phrase in the will’ is the ‘reference to his “beloved wife”.&lt;/b&gt;</t>
    </r>
  </si>
  <si>
    <r>
      <t xml:space="preserve">&lt;u&gt;The Palestinian leadership confirmed yesterday that it would not return to direct peace negotiations with the Israelis without an extension to the now-expired freeze on settlement construction&lt;/u&gt;, amid determined but increasingly frustrated efforts by the Americans to keep the talks alive. The executive committee of the Palestinian Liberation Organization met in Ramallah to consider its position following the end of the moratorium last weekend. Palestinian negotiators have said repeatedly that they would not stay at the negotiating table unless the freeze were extended, and that Israel must choose between settlements and peace. </t>
    </r>
    <r>
      <rPr>
        <u/>
        <sz val="11"/>
        <color theme="1"/>
        <rFont val="Calibri"/>
        <family val="2"/>
        <scheme val="minor"/>
      </rPr>
      <t>Prospects for a compromise on the issue of settlement building appear to be receding.</t>
    </r>
    <r>
      <rPr>
        <sz val="11"/>
        <color theme="1"/>
        <rFont val="Calibri"/>
        <family val="2"/>
        <scheme val="minor"/>
      </rPr>
      <t xml:space="preserve"> The Israeli government is reported to have rejected a US proposal last week, under which the Americans offered a raft of guarantees – including increased military aid for Israel – in exchange for a 60-day extension.&lt;br&gt;Washington’s Middle East envoy, George Mitchell, and the EU’s foreign policy chief, Catherine Ashton, were both in Jerusalem and Ramallah last week in the attempt to bring the two sides closer together, without any apparent movement in positions.&lt;br&gt;&lt;br&gt;&lt;b&gt;</t>
    </r>
    <r>
      <rPr>
        <u/>
        <sz val="11"/>
        <color theme="1"/>
        <rFont val="Calibri"/>
        <family val="2"/>
        <scheme val="minor"/>
      </rPr>
      <t>Note:</t>
    </r>
    <r>
      <rPr>
        <sz val="11"/>
        <color theme="1"/>
        <rFont val="Calibri"/>
        <family val="2"/>
        <scheme val="minor"/>
      </rPr>
      <t xml:space="preserve"> The first piece of underlined text answers the first question as the Palestinian leaders want the freeze on settlement construction to continue if they are going to negotiate with the Israelis.&lt;br&gt;The second underlined sentence answers the second question. A ‘compromise’ is an ‘agreement’ and ‘receding’ here means ‘decreasing.’&lt;/b&gt;</t>
    </r>
  </si>
  <si>
    <r>
      <t>Koro is used by 800 to 1,200 people in a remote area. The language had gone undetected by outsiders because its speakers shared cultural similarities with the speakers of Aka, a key language in the region. The previously unknown language has been uncovered in the far reaches of northeastern India, researchers have  reported. Koro, a tongue brand-new to the scientific world, could soon face extinction as younger speakers abandon it for more widely used languages such as Hindi or English. The researchers said they are not sure yet how old Koro is or how it developed. &lt;u&gt;</t>
    </r>
    <r>
      <rPr>
        <u/>
        <sz val="11"/>
        <color theme="1"/>
        <rFont val="Calibri"/>
        <family val="2"/>
        <scheme val="minor"/>
      </rPr>
      <t>But they believe it could yield a wealth of knowledge about the way humans develop and use language.&lt;/u&gt; &lt;br&gt;</t>
    </r>
    <r>
      <rPr>
        <sz val="11"/>
        <color theme="1"/>
        <rFont val="Calibri"/>
        <family val="2"/>
        <scheme val="minor"/>
      </rPr>
      <t>The speakers of Koro had remained invisible to outside observers because their bright red garments, the rice beer they made and other details of their lives seemed no different from that of the speakers of Aka, the socially dominant language in the region. Koro also blends in because its speakers frequently marry Aka speakers and people who use another tongue, Miji .&lt;br&gt;&lt;u&gt;</t>
    </r>
    <r>
      <rPr>
        <u/>
        <sz val="11"/>
        <color theme="1"/>
        <rFont val="Calibri"/>
        <family val="2"/>
        <scheme val="minor"/>
      </rPr>
      <t>The researchers say there are still many mysteries they hope to unravel&lt;/u&gt;,</t>
    </r>
    <r>
      <rPr>
        <sz val="11"/>
        <color theme="1"/>
        <rFont val="Calibri"/>
        <family val="2"/>
        <scheme val="minor"/>
      </rPr>
      <t xml:space="preserve"> such as why the speakers  don’t seem to notice how vastly different their languages are, </t>
    </r>
    <r>
      <rPr>
        <u/>
        <sz val="11"/>
        <color theme="1"/>
        <rFont val="Calibri"/>
        <family val="2"/>
        <scheme val="minor"/>
      </rPr>
      <t>and &lt;u&gt;how the Koro speakers, who seem to blend in with Aka speakers in every other way, have managed to preserve their distinct language for so long.&lt;/u&gt;</t>
    </r>
    <r>
      <rPr>
        <sz val="11"/>
        <color theme="1"/>
        <rFont val="Calibri"/>
        <family val="2"/>
        <scheme val="minor"/>
      </rPr>
      <t xml:space="preserve"> The answers, said the linguists, are probably related to the community’s relative isolation from the rest of the world.&lt;br&gt;Now globalization is ending that isolation, and it may end Koro’s existence, too.&lt;br&gt;&lt;br&gt;&lt;b&gt;</t>
    </r>
    <r>
      <rPr>
        <u/>
        <sz val="11"/>
        <color theme="1"/>
        <rFont val="Calibri"/>
        <family val="2"/>
        <scheme val="minor"/>
      </rPr>
      <t>Note:</t>
    </r>
    <r>
      <rPr>
        <sz val="11"/>
        <color theme="1"/>
        <rFont val="Calibri"/>
        <family val="2"/>
        <scheme val="minor"/>
      </rPr>
      <t xml:space="preserve"> The first question is answered by the first underlined sentence. ‘To yield a wealth of knowledge’ means to provide us with understanding. &lt;br&gt;The second question is answered by the last two underlined phrases because although Koro speakers have ‘blended’ or ‘mixed’ with Aka speakers in many ways, they have kept their language. Researchers find this fact intriguing.&lt;/b&gt;</t>
    </r>
  </si>
  <si>
    <r>
      <t>Are Germans ruder than the British? Are Britons more dishonest than Germans? Serious academic research has been done on both sides of the North Sea. &lt;u&gt;</t>
    </r>
    <r>
      <rPr>
        <u/>
        <sz val="11"/>
        <color theme="1"/>
        <rFont val="Calibri"/>
        <family val="2"/>
        <scheme val="minor"/>
      </rPr>
      <t xml:space="preserve">There are Britons in Berlin who are shocked by the directness of Germans.&lt;/u&gt; </t>
    </r>
    <r>
      <rPr>
        <sz val="11"/>
        <color theme="1"/>
        <rFont val="Calibri"/>
        <family val="2"/>
        <scheme val="minor"/>
      </rPr>
      <t>And there are Germans who get really annoyed when Britons, in an attempt to be friendly, say things they don’t really mean. Some Germans call this ‘lying’. Professor Juliane Haus has studied groups of people interacting in controlled situations. She found that Germans don’t do small talk, those little phrases so familiar to the British about the weather or a person’s well-being .So does this mean the British are more polite? No, just different. For their part, the British have what Haus calls the ‘etiquette of simulation’. The British feign an interest in someone. “Saying things like: ‘It’s nice to meet you’ are rarely meant the way they are said,” she says. From a German perspective, this is uncomfortably close to deceit. &lt;br&gt;&lt;br&gt;&lt;b&gt;Note: When describing a person’s manner, being ‘blunt’ is a synonym for being ‘direct’. Also notice the use of the word ‘chatting’. This means talking about nothing in particular, it is a synonym for ‘making small talk’.&lt;/b&gt;</t>
    </r>
  </si>
  <si>
    <r>
      <t>Lieutenant General James Terry: “I’d like to start by saying thanks for the opportunity to talk to everyone tonight. Now, the insurgents, while still threatening and deadly, are trying hard to stay relevant at this time. &lt;u&gt;</t>
    </r>
    <r>
      <rPr>
        <u/>
        <sz val="11"/>
        <color theme="1"/>
        <rFont val="Calibri"/>
        <family val="2"/>
        <scheme val="minor"/>
      </rPr>
      <t xml:space="preserve">What is important is that the insurgents’ position with the people of Afghanistan is continually eroding&lt;/u&gt;. </t>
    </r>
    <r>
      <rPr>
        <sz val="11"/>
        <color theme="1"/>
        <rFont val="Calibri"/>
        <family val="2"/>
        <scheme val="minor"/>
      </rPr>
      <t xml:space="preserve">The international community has expressed its commitment to stand by the Afghan people well after 2014 and into this decade of transformation. But more importantly, the insurgency is facing a progressively more capable Afghan National Security Force, which is bearing every day an increasingly larger burden as it moves into the lead for security here in Afghanistan. The insurgent-led campaign is killing and maiming the Afghan population at an alarming rate. Their intimidation/assassination campaign is working against them, their leadership is under constant pressure and their resources are strained. The majority of Afghans are tired of war, and more importantly, they are tired of an insurgency that attempts to control them by limiting their education, controlling their freedom of movement and intimidating them.&lt;br&gt;&lt;br&gt;&lt;b&gt;Note: In the underlined sentence, the word ‘eroding’ indicates that local support for the insurgents is disappearing. The word ‘erode’ is mainly a geographical term which is applied to rocks, cliffs and other natural structures that are exposed to seawater and bad weather which  can destroy them little by little.&lt;/b&gt; </t>
    </r>
  </si>
  <si>
    <t>29.- Which of the following is true?</t>
  </si>
  <si>
    <t>19.- The problem in Uravi has been worsened by;</t>
  </si>
  <si>
    <t>EXAMEN 107</t>
  </si>
  <si>
    <t>a)      She thinks it is very expensive</t>
  </si>
  <si>
    <t>b)      She likes its style</t>
  </si>
  <si>
    <t>c)       She believes it is old fashioned</t>
  </si>
  <si>
    <t xml:space="preserve">d)      She dislikes the color </t>
  </si>
  <si>
    <t>a)      Reading</t>
  </si>
  <si>
    <t>b)      Writing</t>
  </si>
  <si>
    <t>c)       Drawing</t>
  </si>
  <si>
    <t>d)      Walking</t>
  </si>
  <si>
    <t>a)      He missed the meeting</t>
  </si>
  <si>
    <t>b)      He opened the meeting</t>
  </si>
  <si>
    <t>c)       He arrived late for the meeting</t>
  </si>
  <si>
    <t>d)      He forgot about the meeting</t>
  </si>
  <si>
    <t>a)      Rare sights were frequent in Coventry</t>
  </si>
  <si>
    <t>b)      The speaker was the only black student in his school</t>
  </si>
  <si>
    <t xml:space="preserve">c)       It was common to see black children in schools </t>
  </si>
  <si>
    <t>d)      Traffic jams were usual in Coventry in the 1960s</t>
  </si>
  <si>
    <t xml:space="preserve">a)      Practice can develop  psychic abilities </t>
  </si>
  <si>
    <t>b)      Few people can develop them</t>
  </si>
  <si>
    <t>c)       You need expert help to develop them</t>
  </si>
  <si>
    <t>d)      It is easy to write about them</t>
  </si>
  <si>
    <t xml:space="preserve">a)      They all have the same opinion </t>
  </si>
  <si>
    <t>b)      They are having an argument</t>
  </si>
  <si>
    <t>c)       They are discussing a film</t>
  </si>
  <si>
    <t>d)      They are discussing an actor’s performance</t>
  </si>
  <si>
    <t>a)      She has spent time in prison</t>
  </si>
  <si>
    <t xml:space="preserve">b)      She wants to help ex-prisoners </t>
  </si>
  <si>
    <t>c)       She wants to be admitted to a university</t>
  </si>
  <si>
    <t>d)      She freed a lot of women prisoners</t>
  </si>
  <si>
    <t>a)      It is  run in all national parks</t>
  </si>
  <si>
    <t>b)      Its  bio-gas systems are very up-to-date</t>
  </si>
  <si>
    <t>c)       Bio-gas produced can be used for fuel and fertilizer</t>
  </si>
  <si>
    <t>d)      The technology used is expensive</t>
  </si>
  <si>
    <t>a)      The natural colour of food is not good</t>
  </si>
  <si>
    <t>b)      People prefer food that’s colourful</t>
  </si>
  <si>
    <t>c)       Food companies add colouring to products</t>
  </si>
  <si>
    <t>d)      Yellow margarine tastes better</t>
  </si>
  <si>
    <t>a)      There are lots of graphic designers</t>
  </si>
  <si>
    <t>b)      Her husband’s clients are nearby</t>
  </si>
  <si>
    <t>c)       Flats are cheap</t>
  </si>
  <si>
    <t>a)      It is an interesting place to live</t>
  </si>
  <si>
    <t>b)      It  is still a religious village</t>
  </si>
  <si>
    <t>c)       It is not very exciting</t>
  </si>
  <si>
    <t>d)      No-one lives there now</t>
  </si>
  <si>
    <t>a)      It has always been important</t>
  </si>
  <si>
    <t>b)      It has lost its influence</t>
  </si>
  <si>
    <t>c)       It is no longer respected</t>
  </si>
  <si>
    <t>d)      It is opposed to the union</t>
  </si>
  <si>
    <t>a)      Take a message</t>
  </si>
  <si>
    <t>b)      Answer the phone</t>
  </si>
  <si>
    <t>c)       Make a phone call</t>
  </si>
  <si>
    <t>d)      Teach a lesson</t>
  </si>
  <si>
    <t>a)      He dislikes being noticed</t>
  </si>
  <si>
    <t xml:space="preserve">b)      People recognise him everywhere </t>
  </si>
  <si>
    <t>c)       Old ladies follow him around</t>
  </si>
  <si>
    <t>d)      He looks younger</t>
  </si>
  <si>
    <t>a)      The match hasn’t started yet</t>
  </si>
  <si>
    <t>b)      The match is in Japan</t>
  </si>
  <si>
    <t>c)       It is a calm, sunny day</t>
  </si>
  <si>
    <t>d)      The speaker feels cold</t>
  </si>
  <si>
    <t>a)      It is very windy</t>
  </si>
  <si>
    <t>b)      The weather is favourable</t>
  </si>
  <si>
    <t>c)       The men’s singles is on court one</t>
  </si>
  <si>
    <t>d)      Belarus have lost their match</t>
  </si>
  <si>
    <t>a)      Movies were made there</t>
  </si>
  <si>
    <t>b)      People used to go there for health reasons</t>
  </si>
  <si>
    <t>c)       Doctors warned against the heat there</t>
  </si>
  <si>
    <t>d)      Many architects live there</t>
  </si>
  <si>
    <t>a)      They get bank loans to study</t>
  </si>
  <si>
    <t>b)      Many work as well as study</t>
  </si>
  <si>
    <t>c)       The families don’t pay</t>
  </si>
  <si>
    <t>d)      A majority get scholarships</t>
  </si>
  <si>
    <t>a)      Most of them were famous</t>
  </si>
  <si>
    <t>b)      Most travelled in modest conditions</t>
  </si>
  <si>
    <t>c)       Most were from New York</t>
  </si>
  <si>
    <t>d)      Most were first class passengers</t>
  </si>
  <si>
    <t>a)      He is going to  appeal again</t>
  </si>
  <si>
    <t>b)      He has paid back the bank</t>
  </si>
  <si>
    <t>c)       He will spend three years in jail</t>
  </si>
  <si>
    <t>d)      He lost six thousand dollars</t>
  </si>
  <si>
    <t>a)      A parachute jump by Sean Connery</t>
  </si>
  <si>
    <t>b)      Skydiving without a parachute</t>
  </si>
  <si>
    <t>c)       Squirrels that skydive</t>
  </si>
  <si>
    <t>d)      Special outfits for skydiving</t>
  </si>
  <si>
    <t>a)      Damage to the environment caused by drilling</t>
  </si>
  <si>
    <t>b)      Western relations with oil producing countries</t>
  </si>
  <si>
    <t>c)       Recently discovered sources of oil</t>
  </si>
  <si>
    <t>d)      Humanity’s dependency on oil</t>
  </si>
  <si>
    <t>a)      Being in a contest</t>
  </si>
  <si>
    <t>b)      Having to make a big effort</t>
  </si>
  <si>
    <t>c)       Insufficient oxygen to the brain</t>
  </si>
  <si>
    <t>d)      High blood pressure</t>
  </si>
  <si>
    <t>a)      He had been a journalist in Iraq</t>
  </si>
  <si>
    <t>b)      He did not see war first hand</t>
  </si>
  <si>
    <t>c)       He understands how the troops feel</t>
  </si>
  <si>
    <t>d)      He would love to return to Iraq</t>
  </si>
  <si>
    <t>a)      The birth rate is increasing</t>
  </si>
  <si>
    <t>b)      The birth rate has decreased</t>
  </si>
  <si>
    <t>c)       The one-child policy was a failure</t>
  </si>
  <si>
    <t>d)      Couples can now have more children</t>
  </si>
  <si>
    <t>a)      They are still inefficient</t>
  </si>
  <si>
    <t>b)      They are bigger than conventional ones</t>
  </si>
  <si>
    <t>c)       They do not vibrate</t>
  </si>
  <si>
    <t>d)      They are economical at the moment</t>
  </si>
  <si>
    <t>a)      Consumers prefer designer clothes</t>
  </si>
  <si>
    <t>b)      Clothes made outside the US are more in demand</t>
  </si>
  <si>
    <t>c)       Consumers now want clothes made in the US</t>
  </si>
  <si>
    <t>d)      Textile companies do not want to change</t>
  </si>
  <si>
    <t>a)      The rates surpass those in other developed nations.</t>
  </si>
  <si>
    <t>b)      There is ‘herd immunity’ for most diseases.</t>
  </si>
  <si>
    <t>c)       The rates are still not sufficient.</t>
  </si>
  <si>
    <t>a)      Pupils organize question and answer sessions</t>
  </si>
  <si>
    <t>b)      Teenage  pupils are extremely curious about science</t>
  </si>
  <si>
    <t>c)       The speaker does not like  pupils to question him</t>
  </si>
  <si>
    <t>d)      In science class the teacher has no weak points</t>
  </si>
  <si>
    <t>a)      Two brothers went on a trip to Calcutta</t>
  </si>
  <si>
    <t>b)      A small boy got on a train and fell asleep</t>
  </si>
  <si>
    <t>c)       A man saw the boy in the train station</t>
  </si>
  <si>
    <t>d)      Little boys always sleep in train stations</t>
  </si>
  <si>
    <t>a)      Take a photo</t>
  </si>
  <si>
    <t>b)      Phone somebody</t>
  </si>
  <si>
    <t>c)       Check his emails</t>
  </si>
  <si>
    <t>d)      Iron his shirt</t>
  </si>
  <si>
    <t>a)      He read ‘Harry Potter’.</t>
  </si>
  <si>
    <t>b)      He went out to dinner</t>
  </si>
  <si>
    <t>c)       He saw a film</t>
  </si>
  <si>
    <t>d)      He stayed at home</t>
  </si>
  <si>
    <t>a)      She is very happy in her job</t>
  </si>
  <si>
    <t xml:space="preserve">b)      She dislikes  travelling </t>
  </si>
  <si>
    <t>c)       She has a small sales territory</t>
  </si>
  <si>
    <t>d)      She is in the same place every day</t>
  </si>
  <si>
    <t>BG. D. ANTONIO DURAN CARRILLO DURAN CARRILLO</t>
  </si>
  <si>
    <t>BG. D. MOISES BARRANCO SERRANOS BARRANCO SERRANOS</t>
  </si>
  <si>
    <t>BG. D. MANUEL MARIA GARCIA VICENTE GARCIA VICENTE</t>
  </si>
  <si>
    <t>BG. D. JOSE JAVIER  ALOS VELERT  ALOS VELERT</t>
  </si>
  <si>
    <t>BG. D. JOSE LUIS  SALGADO DE DIEGO  SALGADO DE DIEGO</t>
  </si>
  <si>
    <t>BG. D. GABRIEL MARTINEZ SECALL MARTINEZ SECALL</t>
  </si>
  <si>
    <t>BG. D. JOSE LUIS DE LAS PEÑAS PLANA DE LAS PEÑAS PLANA</t>
  </si>
  <si>
    <t>SBTE. D. JACINTO JOSE CALABOR ALONSO CALABOR ALONSO</t>
  </si>
  <si>
    <t>SGTO 1º. D. JUAN IGNACIO HERNANDEZ LEAL HERNANDEZ LEAL</t>
  </si>
  <si>
    <t>BG. D. ANTONIO PEREZ GOMEZ PEREZ GOMEZ</t>
  </si>
  <si>
    <t>SGTO 1º. D. JAVIER IRANZO GARCIA IRANZO GARCIA</t>
  </si>
  <si>
    <t>SGTO 1º. D. FELIX ORTEGA PRIETO ORTEGA PRIETO</t>
  </si>
  <si>
    <t>SGTO 1º. D. FRANCISCO POLO GONZÁLEZ POLO GONZÁLEZ</t>
  </si>
  <si>
    <t>SGTO 1º. D. MANUEL  BARBOSA ROVIGO BARBOSA ROVIGO</t>
  </si>
  <si>
    <t>BG. D. JOAQUIN GONZALEZ LOPEZ GONZALEZ LOPEZ</t>
  </si>
  <si>
    <t>BG. D. FRANCISCO JESUS PEÑA DIAZ PEÑA DIAZ</t>
  </si>
  <si>
    <t>BG. D. CARLOS TIMOTEO VEGA MARTIN VEGA MARTIN</t>
  </si>
  <si>
    <t>BG. D. LUIS ALBERTO GUERRA SANZO GUERRA SANZO</t>
  </si>
  <si>
    <t>BG. D. LUIS  CAMPILLO BAREZ CAMPILLO BAREZ</t>
  </si>
  <si>
    <t>SGTO. D. JOSE ANTONIO CACERES BAENA CACERES BAENA</t>
  </si>
  <si>
    <t>02872622</t>
  </si>
  <si>
    <t>25456698</t>
  </si>
  <si>
    <t>30577814</t>
  </si>
  <si>
    <t>22553148</t>
  </si>
  <si>
    <t>05264084</t>
  </si>
  <si>
    <t>38113350</t>
  </si>
  <si>
    <t>00413049</t>
  </si>
  <si>
    <t>22539187</t>
  </si>
  <si>
    <t>29115714</t>
  </si>
  <si>
    <t>27297055</t>
  </si>
  <si>
    <t>25423055</t>
  </si>
  <si>
    <t>04595120</t>
  </si>
  <si>
    <t>30817212</t>
  </si>
  <si>
    <t>10900268</t>
  </si>
  <si>
    <t>50708673</t>
  </si>
  <si>
    <t>33502596</t>
  </si>
  <si>
    <t>11935408</t>
  </si>
  <si>
    <t>09797900</t>
  </si>
  <si>
    <t>45075011</t>
  </si>
  <si>
    <t>50988746</t>
  </si>
  <si>
    <t xml:space="preserve">a)      They have taken the wrong road </t>
  </si>
  <si>
    <t xml:space="preserve">b)      They have to continue on the same road </t>
  </si>
  <si>
    <t>c)       They are quite near Hallbank Gate</t>
  </si>
  <si>
    <t>d)      They will never find Hallbank Gate</t>
  </si>
  <si>
    <t>a)      It was raining</t>
  </si>
  <si>
    <t>b)      He wasn’t wearing a coat</t>
  </si>
  <si>
    <t>c)       He came by car</t>
  </si>
  <si>
    <t>d)      He missed the train</t>
  </si>
  <si>
    <t>a)      The man is going to buy the house</t>
  </si>
  <si>
    <t>b)      The house is a ruin now</t>
  </si>
  <si>
    <t>c)       The house is too big for the man to live in</t>
  </si>
  <si>
    <t>d)      The house is eighty years old</t>
  </si>
  <si>
    <t>a)      In  a school</t>
  </si>
  <si>
    <t>b)      At the doctor’s</t>
  </si>
  <si>
    <t>c)       On the street</t>
  </si>
  <si>
    <t>d)      In somebody’s house</t>
  </si>
  <si>
    <t>a)      A  car stolen in Boston</t>
  </si>
  <si>
    <t>b)      A plane crash</t>
  </si>
  <si>
    <t>c)       A spectacular  robbery in Boston</t>
  </si>
  <si>
    <t>d)      A building in the United States</t>
  </si>
  <si>
    <t>a)      He is a translator</t>
  </si>
  <si>
    <t>b)      He works for his father</t>
  </si>
  <si>
    <t xml:space="preserve">c)       He’s a student </t>
  </si>
  <si>
    <t>d)      He’s  learning Spanish</t>
  </si>
  <si>
    <t>a)      All children have speech difficulties</t>
  </si>
  <si>
    <t>b)      Boys have more difficulties than girls</t>
  </si>
  <si>
    <t>c)       Girls begin to talk when they are one</t>
  </si>
  <si>
    <t>d)       Boys speak very well</t>
  </si>
  <si>
    <t>a)      Changes in security policy</t>
  </si>
  <si>
    <t>b)      Something which was stolen</t>
  </si>
  <si>
    <t>c)       Having a guard for the building</t>
  </si>
  <si>
    <t xml:space="preserve">d)      Workers leaving the building </t>
  </si>
  <si>
    <t>a)      The British  are only polite in London</t>
  </si>
  <si>
    <t xml:space="preserve">b)      The British  say please and thank you very frequently </t>
  </si>
  <si>
    <t>c)       In other places, people are rude</t>
  </si>
  <si>
    <t>d)      Politeness is part of the British nature</t>
  </si>
  <si>
    <t>a)      He is working in New Zealand</t>
  </si>
  <si>
    <t xml:space="preserve">b)      He finds life very difficult there </t>
  </si>
  <si>
    <t xml:space="preserve">c)       Some people help him </t>
  </si>
  <si>
    <t>d)      His girlfriend is Korean</t>
  </si>
  <si>
    <t>a)      Other people’s ideas helped him</t>
  </si>
  <si>
    <t>b)      He asked workers for their ideas</t>
  </si>
  <si>
    <t xml:space="preserve">c)       He was German </t>
  </si>
  <si>
    <t>d)      He moved workers around</t>
  </si>
  <si>
    <t>a)      He is not happy there</t>
  </si>
  <si>
    <t>b)      There are too many Syrians</t>
  </si>
  <si>
    <t>c)       Things are not cheap there</t>
  </si>
  <si>
    <t>d)      He and his wife have no friends</t>
  </si>
  <si>
    <t>a)      It’s OK to speak about personal matters</t>
  </si>
  <si>
    <t>b)      Talking about politics is permitted</t>
  </si>
  <si>
    <t>c)       Religion is an ideal topic</t>
  </si>
  <si>
    <t xml:space="preserve">d)      You can speak about anything you want     </t>
  </si>
  <si>
    <t>a)      On a tropical island</t>
  </si>
  <si>
    <t>b)      At university</t>
  </si>
  <si>
    <t>c)       On a camping holiday</t>
  </si>
  <si>
    <t>d)      On a last minute holiday</t>
  </si>
  <si>
    <t>a)      He has different fields of expertise.</t>
  </si>
  <si>
    <t>b)      He has worked as a doctor.</t>
  </si>
  <si>
    <t>c)       He has his own bookshop.</t>
  </si>
  <si>
    <t xml:space="preserve">d)      He is famous for his books on Africa                                                                                    </t>
  </si>
  <si>
    <t xml:space="preserve">a)      There is a new book out about Bob Marley </t>
  </si>
  <si>
    <t>b)      Bob Marley had very few children</t>
  </si>
  <si>
    <t>c)       Cidella Marley works in fashion</t>
  </si>
  <si>
    <t xml:space="preserve">d)      Cidella Marley is a backing singer </t>
  </si>
  <si>
    <t>a)      It is over-populated.</t>
  </si>
  <si>
    <t>b)      It has no shops.</t>
  </si>
  <si>
    <t>c)       It has a small town.</t>
  </si>
  <si>
    <t xml:space="preserve">d)      It is of no significance.                                                                                                               </t>
  </si>
  <si>
    <t>a)      His Dad lives in the country</t>
  </si>
  <si>
    <t>b)      Winter is boring in his Mum’s village</t>
  </si>
  <si>
    <t>c)       His Dad’s current wife is fifteen</t>
  </si>
  <si>
    <t xml:space="preserve">d)      He drives to college every day                </t>
  </si>
  <si>
    <t xml:space="preserve">a)      The Aztecs ate it </t>
  </si>
  <si>
    <t>b)      Chocolate is an English word</t>
  </si>
  <si>
    <t xml:space="preserve">c)       The English don’t drink it  </t>
  </si>
  <si>
    <t>d)      The Aztecs used it as medicine</t>
  </si>
  <si>
    <t>a)      An environmentalist.</t>
  </si>
  <si>
    <t>b)      A factory worker.</t>
  </si>
  <si>
    <t>c)       A soldier.</t>
  </si>
  <si>
    <t xml:space="preserve">d)      A political candidate                                                                                                                          </t>
  </si>
  <si>
    <t>a)      He canoed the Congo River with friends</t>
  </si>
  <si>
    <t>b)      He canoed the Congo River alone.</t>
  </si>
  <si>
    <t>c)       He did not face many dangers</t>
  </si>
  <si>
    <t xml:space="preserve">d)      The military helped him on the Congo River                                                                         </t>
  </si>
  <si>
    <t xml:space="preserve">a)      Car makers produce similar cars </t>
  </si>
  <si>
    <t>b)      Family cars are too big</t>
  </si>
  <si>
    <t>c)       Fords and Renaults are the best cars</t>
  </si>
  <si>
    <t>d)      The competitors build cars faster</t>
  </si>
  <si>
    <t>a)      The man prefers to use the phone</t>
  </si>
  <si>
    <t>b)      The man finds email more efficient</t>
  </si>
  <si>
    <t>c)       Speaking English on the phone is easy</t>
  </si>
  <si>
    <t>d)      Interesting people send him messages</t>
  </si>
  <si>
    <t>a)      It was started in 2005.</t>
  </si>
  <si>
    <t xml:space="preserve">b)      There are many similar companies </t>
  </si>
  <si>
    <t>c)       It depends on the internet.</t>
  </si>
  <si>
    <t xml:space="preserve">d)      Its success is limited                                                         </t>
  </si>
  <si>
    <t>a)      An understanding of globalization.</t>
  </si>
  <si>
    <t>b)      The 21st Century workforce.</t>
  </si>
  <si>
    <t>c)       Experience of other cultures.</t>
  </si>
  <si>
    <t xml:space="preserve">d)      Long university courses.                                                                                                   </t>
  </si>
  <si>
    <t>a)      It was unimportant at the time</t>
  </si>
  <si>
    <t>b)      It is of great historical  significance</t>
  </si>
  <si>
    <t>c)       King Harold lost the battle.</t>
  </si>
  <si>
    <t xml:space="preserve">d)      An enormous monument marks the site                                                                      </t>
  </si>
  <si>
    <t>a)      Children refused to leave their beds</t>
  </si>
  <si>
    <t>b)      The woman was fifteen when the war broke out</t>
  </si>
  <si>
    <t>c)       The Government sent men to build the air-raid shelters</t>
  </si>
  <si>
    <t>d)      Children were sent away from the cities</t>
  </si>
  <si>
    <t xml:space="preserve">a)      She sends  emails for pleasure </t>
  </si>
  <si>
    <t>b)      She doesn’t like to write letters</t>
  </si>
  <si>
    <t>c)       Her letterbox is broken</t>
  </si>
  <si>
    <t>d)      She loves receiving letters</t>
  </si>
  <si>
    <t>a)      He wants to be a celebrity</t>
  </si>
  <si>
    <t>b)      He got very good grades at school.</t>
  </si>
  <si>
    <t>c)       He is helping to set up a university.</t>
  </si>
  <si>
    <t>d)      He was a very bad student</t>
  </si>
  <si>
    <t>a)      He began performing as an adult.</t>
  </si>
  <si>
    <t>b)      His parents didn’t want him to be a singer.</t>
  </si>
  <si>
    <t>c)       He worked as a shoe salesman.</t>
  </si>
  <si>
    <t xml:space="preserve">d)      He didn’t plan to become a singer.                                                                                        </t>
  </si>
  <si>
    <t>a)      He was not dressed for the weather</t>
  </si>
  <si>
    <t xml:space="preserve">b)      He was going to meet his friends </t>
  </si>
  <si>
    <t>c)       He was walking in the dark</t>
  </si>
  <si>
    <t>d)      He had spent many winters in Alaska</t>
  </si>
  <si>
    <t>a)      Apple always check on its Chinese factories</t>
  </si>
  <si>
    <t>b)      A newspaper informed about working conditions</t>
  </si>
  <si>
    <t>c)       Workers eventually became violent</t>
  </si>
  <si>
    <t>d)      Suicide is a common reaction to the conditions</t>
  </si>
  <si>
    <t>a)      Jackson Pollock was 100 when he died</t>
  </si>
  <si>
    <t>b)      Jackson Pollock was an innovative artist</t>
  </si>
  <si>
    <t xml:space="preserve">c)       Americans always dominated the visual arts  </t>
  </si>
  <si>
    <t>d)      Jackson Pollock is not too well known</t>
  </si>
  <si>
    <t>a)      She  says there is a Hollywood formula</t>
  </si>
  <si>
    <t xml:space="preserve">b)      Her acting style has changed </t>
  </si>
  <si>
    <t xml:space="preserve">c)       She was acting when she was a child </t>
  </si>
  <si>
    <t>d)      She has won more Oscars than anyone</t>
  </si>
  <si>
    <t>a)      He loves football now</t>
  </si>
  <si>
    <t>b)      He goes to matches now with his son</t>
  </si>
  <si>
    <t>c)       He started to like football as an adult</t>
  </si>
  <si>
    <t>d)      He does one hundred things on Saturdays</t>
  </si>
  <si>
    <t>a)      He earns sufficient money as a DJ</t>
  </si>
  <si>
    <t>b)      He likes going to parties and weddings</t>
  </si>
  <si>
    <t>c)       He teaches mathematics</t>
  </si>
  <si>
    <t>d)      He was born and brought up in London</t>
  </si>
  <si>
    <t>a)      Madina Mushin does not like the ‘water bulb’</t>
  </si>
  <si>
    <t>b)      Medina’s son still can’t read at home</t>
  </si>
  <si>
    <t>c)       Madina Mushin spends more on kerosene</t>
  </si>
  <si>
    <t xml:space="preserve">d)      A cheap lighting system has been tried in Kenya </t>
  </si>
  <si>
    <t>a)      Simon is too old to look for to work</t>
  </si>
  <si>
    <t>b)      He spends all his time travelling</t>
  </si>
  <si>
    <t>c)       He thinks hotels are too costly</t>
  </si>
  <si>
    <t>d)      He works part-time for his old company</t>
  </si>
  <si>
    <t>a)      She was born in Italy</t>
  </si>
  <si>
    <t>b)      She has started a business</t>
  </si>
  <si>
    <t>c)       She does not like the local food</t>
  </si>
  <si>
    <t xml:space="preserve">d)      Her grandparents live in Italy </t>
  </si>
  <si>
    <t>a)      Prison art makes a lot of money</t>
  </si>
  <si>
    <t>b)      Prisoners receive all the money from the paintings</t>
  </si>
  <si>
    <t xml:space="preserve">c)       The artists receive some of the profits  </t>
  </si>
  <si>
    <t>d)      All of the pictures are pastoral scenes</t>
  </si>
  <si>
    <t>a)      In a grocer’s</t>
  </si>
  <si>
    <t>b)      In a train station</t>
  </si>
  <si>
    <t>c)       In a restaurant</t>
  </si>
  <si>
    <t>d)      In the street</t>
  </si>
  <si>
    <t xml:space="preserve">a)      By talking to people around him </t>
  </si>
  <si>
    <t>b)      By spending short periods abroad</t>
  </si>
  <si>
    <t>c)       By attending classes</t>
  </si>
  <si>
    <t>d)      By listening to things on CDs</t>
  </si>
  <si>
    <t>a)      Unemployment.</t>
  </si>
  <si>
    <t>b)      Harassment.</t>
  </si>
  <si>
    <t>c)       Accidents and injury.</t>
  </si>
  <si>
    <t xml:space="preserve">d)      Overtime and wages.                                                                                                     </t>
  </si>
  <si>
    <t xml:space="preserve">a)      He swam the River Thames from one side to the other </t>
  </si>
  <si>
    <t>b)      His swim began at Westminster Bridge.</t>
  </si>
  <si>
    <t xml:space="preserve">c)       His swim finished at Westminster Bridge. </t>
  </si>
  <si>
    <t xml:space="preserve">d)      He did not complete his swim.       </t>
  </si>
  <si>
    <t>a)      Digital devices</t>
  </si>
  <si>
    <t>b)      Children learning to use computers</t>
  </si>
  <si>
    <t>c)       Problems children can have with their eyes</t>
  </si>
  <si>
    <t>d)      The eye health of adults</t>
  </si>
  <si>
    <t xml:space="preserve">a)      Flight cancellations </t>
  </si>
  <si>
    <t>b)      Knowing  the time, place and amount of snow</t>
  </si>
  <si>
    <t xml:space="preserve">c)       Getting information from small areas </t>
  </si>
  <si>
    <t>d)      Low temperatures</t>
  </si>
  <si>
    <t>a)      She lived there with her family and their pet dog</t>
  </si>
  <si>
    <t>b)      She remembers the house having many stairs</t>
  </si>
  <si>
    <t>c)       She remembers the house having five different rooms</t>
  </si>
  <si>
    <t xml:space="preserve">d)      She remembers the house being painted white                                                                  </t>
  </si>
  <si>
    <t>a)      A man is asking  people  about their shopping</t>
  </si>
  <si>
    <t>b)      A man is asking  questions  about Nescafé</t>
  </si>
  <si>
    <t>c)       Fair trade coffee is cheaper than regular coffee</t>
  </si>
  <si>
    <t>d)      The  shopper  knows all about ‘fair trade’ products</t>
  </si>
  <si>
    <t>a)      Because he believes the press</t>
  </si>
  <si>
    <t>b)      Because there are lots of controls</t>
  </si>
  <si>
    <t>c)       Because he wants to be trendy</t>
  </si>
  <si>
    <t>d)      Because he likes the taste</t>
  </si>
  <si>
    <t>a)      She  is tired of travelling on public transport</t>
  </si>
  <si>
    <t>b)      She would prefer to travel round in a car</t>
  </si>
  <si>
    <t>c)       She needs a car for work</t>
  </si>
  <si>
    <t>d)      Air pollution has forced her to buy a car</t>
  </si>
  <si>
    <t>a)      The turtle escaped to a nearby island</t>
  </si>
  <si>
    <t>b)      The turtle is ill and needs treatment</t>
  </si>
  <si>
    <t>c)       Conservationists like to have an audience</t>
  </si>
  <si>
    <t>d)      The local government have cleaned up the lake</t>
  </si>
  <si>
    <t>a)      China used them in political relations</t>
  </si>
  <si>
    <t>b)      The majority live in captivity</t>
  </si>
  <si>
    <t>c)       There prefer to live in lowland areas</t>
  </si>
  <si>
    <t xml:space="preserve">d)      Their habitat is being preserved.      </t>
  </si>
  <si>
    <t>a)      He was studious.</t>
  </si>
  <si>
    <t>b)      He won awards for sport.</t>
  </si>
  <si>
    <t>c)       He graduated in 1984.</t>
  </si>
  <si>
    <t xml:space="preserve">d)      He was rejected by the NBA.                                                                                      </t>
  </si>
  <si>
    <t>a)      It causes burning eyes</t>
  </si>
  <si>
    <t>b)      People can smell it in the air</t>
  </si>
  <si>
    <t>c)       It is produced when people cook</t>
  </si>
  <si>
    <t>d)      It is a lethal gas</t>
  </si>
  <si>
    <t>a)      Technology only</t>
  </si>
  <si>
    <t>b)      Physical fitness only</t>
  </si>
  <si>
    <t>c)       Getting to the Olympics</t>
  </si>
  <si>
    <t>d)      Technology and being in good shape</t>
  </si>
  <si>
    <t>a)      He was a friend of Robinson Crusoe</t>
  </si>
  <si>
    <t>b)      He liked King James the Second</t>
  </si>
  <si>
    <t>c)       He had no head for business</t>
  </si>
  <si>
    <t>d)      He was an enterprising young man</t>
  </si>
  <si>
    <t>a)      Energy is being talked about too much</t>
  </si>
  <si>
    <t>b)      You can take steps to stop your house from losing heat</t>
  </si>
  <si>
    <t>c)       You will save energy by checking your heating bills</t>
  </si>
  <si>
    <t>d)      You need efficient people in your home</t>
  </si>
  <si>
    <t>a)      Make tea when a child is born</t>
  </si>
  <si>
    <t>b)      Plant a tree on the birth of a child</t>
  </si>
  <si>
    <t>c)       Make  children  look after  trees</t>
  </si>
  <si>
    <t>d)      Accept a tree as a member of the family</t>
  </si>
  <si>
    <t>a)      Times are hard so there are no donations</t>
  </si>
  <si>
    <t>b)      The Fund has enough money with this $12m donation</t>
  </si>
  <si>
    <t>c)       The Global needs more money to fight diseases</t>
  </si>
  <si>
    <t>d)      The Global fund regularly receives donations of $12m</t>
  </si>
  <si>
    <t>a)      It is not an expensive place to use a car</t>
  </si>
  <si>
    <t>b)      It has an efficient railway system</t>
  </si>
  <si>
    <t>c)       Its transport problems are being resolved</t>
  </si>
  <si>
    <t>d)      Travelling by train is very expensive</t>
  </si>
  <si>
    <t>a)      His grandfather was Hungarian</t>
  </si>
  <si>
    <t>b)      His grandfather is living in Dover</t>
  </si>
  <si>
    <t>c)       His watch is  twenty-one years old</t>
  </si>
  <si>
    <t>d)      He’s got very little money in his pocket</t>
  </si>
  <si>
    <t>a)      There has been real progress in Egypt in the last year</t>
  </si>
  <si>
    <t xml:space="preserve">b)      Protests have broken out again in Tunisia </t>
  </si>
  <si>
    <t>c)       Egyptians still do not have political and economic freedom</t>
  </si>
  <si>
    <t>d)      Egypt is partially free</t>
  </si>
  <si>
    <t>a)      It is difficult for computers to identify faces</t>
  </si>
  <si>
    <t>b)      Privacy will not be affected by facial recognition</t>
  </si>
  <si>
    <t>c)       Facial recognition programmes are not useful for the police</t>
  </si>
  <si>
    <t>d)      Social networks use facial recognition software</t>
  </si>
  <si>
    <t>a)      The Russians invaded California In 1768</t>
  </si>
  <si>
    <t>b)      Spain had plenty of  people in California</t>
  </si>
  <si>
    <t>c)      The Spanish King was afraid he would lose California</t>
  </si>
  <si>
    <t>d)      Russian settlers were taking over California</t>
  </si>
  <si>
    <t>a)      It is caused by the sun.</t>
  </si>
  <si>
    <t>b)      The atmosphere is warmed by trapped greenhouse gasses.</t>
  </si>
  <si>
    <t>c)       The greenhouse gasses cause some radiation to return to the earth.</t>
  </si>
  <si>
    <t xml:space="preserve">d)      The radiation is caused by trapped greenhouse gasses.      </t>
  </si>
  <si>
    <t>a)      Its water shortage has led to tribal feuds.</t>
  </si>
  <si>
    <t>b)      20 other countries have a greater water shortage than Yemen.</t>
  </si>
  <si>
    <t>c)       The population is working to resolve the water shortage.</t>
  </si>
  <si>
    <t xml:space="preserve">d)      Yemen has the most acute water shortage in the region.                                          </t>
  </si>
  <si>
    <t>a)      She loves to have the latest technology</t>
  </si>
  <si>
    <t>b)      She left her mobile phone in a bar</t>
  </si>
  <si>
    <t>c)       She does not buy the latest gadgets</t>
  </si>
  <si>
    <t>d)      Her smart phone only does two things</t>
  </si>
  <si>
    <t>a)      Japan has the best construction standards in the world</t>
  </si>
  <si>
    <t>b)      Japan is capable of dealing with any kind of natural disaster</t>
  </si>
  <si>
    <t>c)       Japan has had the top five earthquakes in history</t>
  </si>
  <si>
    <t>d)      In developing countries buildings are required to be strong</t>
  </si>
  <si>
    <t>a)      It is difficult to define</t>
  </si>
  <si>
    <t>b)      All geniuses lived in the past</t>
  </si>
  <si>
    <t>c)       ‘Genius’ meant the same in Roman times as today</t>
  </si>
  <si>
    <t>d)      ‘Genius’ had a different meaning in the 18th Century</t>
  </si>
  <si>
    <t>a)      British medicine  has a good reputation in India</t>
  </si>
  <si>
    <t>b)      Rajan went back to India after five years</t>
  </si>
  <si>
    <t>c)       Rajan  was an experienced doctor when he arrived in Britain</t>
  </si>
  <si>
    <t>d)      The post-graduate course in the UK was inadequate</t>
  </si>
  <si>
    <t>a)      Rachel’s company makes children’s shoes</t>
  </si>
  <si>
    <t xml:space="preserve">b)      The company has increased its sales </t>
  </si>
  <si>
    <t>c)       Foreign companies have imitated her products</t>
  </si>
  <si>
    <t>d)      She would like to manufacture abroad</t>
  </si>
  <si>
    <t>a)      He hates the public transport system</t>
  </si>
  <si>
    <t xml:space="preserve">b)      He can observe things </t>
  </si>
  <si>
    <t>c)       He can avoid road works</t>
  </si>
  <si>
    <t>d)      He’s a door-to-door salesman</t>
  </si>
  <si>
    <t>a)      That their family has a lot of money</t>
  </si>
  <si>
    <t>b)      That they can buy what they want</t>
  </si>
  <si>
    <t>c)       How to manage a small amount of money</t>
  </si>
  <si>
    <t>d)      That if they lose it their parents will not give them any more</t>
  </si>
  <si>
    <t>a)      He wanted to be the first man to go into space</t>
  </si>
  <si>
    <t>b)      He is going to space in a big rocket</t>
  </si>
  <si>
    <t>c)       A friend gave him the chance to travel into space</t>
  </si>
  <si>
    <t>d)      He is  worried about the trip</t>
  </si>
  <si>
    <t>a)      Withdraw all the troops at once</t>
  </si>
  <si>
    <t>b)      Wait till the end of the summer to bring all the troops home</t>
  </si>
  <si>
    <t xml:space="preserve">c)       Gradually give military responsibility to the Afghans </t>
  </si>
  <si>
    <t xml:space="preserve">d)      Consult with the Afghans about withdrawing the troops </t>
  </si>
  <si>
    <t>a)      He already held a certificate in football management</t>
  </si>
  <si>
    <t>b)      His life as a professional footballer</t>
  </si>
  <si>
    <t>c)       Playing for Manchester United</t>
  </si>
  <si>
    <t xml:space="preserve">d)      His experience of being a coach       </t>
  </si>
  <si>
    <t>a)      Being rejected by the RAF</t>
  </si>
  <si>
    <t>b)      Making hang gliders</t>
  </si>
  <si>
    <t>c)       Leaping from a height using elastic cord</t>
  </si>
  <si>
    <t>d)      Recovering from colour blindness</t>
  </si>
  <si>
    <t>a)      It runs local volunteer schemes.</t>
  </si>
  <si>
    <t>b)      It spends a lot of its funds on advertising.</t>
  </si>
  <si>
    <t>c)       It has only recently begun operation</t>
  </si>
  <si>
    <t xml:space="preserve">d)      People find out about it through friends and acquaintances.  </t>
  </si>
  <si>
    <t>a)      She is horrified by them.</t>
  </si>
  <si>
    <t>b)      She has mixed feelings about them</t>
  </si>
  <si>
    <t>c)       She thinks they are unnecessary.</t>
  </si>
  <si>
    <t xml:space="preserve">d)      She thinks they are dangerous to society.         </t>
  </si>
  <si>
    <t>a)      His name always figured in the title of the movie</t>
  </si>
  <si>
    <t>b)      He concentrated on romantic westerns</t>
  </si>
  <si>
    <t>c)       He was a good actor himself</t>
  </si>
  <si>
    <t>d)      In film-making, his name was a stamp of quality</t>
  </si>
  <si>
    <t>13304139</t>
  </si>
  <si>
    <t>50092021</t>
  </si>
  <si>
    <t>03469246</t>
  </si>
  <si>
    <t>12379098</t>
  </si>
  <si>
    <t>30498869</t>
  </si>
  <si>
    <t>30806026</t>
  </si>
  <si>
    <t>22546098</t>
  </si>
  <si>
    <t>51075280</t>
  </si>
  <si>
    <t>31234018</t>
  </si>
  <si>
    <t>06568918</t>
  </si>
  <si>
    <t>12758488</t>
  </si>
  <si>
    <t>50701152</t>
  </si>
  <si>
    <t>52683894</t>
  </si>
  <si>
    <t>24167228</t>
  </si>
  <si>
    <t>52493903</t>
  </si>
  <si>
    <t>50416386</t>
  </si>
  <si>
    <t>22988923</t>
  </si>
  <si>
    <t>02902556</t>
  </si>
  <si>
    <t>50189566</t>
  </si>
  <si>
    <t>51684560</t>
  </si>
  <si>
    <t>CTE. JUARROS LAFUENTE, BERNARDINO</t>
  </si>
  <si>
    <t>CTE. GOMEZ RAMOS, ANTONIO VICTORIANO</t>
  </si>
  <si>
    <t>CTE. PEREZ DE LUCAS, CESAR</t>
  </si>
  <si>
    <t>SGT1º. GATON MIGUELSANZ, RAUL</t>
  </si>
  <si>
    <t>TCOL. CORPAS RUIZ, ANTONIO</t>
  </si>
  <si>
    <t>CTE. GARCES MENDUIÑA, JOSE MIGUEL</t>
  </si>
  <si>
    <t>TCOL. GUASCH AGUILAR, MARIANO</t>
  </si>
  <si>
    <t>CTE. HERRANZ SANZ, JAVIER</t>
  </si>
  <si>
    <t>CTE. SAN SEGUNDO CAMPO, MIGUEL ANGEL</t>
  </si>
  <si>
    <t>CTE. VALCAZAR ALONSO, CESAR</t>
  </si>
  <si>
    <t>CTE. MARTIN HERRERA, RAUL</t>
  </si>
  <si>
    <t>CTE. MUÑIZ BASCUAS, JOSE DANIEL</t>
  </si>
  <si>
    <t>CTE. NIEVAS GUTIERREZ, JOSE MIGUEL</t>
  </si>
  <si>
    <t>CTE. SANTE ABAL, MANUEL</t>
  </si>
  <si>
    <t>TCOL. DE LUCAS LOBO, RAFAEL</t>
  </si>
  <si>
    <t>CTE. GARCIA SERON, PEDRO JOSE</t>
  </si>
  <si>
    <t>CTE. MARQUEZ DE LA CALLEJA, FERNANDO</t>
  </si>
  <si>
    <t>SGT1º. MORENO HERRANZ, DANIEL</t>
  </si>
  <si>
    <t>CTE. RIVAS CASTEL, DANIEL</t>
  </si>
  <si>
    <t>JAVIER CANDAU ROMERO</t>
  </si>
  <si>
    <t>TCOL. MORENO SANTOS, MANUEL</t>
  </si>
  <si>
    <t>STTE. D. JUAN FERNANDO SILVA MARTINEZ</t>
  </si>
  <si>
    <t>STTE. D. RAMON JIMENEZ HUESO</t>
  </si>
  <si>
    <t>STTE. D. ANDRES CARDEÑOSA RIVERO</t>
  </si>
  <si>
    <t>STTE. D. JUAN LUIS BERENGUER DE DIEGO</t>
  </si>
  <si>
    <t>STTE. D. JUAN JOSE INES DE DIEGO</t>
  </si>
  <si>
    <t>STTE. D. JOSE CAROLLO RAÑA</t>
  </si>
  <si>
    <t>STTE. D. ANGEL GALVEZ URREA</t>
  </si>
  <si>
    <t>BG. D. FRANCISCO JAVIER MARTINEZ GONZALEZ</t>
  </si>
  <si>
    <t>BG. D. SANTIAGO A. SERRANO DIAZ</t>
  </si>
  <si>
    <t>BG. D. JUAN VALLEJO RUIZ</t>
  </si>
  <si>
    <t>BG. D. PEDRO JOSE MANCHEÑO CARPINTERO</t>
  </si>
  <si>
    <t>BG. D. JESUS ANGEL MUÑOZ ZAPATA</t>
  </si>
  <si>
    <t>BG. D. JAIME SANCHEZ ALONSO</t>
  </si>
  <si>
    <t>BG. D. JOSE ANTONIO CHAVES ARIZA</t>
  </si>
  <si>
    <t>BG. D. AURELIO SALVADOR LUJAN</t>
  </si>
  <si>
    <t>BG. D. LUIS ANTONIO GOMEZ LOPEZ</t>
  </si>
  <si>
    <t>BG. D. FRANCISCO JAVIER AVELLANEDA GARCIA</t>
  </si>
  <si>
    <t>BG. D. MANUEL RUIZ FERNANDEZ</t>
  </si>
  <si>
    <t>SGTO 1º. D. SANTIAGO CRESPO GUTIERREZ</t>
  </si>
  <si>
    <t>SGTO 1º. D. ANTONIO CUADRADO TOLEDO</t>
  </si>
  <si>
    <t>SGTO 1º. D. ALONSO ANTONIO MORENO ALMAGRO</t>
  </si>
  <si>
    <t>SGTO 1º. D. FRANCISCO DIAZ ARRIERO</t>
  </si>
  <si>
    <t>SGTO 1º. D. VALENTIN RODOLFO SANTAMARIA GALEA</t>
  </si>
  <si>
    <t>SGTO 1º. D. FRANCISCO MANUEL VILLA MATEO</t>
  </si>
  <si>
    <t>SGTO 1º. D. LUIS UCETA GARCIA</t>
  </si>
  <si>
    <t>SGTO 1º. D. ENRIQUE SANCHO DEL BARRIO</t>
  </si>
  <si>
    <t>SGTO 1º. D. JOSE Mª HERNANDEZ ALDEHUELO</t>
  </si>
  <si>
    <t>SGTO 1º. D. JUAN CARLOS GONZALEZ VAZQUEZ</t>
  </si>
  <si>
    <t>SGTO 1º. D. JOSE PIGUEIRAS FERNANDEZ</t>
  </si>
  <si>
    <t>SGTO 1º. D. JOSE ROMERO TORRENTE</t>
  </si>
  <si>
    <t>SGTO 1º. D. FRANCISCO HUERTA ESTRUGA</t>
  </si>
  <si>
    <t>SGTO 1º. D. BENJAMIN CANTILLO MORENO</t>
  </si>
  <si>
    <t>SGTO 1º. D. RAFAEL BAENA LOPEZ</t>
  </si>
  <si>
    <t>SGTO 1º. D. MANUEL BARANGUA AZNAR</t>
  </si>
  <si>
    <t>SGTO 1º. D. J IGNACIO SANCHEZ DE VENA</t>
  </si>
  <si>
    <t>SGTO 1º. D. JUAN A GUTIERREZ SOBRADO</t>
  </si>
  <si>
    <t>SGTO 1º. D. ALBERTO COLOMO LOECHES</t>
  </si>
  <si>
    <t>SGTO 1º. D. JOSE PINO CAMACHO</t>
  </si>
  <si>
    <t>SGTO 1º. D. EDUARDO JOSE ALVAREZ MONTES</t>
  </si>
  <si>
    <t>SGTO 1º. D. SERGIO CALZADO PEREZ</t>
  </si>
  <si>
    <t>SGTO 1º. D. JUAN ANTONIO GALLEGO RUIZ</t>
  </si>
  <si>
    <t>SGTO 1º. D. MARCO ANTONIO ANTUNEZ DIAZ</t>
  </si>
  <si>
    <t>SGTO 1º. D. JOAQUIN MIGUEL MIRANDA MARTINEZ</t>
  </si>
  <si>
    <t>SGTO 1º. D. DAVID MARTINEZ HERNANDEZ</t>
  </si>
  <si>
    <t>SGTO 1º. D. DAVID VICENTE BARROSO</t>
  </si>
  <si>
    <t>SGTO. D. MANUEL SAEZ CORCHERO</t>
  </si>
  <si>
    <t>SGTO. D. PEDRO MARTIN DE ARCO</t>
  </si>
  <si>
    <t>SGTO. D. CARLOS TERRIZA TORRES</t>
  </si>
  <si>
    <t>08797742</t>
  </si>
  <si>
    <t>27264940</t>
  </si>
  <si>
    <t>01107556</t>
  </si>
  <si>
    <t>00804792</t>
  </si>
  <si>
    <t>14594214</t>
  </si>
  <si>
    <t>30552550</t>
  </si>
  <si>
    <t>05170310</t>
  </si>
  <si>
    <t>50042602</t>
  </si>
  <si>
    <t>25073773</t>
  </si>
  <si>
    <t>52542807</t>
  </si>
  <si>
    <t>05385260</t>
  </si>
  <si>
    <t>50164553</t>
  </si>
  <si>
    <t>11772183</t>
  </si>
  <si>
    <t>25069497</t>
  </si>
  <si>
    <t>04578156</t>
  </si>
  <si>
    <t>32767933</t>
  </si>
  <si>
    <t>45274051</t>
  </si>
  <si>
    <t>07521230</t>
  </si>
  <si>
    <t>31254450</t>
  </si>
  <si>
    <t>45283372</t>
  </si>
  <si>
    <t>52816995</t>
  </si>
  <si>
    <t>04194064</t>
  </si>
  <si>
    <t xml:space="preserve"> 50454111</t>
  </si>
  <si>
    <t>52693767</t>
  </si>
  <si>
    <t>52501920</t>
  </si>
  <si>
    <t>13786571</t>
  </si>
  <si>
    <t>02898566</t>
  </si>
  <si>
    <t>16300776</t>
  </si>
  <si>
    <t>33996143</t>
  </si>
  <si>
    <t>32662507</t>
  </si>
  <si>
    <t>03861914</t>
  </si>
  <si>
    <t>52468216</t>
  </si>
  <si>
    <t>31864651</t>
  </si>
  <si>
    <t>34857955</t>
  </si>
  <si>
    <t>13153854</t>
  </si>
  <si>
    <t>28952241</t>
  </si>
  <si>
    <t xml:space="preserve"> 08998551</t>
  </si>
  <si>
    <t>25587217</t>
  </si>
  <si>
    <t>11427316</t>
  </si>
  <si>
    <t>09804963</t>
  </si>
  <si>
    <t>80063549</t>
  </si>
  <si>
    <t>28758203</t>
  </si>
  <si>
    <t>34859515</t>
  </si>
  <si>
    <t>30835741</t>
  </si>
  <si>
    <t>12388692</t>
  </si>
  <si>
    <t>08878219</t>
  </si>
  <si>
    <t>45300855</t>
  </si>
  <si>
    <t>05699503</t>
  </si>
  <si>
    <t>a)    It has been unsuccessful</t>
  </si>
  <si>
    <t>b)    It has been practiced in France for a long time</t>
  </si>
  <si>
    <t>c)    Old people and children do activities together</t>
  </si>
  <si>
    <t>d)    The nursery is in a separate building</t>
  </si>
  <si>
    <t>a)    They lost their map</t>
  </si>
  <si>
    <t>b)    They  missed their train</t>
  </si>
  <si>
    <t xml:space="preserve">c)    They took the road in the opposite direction </t>
  </si>
  <si>
    <t>d)    They went ten miles in the opposite direction</t>
  </si>
  <si>
    <t>a)    The hosting of special events</t>
  </si>
  <si>
    <t>b)    Using public transport</t>
  </si>
  <si>
    <t xml:space="preserve">c)    Cars which have different engines </t>
  </si>
  <si>
    <t>d)    Running</t>
  </si>
  <si>
    <t>a)    She kills it immediately</t>
  </si>
  <si>
    <t>b)    She says yuck and carries on with her work</t>
  </si>
  <si>
    <t>c)    She tries not to kill it and puts it outside</t>
  </si>
  <si>
    <t>d)    She’s too afraid to do anything</t>
  </si>
  <si>
    <t>a)    Scotland is too expensive</t>
  </si>
  <si>
    <t xml:space="preserve">b)    His friend was injured in an accident </t>
  </si>
  <si>
    <t>c)    His bike was damaged in an accident</t>
  </si>
  <si>
    <t>d)    He is indecisive</t>
  </si>
  <si>
    <t>a)    He stayed in hospital for a short time</t>
  </si>
  <si>
    <t>b)    His parents took him home</t>
  </si>
  <si>
    <t>c)    The workers put him back on the ride</t>
  </si>
  <si>
    <t>d)    He was interviewed on television</t>
  </si>
  <si>
    <t>a)    They leave them in a morgue</t>
  </si>
  <si>
    <t>b)    They cremate them</t>
  </si>
  <si>
    <t>c)    They bury them in the ground</t>
  </si>
  <si>
    <t xml:space="preserve">d)    They are left to accumulate </t>
  </si>
  <si>
    <t>a)    A conversation with a shop assistant</t>
  </si>
  <si>
    <t>b)    A day at the sales</t>
  </si>
  <si>
    <t>c)    How he bought the shirt he’s wearing</t>
  </si>
  <si>
    <t>d)    A present he bought for his wife</t>
  </si>
  <si>
    <t>a)    It is responsible for most  deaths in the United States</t>
  </si>
  <si>
    <t>b)    It affects you after the age of 25</t>
  </si>
  <si>
    <t>c)    Diseases caused by smoking are being reduced</t>
  </si>
  <si>
    <t>d)    Many pregnant women refuse to give up smoking</t>
  </si>
  <si>
    <t xml:space="preserve">a)    He was taken away from his family  </t>
  </si>
  <si>
    <t xml:space="preserve">b)    It was his first time on a train </t>
  </si>
  <si>
    <t xml:space="preserve">c)    He wasn’t allowed on trains in Nazi Germany </t>
  </si>
  <si>
    <t>d)    His grandmother was crying</t>
  </si>
  <si>
    <t>a)    They should learn more about earthquakes</t>
  </si>
  <si>
    <t>b)    They should prepare for a hurricane</t>
  </si>
  <si>
    <t xml:space="preserve">c)    They should have emergency supplies at home </t>
  </si>
  <si>
    <t>d)    They should stay at home</t>
  </si>
  <si>
    <t>a)    Its economic growth is steadily declining</t>
  </si>
  <si>
    <t>b)    Its economic growth has exceeded that of developed countries</t>
  </si>
  <si>
    <t xml:space="preserve">c)    Few Asian billionaires are Indian </t>
  </si>
  <si>
    <t xml:space="preserve">d)    It is the most heavily populated country in the world        </t>
  </si>
  <si>
    <t>a)    It is cheap</t>
  </si>
  <si>
    <t>b)    People prefer to shop online</t>
  </si>
  <si>
    <t>c)    It is government-run</t>
  </si>
  <si>
    <t>d)    It allows people to speak openly</t>
  </si>
  <si>
    <t>a)    They interact with local people</t>
  </si>
  <si>
    <t>b)    They usually travel in large groups</t>
  </si>
  <si>
    <t>c)    They do voluntary work</t>
  </si>
  <si>
    <t>d)    They are responsible for developing projects</t>
  </si>
  <si>
    <t>a)    You can swim in it</t>
  </si>
  <si>
    <t>b)    It comes from cold springs</t>
  </si>
  <si>
    <t>c)    You shouldn’t drink it</t>
  </si>
  <si>
    <t xml:space="preserve">d)    It tastes awful </t>
  </si>
  <si>
    <t>a)    It requires good quality soil to grow</t>
  </si>
  <si>
    <t>b)     The seeds need to be transplanted</t>
  </si>
  <si>
    <t>c)    It can be planted directly into the field</t>
  </si>
  <si>
    <t>d)    The seeds are quite large</t>
  </si>
  <si>
    <t>a)    Edinburgh  is the shopping capital of Scotland</t>
  </si>
  <si>
    <t>b)    Glasgow is the real capital of Scotland</t>
  </si>
  <si>
    <t>c)    Everyone wants to visit Glasgow</t>
  </si>
  <si>
    <t>d)    Glasgow is the largest city in Scotland</t>
  </si>
  <si>
    <t>a)    St. Valentine never existed.</t>
  </si>
  <si>
    <t>b)    St. Valentine was a Roman.</t>
  </si>
  <si>
    <t>c)    St. Valentine was a temple priest.</t>
  </si>
  <si>
    <t xml:space="preserve">d)    St. Valentine definitely existed.                                                                              </t>
  </si>
  <si>
    <t>a)    All kinds of allergies are becoming more common.</t>
  </si>
  <si>
    <t>b)    They are starting to decrease.</t>
  </si>
  <si>
    <t>c)    They are more common in boys than girls.</t>
  </si>
  <si>
    <t>d)    Only certain kinds of allergies are increasing.</t>
  </si>
  <si>
    <t>a)    He couldn’t find the  elephant.</t>
  </si>
  <si>
    <t>b)    His grandmother sold the elephant.</t>
  </si>
  <si>
    <t>c)    His grandmother gave  the elephant to his sister</t>
  </si>
  <si>
    <t>d)    His sister refused to speak to him again</t>
  </si>
  <si>
    <t xml:space="preserve">a)    It made you feel good </t>
  </si>
  <si>
    <t>b)    It made you sad</t>
  </si>
  <si>
    <t>c)    It was impossible to listen to</t>
  </si>
  <si>
    <t>d)    It was religious</t>
  </si>
  <si>
    <t>a)    Some pieces were made specifically for Europeans</t>
  </si>
  <si>
    <t>b)    You had to travel to China to get some for your house</t>
  </si>
  <si>
    <t>c)    The English were indifferent to it</t>
  </si>
  <si>
    <t>d)     Chinese artisans came to London to sell their work</t>
  </si>
  <si>
    <t>a)    They are a completely new trend in exercise</t>
  </si>
  <si>
    <t xml:space="preserve">b)    Too many people run marathons </t>
  </si>
  <si>
    <t>c)    The number of runners was down last year</t>
  </si>
  <si>
    <t>d)    They are becoming increasingly popular in the US</t>
  </si>
  <si>
    <t>a)    It will not be used after the tsunami</t>
  </si>
  <si>
    <t>b)    It will continue to be a main energy source</t>
  </si>
  <si>
    <t>c)    9,000 people died because of it</t>
  </si>
  <si>
    <t>d)    Its cooling systems are dangerous</t>
  </si>
  <si>
    <t>a)    He feels that his boss doesn’t trust him.</t>
  </si>
  <si>
    <t>b)    He feels that his colleagues are lazy.</t>
  </si>
  <si>
    <t>c)    He doesn’t have enough time to meet the Friday deadline.</t>
  </si>
  <si>
    <t xml:space="preserve">d)    He feels that his boss gives him too much to do.  </t>
  </si>
  <si>
    <t>a)    Being a housewife</t>
  </si>
  <si>
    <t>b)    Having a political position in Nicaragua</t>
  </si>
  <si>
    <t xml:space="preserve">c)    Living under a dictatorship </t>
  </si>
  <si>
    <t>d)    Working in a convent</t>
  </si>
  <si>
    <t xml:space="preserve">a)    He was considered mentally unstable </t>
  </si>
  <si>
    <t>b)    He became Emperor of the United States</t>
  </si>
  <si>
    <t>c)    He was a citizen of Mexico</t>
  </si>
  <si>
    <t>d)    San Francisco citizens disliked him</t>
  </si>
  <si>
    <t>a)    The man is unable to meet his deadline</t>
  </si>
  <si>
    <t>b)    There is plenty of time to finish the project</t>
  </si>
  <si>
    <t>c)    The woman does not mind a short delay</t>
  </si>
  <si>
    <t>d)    The man has been running around for a week</t>
  </si>
  <si>
    <t>a)    Poor memory and thinking ability</t>
  </si>
  <si>
    <t>b)    Feeling twenty when you are fifty</t>
  </si>
  <si>
    <t>c)    Mental impairment at fifty</t>
  </si>
  <si>
    <t>d)    Ending up with dementia in Finland</t>
  </si>
  <si>
    <t>a)    In the past people dressed up as monsters</t>
  </si>
  <si>
    <t>b)    An old custom is now a children’s game</t>
  </si>
  <si>
    <t>c)    Witches and monsters ask for sweets</t>
  </si>
  <si>
    <t xml:space="preserve">d)    Children trick neighbors to get money  </t>
  </si>
  <si>
    <t>e)    He was a door-to-door salesman</t>
  </si>
  <si>
    <t>f)     He loved to read  encyclopedia</t>
  </si>
  <si>
    <t>g)    He was bored with general knowledge</t>
  </si>
  <si>
    <t>h)    He discovered Wikipedia in his childhood</t>
  </si>
  <si>
    <t>i)      The man is taking an order for a new bed</t>
  </si>
  <si>
    <t xml:space="preserve">j)      The woman doesn’t want the old bed to be taken away </t>
  </si>
  <si>
    <t>k)    Removal of the old bed will cost money</t>
  </si>
  <si>
    <t>l)      Removal of the old bed is free of charge</t>
  </si>
  <si>
    <t>a)    Screen resolution</t>
  </si>
  <si>
    <t>b)    It’s thinner than the old one</t>
  </si>
  <si>
    <t>c)    It permits you to skype</t>
  </si>
  <si>
    <t>d)    The hardware is very different</t>
  </si>
  <si>
    <t>a)    The two friends can’t decide where to have lunch</t>
  </si>
  <si>
    <t>b)    The woman is not very enthusiastic about doing exercise</t>
  </si>
  <si>
    <t xml:space="preserve">c)    The two friends disagree about the  warm-up </t>
  </si>
  <si>
    <t>d)    The man says it is important to begin slowly</t>
  </si>
  <si>
    <t>a)    To find out how many people had accidents in 1999.</t>
  </si>
  <si>
    <t>b)    To find out causes of accidents in England</t>
  </si>
  <si>
    <t xml:space="preserve">c)    To find out in which part of England most accidents occur. </t>
  </si>
  <si>
    <t>d)    To find out how many people have accidents with chainsaws</t>
  </si>
  <si>
    <t>a)    It has two more missions to fly</t>
  </si>
  <si>
    <t>b)    The spaceship is quite small</t>
  </si>
  <si>
    <t xml:space="preserve">c)    Discovery will not be used in space again </t>
  </si>
  <si>
    <t>d)    It’s first flight was in nineteen thirty-nine</t>
  </si>
  <si>
    <t>a)    An advice leaflet</t>
  </si>
  <si>
    <t>b)    Exercise</t>
  </si>
  <si>
    <t>c)    Losing weight</t>
  </si>
  <si>
    <t>d)    Getting rid of depression</t>
  </si>
  <si>
    <t>a)    Valentine’s Day was first celebrated in America</t>
  </si>
  <si>
    <t>b)    Valentine’s Day was celebrated by the upper class</t>
  </si>
  <si>
    <t>c)    Printed cards enabled people to express their feelings</t>
  </si>
  <si>
    <t xml:space="preserve">d)    Hand-written letters remained more popular than printed cards                       </t>
  </si>
  <si>
    <t>a)    He collected coins</t>
  </si>
  <si>
    <t>b)    He was one of a long line of rulers</t>
  </si>
  <si>
    <t>c)    He was too young to take power</t>
  </si>
  <si>
    <t>d)    The advisors gave him a sports car</t>
  </si>
  <si>
    <t>a)    What their troops are doing in Afghanistan</t>
  </si>
  <si>
    <t>b)    How many Canadian soldiers are in Afghanistan</t>
  </si>
  <si>
    <t xml:space="preserve">c)    How many prisoners have been handed over to Afghan authorities </t>
  </si>
  <si>
    <t>d)    Government response to their troops endangered in Afghanistan</t>
  </si>
  <si>
    <t>EXAMEN 103R-3</t>
  </si>
  <si>
    <t>&lt;b&gt;B.B.C. News. &lt;/b&gt;&lt;br&gt;An Australian man is recovering in hospital after fighting off a 4m saltwater crocodile that tried to drag him into a creek. Police said Todd Bairstow was fishing at the creek at Weipa, northern Queensland, when the reptile lunged. The 28-year-old miner punched and kicked the crocodile, while at the same time clinging on to mangrove branches and screaming for help. His cries were heard by a fisherman in a nearby pub who came to his rescue. Local resort manager Greg Shean said the rescuer hit the crocodile with a tree branch until it let go and disappeared into the water.</t>
  </si>
  <si>
    <t>&lt;b&gt;First News. &lt;/b&gt;&lt;br&gt;Researchers in Australia have found that male koalas “shout” when they want to attract a girlfriend. A team of scientists have studied a group of koalas on an island in Queensland for  the last ten years. They witnessed male koalas making a loud “bellowing” noise when they were trying to attract a female. Koalas are mostly thought of as quiet, gentle animals so lots of people have been surprised by the results of the study.</t>
  </si>
  <si>
    <t>&lt;b&gt;James Melik. &lt;/b&gt;&lt;br&gt;The European Union (EU) is co-funding a $2.8m publicity campaign to convince UK residents that organic food is good. According to the industry body, the Organic Trade Board (OTB), the aim is to democratize organic foods and make people aware of their benefits. In other words, the OTB wants people to buy more organic produce. The board will be running advertising campaigns for nine months of the year over the next three years, entitled: ‘Why I Love Organic’. They want to put across the message that there is nothing elitist about organic food and to highlight what they consider to be the advantages, both to a person’s health and to the environment.</t>
  </si>
  <si>
    <t>&lt;b&gt;First News. &lt;/b&gt;&lt;br&gt;There has been another landslide; this time in Bolivia. Locals are recovering belongings in the southern Valle de Las Flores area, in La Paz, following landslides caused by heavy rains affecting the region. Over 4,000 people were evacuated and some 400 houses have been devastated by the landslides in the ‘biggest disaster’ in the Bolivian capital according to authorities. Luckily, officials had evacuated the area first. Landslides are common on the steep slopes of the city, but this has been described as one of the city’s worst. No-one died, although five people were killed nearby when a river swept a minibus away.</t>
  </si>
  <si>
    <t>&lt;b&gt;CBBC Newsround. &lt;/b&gt;&lt;br&gt;Sony has revealed its new PSP handheld games console at a big event in Japan. It’s called the NGP, which stands for Next Generation Portable, and is expected to be out by Christmas 2011.The new gadget has a touch screen, a front and back camera as well as WI-FI and 3G. Makers are hoping it will be stiff competition for gaming on smart phones and the next big release by Nintendo - the 3Ds. The original PSP was launched in 2004 and Sony has sold 65 million of them around the world. But they are trailing behind Nintendo’s DS which has sold more than twice that number. Nintendo’s 3DS is the world’s first 3D handheld games console and is being launched in March.</t>
  </si>
  <si>
    <t>&lt;b&gt;First News. &lt;/b&gt;&lt;br&gt;The number of wild rhinos in South Africa killed by poachers in 2010 is at an all-time high, according to figures released by the WWF this week. There were 333 illegal rhino deaths in South Africa last year. Ten of those were black rhinos that are critically endangered. The numbers were collected by national park officials. They show the number of rhinos being killed has tripled since 2009. The world famous Kruger National Park, a popular destination for tourists on safari, was the hardest hit with almost half of the rhinos killed there.</t>
  </si>
  <si>
    <t>&lt;b&gt;First News. &lt;/b&gt;&lt;br&gt;British scientists have developed an airport scanner that can tell the difference between water and liquid explosives. The security scanners have been approved by the EU and can be used at European airports now. It is hoped that the X-ray machines will be in place by April 2011, which could mean that travelers will be able to take drinks on board planes again.                                                                                    The scanners will be able to tell what is in the bottles and whether the ingredients have been tampered with. The liquid ban has been in place for travelers since August 2006 when authorities uncovered terrorist plans which involved explosives being carried onto planes in drink bottles.</t>
  </si>
  <si>
    <t xml:space="preserve">&lt;b&gt;First News.&lt;/b&gt;&lt;br&gt;An 82-year-old woman’s life was saved when pizza delivery workers noticed that she hadn’t placed her usual order. 82-year-old Jean Wilson ordered a thin-crust pepperoni pizza and two diet cokes from Domino’s pizza every day. So when three days went by without her usual call, the employees knew something was wrong. After a whole weekend went by without a take away order, Domino’s employee Susan Guy decided to check that Jean Wilson was ok. When she arrived she found Jean had fallen over a few days earlier and was unable to get up. An ambulance was called and Jean was taken to hospital. </t>
  </si>
  <si>
    <t>&lt;b&gt;First News.&lt;/b&gt;&lt;br&gt;More money will be given by Britain to the world’s poorest people over the next four years, after the results of a review ordered by the International Development Secretary Andrew Mitchell. British aid will be stopped to 16 countries after the review showed that they are no longer considered to be in poverty. India will continue to receive 280 million pounds a year for the next four years. Other countries that will benefit from the U.K.’s aid include Yemen and Somalia, which will help the countries crack down on terrorism. The aid money is one of the few budgets that is not being affected by Government cuts.</t>
  </si>
  <si>
    <t xml:space="preserve">&lt;b&gt;The Guardian.&lt;/b&gt;&lt;br&gt;The prime minister of Burma’s outgoing military government has been appointed as president, handing a key junta member the top job in the post-election administration. Thein Sein, 65, is the country’s first civilian president after nearly 50 years of military rule. His appointment by parliament is the latest step in Burma’s self-declared transition to democracy after elections in November. Critics have condemned the process as a sham aimed at cementing military rule. The military’s delegates in parliament and their civilian allies hold an 80% majority in the new legislature, which chose the president from a pool of three vice-presidents named yesterday. Thein Sein is the most prominent of the three and was seen as a shoo-in for the head of government. </t>
  </si>
  <si>
    <t>&lt;b&gt;CBBC Newsround. &lt;/b&gt;&lt;br&gt;Rioters have broken into a museum in Cairo, the capital city of Egypt, and smashed the heads off two mummies on display. They also destroyed other exhibits and raided the gift-shop. Local people were quick to help protect the Egyptian Museum by forming crowds outside every entrance to stop any more thieves breaking in. The men have been caught and the stolen items returned according to police reports. It happened during the massive anti-government protests going on around the country.</t>
  </si>
  <si>
    <t>&lt;b&gt;First News. &lt;/b&gt;&lt;br&gt;Councils across the U.K. are struggling to repair roads following damaged caused by the coldest December since records began. However, help may be at hand with a new ‘pothole cooker’ being tried out in Swindon. Using infrared rays, the ‘pothole cooker’ heats the ground to 180c to 200c, which melts and causes the tarmac to heal itself in 20 minutes. “With this new method you’re heating the original tarmac up and you’re utilizing it,” said Roger Read from Swindon Commercial Services Ltd. “So on the green issue, you’re utilizing the tarmac that’s already there- so there’s no wastage. It’s definitely a lot easier –it’s not so much back breaking work. And in the long run it’s got to be cheaper.”</t>
  </si>
  <si>
    <t>&lt;b&gt;Japan’s ‘Convict’ Monkey Stages Daring Cage Break.&lt;/b&gt;&lt;br&gt;A marauding monkey that terrorized resort towns in central Japan last year by biting nearly 120 people has escaped captivity. Officials in Mishima City said the monkey slipped out of the government-run nature park it had been kept at since its capture last October when a keeper was cleaning its cage. The city published an emergency notice urging residents to lock their doors, though no new attacks have been reported. The fugitive monkey, known as “Lucky”, is a type of macaque that is one of the most common wild animals in Japan. They are considered a nuisance in rural areas, where they damage crops and steal food. Lucky has proved a tough catch in the past, avoiding citywide monkey hunts during its previous two month biting spree.</t>
  </si>
  <si>
    <t xml:space="preserve">&lt;b&gt;Alan Jones. The Independent. Feb 4 2011.&lt;/b&gt;&lt;br&gt;One in three workers says their standard of living has worsened over the past six months amid pay freezes and fewer opportunities for promotion, according to a study today. A survey of 2,000 employees showed that half reported that their organization had either frozen or cut pay last year, rising to almost two-thirds in the public sector. The Chartered Institute of Personnel and Development (CIPD) said its research also showed that one in five workers believe they could lose their job, rising to almost a third in the public sector. In the public sector, one in four workers believe it is likely they will lose their jobs and 63% say stress has increased as a result of the economic downturn. </t>
  </si>
  <si>
    <t>&lt;b&gt;Cara Anna. New Zealand Herald. &lt;/b&gt;&lt;br&gt;Chinese officials said today they were preparing for a “severe, long-lasting drought” in the key wheat-producing eastern province of Shandong, with no rain in sight until mid-month and possibly beyond in the parched region. On Tuesday, the UN food agency warned that the months- long drought was putting pressure on wheat prices in China, the world’s largest wheat grower. Average flour prices rose more than 8 percent in January from the previous two months. As the drought continues, the focus will be on whether China, which is largely self-sufficient in wheat, will reach out for imports and how that would affect global prices for the staple, which has already risen about 35 percent since mid-November. China’s national weather bureau forecasts little if any rain for the Shandong region through Feb. 17.</t>
  </si>
  <si>
    <t>&lt;b&gt;Chris McGreal. The Guardian. &lt;/b&gt;&lt;br&gt;Obama warned of the threat to US economic power and global influence from China’s rise as he appealed for Republicans to abandon demands for huge budget cuts and back the biggest government investment program since the 1960s space race. In the annual State of the Union address, the US president appealed for the Republicans to co-operate to “win the future” and said the present generation faces its “Sputnik Moment”, requiring government investment in research, infrastructure and education. He said that it would be paid for, in part, by eliminating subsidies to hugely profitable oil companies.</t>
  </si>
  <si>
    <t>&lt;b&gt;The Chicago Sun Times.&lt;/b&gt;&lt;br&gt;Police are looking for the body of a late beloved Italian TV host after visitors at the cemetery found his tomb broken into and his coffin missing. Generations of Italians grew up watching Mike Bongiorno as he hosted quiz shows and other entertainment programs during the fledging days of television in Italy. Bongiorno died in 2009 at the age of 85. Police in Arona, a town in northern Italy, said officers are still investigating at the Dagnente cemetery and would not comment. Italian news reports said a local man who came to the cemetery to visit a family grave noticed Bongiorno’s tomb was open Tuesday morning and the coffin gone.</t>
  </si>
  <si>
    <t>&lt;b&gt;B.B.C. News.&lt;/b&gt;&lt;br&gt;Denmark is to build an underwater tunnel to Germany, cutting road and rail journey times between Western Europe and Scandinavia. The Danish parliament rejected plans for a bridge across the Fehmarn Strait in favor of the tunnel, deciding it would be safer and greener. Denmark and Germany agreed on the need for the 18km link in 2008. Construction of the Danish-funded tunnel is to begin in 2014 and should be completed within six years. A budget of 32bn kroner (4.2bn euros ) has been drawn up. The tunnel will be built between the Danish island of Lolland and the German island of Fehmarn. Both islands are already connected by bridges to the rest of their respective countries. When the tunnel is completed, the duration of a rail journey between Hamburg and Copenhagen will be cut from about 4.5 to three hours, the project’s website says.</t>
  </si>
  <si>
    <t>&lt;b&gt;Pauline Bax and Graeme Wearden. The Guardian. &lt;/b&gt;&lt;br&gt;Chocolate consumers in Europe have been warned that major cocoa companies are effectively providing the Ivory Coast president, Laurent Gbagbo, with money to buy weapons. Alassane Ouattara, the internationally recognized winner of last November’s disputed presidential election, announced a one-month suspension on exports of cocoa yesterday. Ouattara said that anyone flouting the blockade would be considered to be “financing the illegitimate regime” of Gbagbo, who is refusing to leave office.</t>
  </si>
  <si>
    <t>&lt;b&gt;CBBC Newsround. &lt;/b&gt;&lt;br&gt;Police have found a stash of expensive jewels hidden in a gutter in France. Nineteen rings and three sets of earrings were found – estimated to be worth around twelve million pounds. The precious jewels were discovered in a plastic container in the drain of a house in Paris. They’re thought to be from a collection of jewelry stolen from a shop in Paris in 2008. The robbery of the shop is famous in France because thieves took over fifty million worth of rings, necklaces and watches. It was also unusual as the shop is in one of the smartest areas of Paris – and some of the robbers were disguised as women. Police have found the man who they thought was in charge of the theft and who was already in prison. Three quarters of the missing jewelry has been found – but some is still missing.</t>
  </si>
  <si>
    <t>&lt;b&gt;First News. &lt;/b&gt;&lt;br&gt;Up to 10,000 ‘commoners’ have been given the chance to be part of history at Britain’s Big Royal Wedding Sleepover at Camp Royale. The giant Camp Royale campsite will host up to 10,000 revellers for the weekend. Camp Royale, in partnership with National Express, is designed to provide a cheaper alternative to expensive hotels for Royal Family fans, as many hotels are putting up their rates in preparation for the Royal Wedding. A weekend of camping will cost 75 pounds per person for a three night stay at Camp Royale, hot showers and toilet facilities, a TV screen, a free morning brew every day courtesy of Yorkshire Tea, resident Camp Royale Beefeaters, and a Camp Royale stylist to advise visitors on what to wear on the big day.</t>
  </si>
  <si>
    <t>&lt;b&gt;First News. &lt;/b&gt;&lt;br&gt;The number of barn owl deaths has increased in the last year and experts think it may be because of the extreme winter weather that has hit the U.K. More than 100 barn owls were found dead in December last year. This is three times the amount ornithologists would expect to find. Owls need light so they can hunt regularly from the air as they don’t have the ability to store fat. If harsh winters continue the population could suffer. Owls are also under threat from traffic, loss of habitat and eating poisoned food, like rats.</t>
  </si>
  <si>
    <t>&lt;b&gt;CBBC Newsround.&lt;/b&gt;&lt;br&gt;A nationwide survey by the Amphibian and Reptile Conservation (ARC) Trust found adders have been vanishing from British countryside since 2007. Adders are the U.K.’s only poisonous snake, but now researchers say they might need conservation. It’s thought lots of adders are killed because they’re poisonous, but the ARC Trust says their decline may also be caused by disturbance of their habitat. Adders aren’t the only reptiles in trouble though. The study found slow worms, common lizards, grass snakes, common toads and common frogs are also becoming less widespread. The only species among reptiles and amphibians that was found to be increasing its range is the palmate newt.</t>
  </si>
  <si>
    <t xml:space="preserve">&lt;b&gt;B.B.C. News. &lt;/b&gt;&lt;br&gt;Cambodian and Thai troops have exchanged fire in a disputed border area for a fourth consecutive day. Artillery and machine gun fire was heard around the 11th-Century Preah Vihear temple, which Cambodia says has already been damaged in the fighting. At least five people were killed in clashes over the weekend and thousands of civilians have fled the area. UN Secretary General Ban Ki-moon has called on both sides to “exercise maximum restraint”. This is the worst fighting between the neighbors in years. The clashes have claimed the lives of two soldiers and a civilian from Cambodia, on Thai soldier and a Thai civilian. However the two countries’ media has reported differing casualty figures.                                                                                       On Sunday, Cambodian Prime Minister Hun Sen asked the UN Security Council to intervene to stop what he said was Thailand’s “repeated acts of aggression” against his country. The regional grouping Asean has offered to mediate while Mr. Ban has said the UN “remains at their disposal to assist in these peaceful efforts”, but Thailand has said there is no need for third-party involvement. </t>
  </si>
  <si>
    <t xml:space="preserve">&lt;b&gt;The Los Angeles Times. &lt;/b&gt;&lt;br&gt;Thousands of immigrants from India have crossed into the United States illegally at the Southern tip of Texas in the last year, part of a mysterious and rapidly growing human-smuggling pipeline that is backing up court dockets, filling detention centers and triggering investigations. The immigrants, mostly young men from poor villages, say they are fleeing religious and political persecution. More than 1,600 Indians have been caught since the influx began here early last year, while an undetermined number, perhaps thousands, are believed to have sneaked through undetected, according to U.S. border authorities.                                                   The Indian migration in some ways mirrors the journeys of previous waves of immigrants from far-flung places, such as China and Brazil, who have illegally crossed the U.S. border here. But the suddenness and still-undetermined cause of the Indian migration baffles many border authorities and judges. </t>
  </si>
  <si>
    <t>&lt;b&gt;B.B.C. News. Jan 25 2011.&lt;/b&gt;&lt;br&gt; The homes and offices of two Bollywood actresses have been raided by India’s income tax officials in Mumbai, officials said. Katrina Kaif and Priyanka Chopera were suspected to have “evaded income tax” on earnings from advertisements, foreign assignments and “guest appearances”. The raids began on Monday morning and are expected to continue on Tuesday. Kaif and Chopra are among the highest-paid actresses in Bollywood.                                                                         Some 30 tax inspectors were reported to have begun the raids on Monday which continued till late in the evening. The office of a leading Bollywood photographer, Atul Kasbekar, was also raided, income tax officials told the Press Trust of India news agency. Kaif and Chopra’s apartments in Mumbai, where both live, were raided. Reports said the home of Chopra’s secretary was also raided. One report said that income tax officials had sealed a dozen bank lockers belonging to the three, and collected a number of bank statements, property documents and details of their investments.</t>
  </si>
  <si>
    <t>&lt;b&gt;David Ovalle. The Miami Herald. &lt;/b&gt;&lt;br&gt;The renovation of Overtown’s historic Lyric Theatre has been halted as Miami-Dade prosecutors investigate allegations that the project’s construction manager pilfered hundreds of thousands of county dollars. The manager, Ted Bachan, 45, has been suspended from the job. He has not been criminally charged. Started in 2004, the $10 million project is being funded with county bond money administered by the Black Archives History and Research Foundation of South Florida, which owns the building. So far, the county says, $6.2 million has been spent on the renovation, which is about 70 percent complete. Bachan’s lawyer, Michael Tein, insisted the project was only a month away from completion and that his client “has not diverted a penny from the project”.</t>
  </si>
  <si>
    <t>&lt;b&gt;The Florida Times-Union. &lt;/b&gt;&lt;br&gt;Food stamp use has more than doubled in Duval County over the past five years. That grim statistic is twice the national average and is the second highest in a study of 22 cities nationwide, according to a report released Monday. The report, issued by the Food Research and Action Center, an anti-hunger advocacy group, showed Jacksonville as second only to Las Vegas in the growth in people who depend on the federal Supplemental Nutrition Assistance Program, which is commonly called food stamps. It looked at a geographically balanced cross section of urban areas.</t>
  </si>
  <si>
    <t xml:space="preserve">&lt;b&gt;First News. &lt;/b&gt;&lt;br&gt;The party- on- the- pier launch for British Tourism Week 2011, aims to raise local, regional, national and international awareness of Britain’s 115 billion pound tourism industry. According to Visit Britain, tourism is the fifth largest industry in the U.K. that employs, directly or indirectly, 2.6 million people. British Tourism Week aims to raise local, regional, national and international awareness of the size, value and importance of Britain’s 115 billion visitor economy. An industry and media briefing was held to ‘pre-launch’ British Tourism 2011 on board the R.S. Hispaniola, moored at Victoria Embankment on the River Thames, where guests were encouraged to think about how their businesses and organizations can get involved. </t>
  </si>
  <si>
    <t xml:space="preserve">&lt;b&gt;First News. &lt;/b&gt;&lt;br&gt;A massive hoard of Bronze Age tools and objects has been found in a field in Essex. The 3,000 –year-old objects include axe heads, spear tips and a complete pottery container. Archaeologist Laura Mclean says: “To find a hoard still located in its Bronze Age context, below the level of ploughed soil, is very rare.” The site was found after a metal detector user reported it to Colchester and Ipswich Museums. </t>
  </si>
  <si>
    <t xml:space="preserve">1.       Which of the following is true?                                                                                        </t>
  </si>
  <si>
    <t>a)       Todd Bairstow makes a living as a fisherman.</t>
  </si>
  <si>
    <t>b)       The rescuer came from a local resort.</t>
  </si>
  <si>
    <t>c)       Todd Bairstow was injured by the crocodile.</t>
  </si>
  <si>
    <t xml:space="preserve">d)       The rescuer was injured by the crocodile.                                                        </t>
  </si>
  <si>
    <t xml:space="preserve">2.       This behavior in male koalas appears to;                                                                         </t>
  </si>
  <si>
    <t>a)       Be found only in Queensland.</t>
  </si>
  <si>
    <t>b)       Contradict peoples’ expectations.</t>
  </si>
  <si>
    <t>c)       Occur when the koala is surprised.</t>
  </si>
  <si>
    <t xml:space="preserve">d)       Be difficult to study.                                                                                                </t>
  </si>
  <si>
    <t xml:space="preserve">3.       The aim of the publicity campaign is to;                                       </t>
  </si>
  <si>
    <t>a)       Help people to identify organic foods.</t>
  </si>
  <si>
    <t>b)       Make organic foods exclusive.</t>
  </si>
  <si>
    <t>c)       Warn people against buying organic foods.</t>
  </si>
  <si>
    <t xml:space="preserve">d)       Encourage people to buy organic foods.                           </t>
  </si>
  <si>
    <t xml:space="preserve">4.       Which of the following is true?                                                                                             </t>
  </si>
  <si>
    <t>a)       The landslide killed five people.</t>
  </si>
  <si>
    <t>b)       There were many people in the area at the time of the landslide.</t>
  </si>
  <si>
    <t>c)       A number of houses were destroyed in the landslide.</t>
  </si>
  <si>
    <t xml:space="preserve">d)       Landslides are an unusual occurrence in this area.                                                </t>
  </si>
  <si>
    <t xml:space="preserve">5.       The report claims that;                                                                            </t>
  </si>
  <si>
    <t>a)       Sony’s original PSP has sold more than Nintendo’s DS.</t>
  </si>
  <si>
    <t>b)       Sony’s new PSP console will be released in March.</t>
  </si>
  <si>
    <t>c)       Sony’s new PSP console will replace smart phones.</t>
  </si>
  <si>
    <t xml:space="preserve">d)       Nintendo’s DS has sold more than Sony’s original PSP.    </t>
  </si>
  <si>
    <t xml:space="preserve">6.       The report tells us that;                                                              </t>
  </si>
  <si>
    <t>a)       Half of the rhinos killed were black rhinos.</t>
  </si>
  <si>
    <t>b)       The number of rhinos being killed is decreasing.</t>
  </si>
  <si>
    <t>c)       National park officials are killing rhinos.</t>
  </si>
  <si>
    <t xml:space="preserve">d)       Black rhinos are in danger of extinction.                </t>
  </si>
  <si>
    <t xml:space="preserve">7.       The report states that;                                                                  </t>
  </si>
  <si>
    <t>a)       The security scanners need to be approved by the EU.</t>
  </si>
  <si>
    <t>b)       The security scanner scanners will definitely be in place by April 2011.</t>
  </si>
  <si>
    <t>c)       The security scanners will be able to identify the contents of bottles.</t>
  </si>
  <si>
    <t xml:space="preserve">d)       The liquid ban will be reinforced indefinitely.                 </t>
  </si>
  <si>
    <t xml:space="preserve">8.       Jean Wilson was found by;                                                                                                 </t>
  </si>
  <si>
    <t>a)       The manager of Domino’s pizza.</t>
  </si>
  <si>
    <t>b)       An ambulance driver.</t>
  </si>
  <si>
    <t>c)       A group of workers from Domino’s pizza.</t>
  </si>
  <si>
    <t xml:space="preserve">d)       A staff member from Domino’s pizza.                                                                    </t>
  </si>
  <si>
    <t xml:space="preserve">9.       Britain’s International aid;                                                                                                 </t>
  </si>
  <si>
    <t>a)       Will no longer be given to India.</t>
  </si>
  <si>
    <t>b)       Will discontinue to some countries.</t>
  </si>
  <si>
    <t>c)       Will exclude Somalia.</t>
  </si>
  <si>
    <t xml:space="preserve">d)       Will be modified because of budget cuts.                                                                    </t>
  </si>
  <si>
    <t xml:space="preserve">10.    Burma’s authorities have claimed that:                                                 </t>
  </si>
  <si>
    <t>a)       It is becoming a democracy.</t>
  </si>
  <si>
    <t>b)       The elections were a sham.</t>
  </si>
  <si>
    <t>c)       Military rule is now stable.</t>
  </si>
  <si>
    <t xml:space="preserve">d)       The new president is only temporary.                                      </t>
  </si>
  <si>
    <t xml:space="preserve">11.    The local people;                                                                                 </t>
  </si>
  <si>
    <t>a)       Caught the thieves at the museum entrance.</t>
  </si>
  <si>
    <t>b)       Participated in destroying the exhibits.</t>
  </si>
  <si>
    <t>c)       Returned the stolen items to the police.</t>
  </si>
  <si>
    <t xml:space="preserve">d)       Helped prevent further robberies.                                      </t>
  </si>
  <si>
    <t xml:space="preserve">12.    Using the pothole cooker to repair roads;                                                        </t>
  </si>
  <si>
    <t>a)       Is expensive.</t>
  </si>
  <si>
    <t>b)       Saves resources.</t>
  </si>
  <si>
    <t>c)       Causes wastage.</t>
  </si>
  <si>
    <t xml:space="preserve">d)       Prevents melting.                                                                                        </t>
  </si>
  <si>
    <t xml:space="preserve">13.    It appears as though the monkey;                                                             </t>
  </si>
  <si>
    <t>a)       Escaped last October.</t>
  </si>
  <si>
    <t>b)       Has now been missing for two months.</t>
  </si>
  <si>
    <t>c)       Is a rarity in Japan.</t>
  </si>
  <si>
    <t xml:space="preserve">d)       Is aggressive towards people.                                                      </t>
  </si>
  <si>
    <t xml:space="preserve">14.    Half of the surveyed workers claim that;                                     </t>
  </si>
  <si>
    <t>a)       They will lose their jobs.</t>
  </si>
  <si>
    <t>b)       They have not had a pay rise.</t>
  </si>
  <si>
    <t>c)       Their standard of living has declined.</t>
  </si>
  <si>
    <t xml:space="preserve">d)       They are extremely stressed.                                           </t>
  </si>
  <si>
    <t xml:space="preserve">15.    As a result of the drought, it is possible that:                                        </t>
  </si>
  <si>
    <t>a)       Many people will leave Shandong.</t>
  </si>
  <si>
    <t>b)       The price of wheat will drop internationally.</t>
  </si>
  <si>
    <t>c)       China may have to buy wheat from abroad.</t>
  </si>
  <si>
    <t xml:space="preserve">d)       The UN will put pressure on wheat prices.                               </t>
  </si>
  <si>
    <t xml:space="preserve">16.    To deal with the threat of China’s rise, President Obama has appealed for;         </t>
  </si>
  <si>
    <t>a)       A new government investment program into space research.</t>
  </si>
  <si>
    <t>b)       Collaboration between the U.S. political parties.</t>
  </si>
  <si>
    <t>c)       Subsidies for profitable oil companies.</t>
  </si>
  <si>
    <t xml:space="preserve">d)       A large budget cut.                                                                                             </t>
  </si>
  <si>
    <t xml:space="preserve">17.    Which of the following is true?                                                                               </t>
  </si>
  <si>
    <t>a)       The body of Mike Bongiorno was stolen by a family member.</t>
  </si>
  <si>
    <t>b)       Mike Bongiorno had appeared as a TV host in the early days of TV.</t>
  </si>
  <si>
    <t>c)       Mike Bongiorno was a well-known news presenter.</t>
  </si>
  <si>
    <t xml:space="preserve">d)       The body of Mike Bongiorno was removed from his coffin.                </t>
  </si>
  <si>
    <t xml:space="preserve">18.    It is believed that the proposed tunnel;                                                    </t>
  </si>
  <si>
    <t>a)       Will lengthen the journey from Hamburg to Copenhagen.</t>
  </si>
  <si>
    <t>b)       Will be completed in 2014.</t>
  </si>
  <si>
    <t>c)       Will be environmentally friendly.</t>
  </si>
  <si>
    <t xml:space="preserve">d)       Will be too expensive to build.                                                      </t>
  </si>
  <si>
    <t xml:space="preserve">19.    Chocolate consumers in Europe could be inadvertently;                     </t>
  </si>
  <si>
    <t>a)       Breaking a blockade of cocoa exports.</t>
  </si>
  <si>
    <t>b)       Disrupting the election process in the Ivory Coast.</t>
  </si>
  <si>
    <t>c)       Helping to supply Ouattara with weapons.</t>
  </si>
  <si>
    <t xml:space="preserve">d)       Financing a despot.                                                                        </t>
  </si>
  <si>
    <t xml:space="preserve">20.    It would appear that;                                                                                                           </t>
  </si>
  <si>
    <t>a)       The robbery was well publicized.</t>
  </si>
  <si>
    <t>b)       Women carried out the robbery.</t>
  </si>
  <si>
    <t>c)       The robbery took place in a poor area.</t>
  </si>
  <si>
    <t xml:space="preserve">d)       The jewelry has all been returned.                                                                        </t>
  </si>
  <si>
    <t xml:space="preserve">21.    The giant Camp Royale campsite;                                                                         </t>
  </si>
  <si>
    <t>a)       Is more expensive than a hotel.</t>
  </si>
  <si>
    <t>b)       Will increase its rates for the Royal Wedding.</t>
  </si>
  <si>
    <t>c)       Will provide free tea in the morning.</t>
  </si>
  <si>
    <t xml:space="preserve">d)       Has a strict dress-code.                                                                              </t>
  </si>
  <si>
    <t xml:space="preserve">22.    It appears that during the winter; </t>
  </si>
  <si>
    <t xml:space="preserve">a)       Barn owls hunt while flying.                                                                                </t>
  </si>
  <si>
    <t>b)       Barn owls are more likely to lose their habitats.</t>
  </si>
  <si>
    <t>c)       It is easier for barn owls to store fat.</t>
  </si>
  <si>
    <t xml:space="preserve">d)       It is less likely barn owls will eat poisoned food.                                              </t>
  </si>
  <si>
    <t xml:space="preserve">23.    According to the survey;                                                                                                    </t>
  </si>
  <si>
    <t>a)       Adders are rarely poisonous.</t>
  </si>
  <si>
    <t>b)       Adders are a protected species.</t>
  </si>
  <si>
    <t>c)       The palmate newt is disappearing.</t>
  </si>
  <si>
    <t xml:space="preserve">d)       Slow worms are not so common now.                                                                 </t>
  </si>
  <si>
    <t xml:space="preserve">24.    The report states that;                                                                                          </t>
  </si>
  <si>
    <t>a)       The dispute between Thailand and Cambodia is over a temple.</t>
  </si>
  <si>
    <t>b)       Thailand has called for intervention by the UN.</t>
  </si>
  <si>
    <t>c)       There is a discrepancy regarding the number of casualties.</t>
  </si>
  <si>
    <t xml:space="preserve">d)       No civilians have been injured in the clashes.                                    </t>
  </si>
  <si>
    <t xml:space="preserve">25.    The Indian immigrants;                                                                  </t>
  </si>
  <si>
    <t>a)       Started arriving abruptly.</t>
  </si>
  <si>
    <t>b)       Claim to be escaping poverty.</t>
  </si>
  <si>
    <t>c)       Have all been detained.</t>
  </si>
  <si>
    <t xml:space="preserve">d)       Have made the journey through China.                         </t>
  </si>
  <si>
    <t xml:space="preserve">26.    The two Bollywood actresses;                                                             </t>
  </si>
  <si>
    <t>a)       Have been convicted of tax evasion.</t>
  </si>
  <si>
    <t>b)       Don’t have any investments.</t>
  </si>
  <si>
    <t>c)       Are paid for film appearances only.</t>
  </si>
  <si>
    <t xml:space="preserve">d)       Are being investigated financially.                                       </t>
  </si>
  <si>
    <t xml:space="preserve">27.    The manager, Ted Bachan, has;                                                                    </t>
  </si>
  <si>
    <t>a)       Been accused of stealing.</t>
  </si>
  <si>
    <t>b)       Been charged with stealing.</t>
  </si>
  <si>
    <t>c)       Repaid the missing money.</t>
  </si>
  <si>
    <t xml:space="preserve">d)       Put the project on hold.                                                                  </t>
  </si>
  <si>
    <t xml:space="preserve">28.    The report claims that;                                                                                                      </t>
  </si>
  <si>
    <t>a)       Duval County has the largest number of food stamp users in the USA.</t>
  </si>
  <si>
    <t>b)       Las Vegas has the largest number of food stamp users in the USA.</t>
  </si>
  <si>
    <t>c)       Jacksonville has the largest growth in food stamp users in the USA.</t>
  </si>
  <si>
    <t xml:space="preserve">d)       Las Vegas has the largest growth in food stamp users in the USA.             </t>
  </si>
  <si>
    <t xml:space="preserve">29.    British Tourism Week 2011;                                                                                          </t>
  </si>
  <si>
    <t>a)       Was launched on board the R.S. Hispaniola.</t>
  </si>
  <si>
    <t>b)       Created employment for 2.6 million people.</t>
  </si>
  <si>
    <t>c)       Will conclude with a media briefing.</t>
  </si>
  <si>
    <t xml:space="preserve">d)       Is held to inform people about the tourist industry.                                     </t>
  </si>
  <si>
    <t xml:space="preserve">30.    The find is unusual because;                                                        </t>
  </si>
  <si>
    <t>a)       It was discovered under the earth.</t>
  </si>
  <si>
    <t>b)       It was located with a metal detector.</t>
  </si>
  <si>
    <t>c)       It was a complete set of items.</t>
  </si>
  <si>
    <t xml:space="preserve">d)       The items are extremely old.                                               </t>
  </si>
  <si>
    <t xml:space="preserve">CURSO INTENSIVO NIVEL FUNCIONAL JUNIO/2013 </t>
  </si>
  <si>
    <t>3.       Tracing the origins of humanitarian intervention (extract)What you see today as  described as humanitarian intervention or interventionism actually goes back to the Biafran war in nineteen sixty-eight, which is where a part of the newly liberated-  freed country of Nigeria, the eastern part, wanted to break away and become its own nation called Biafra. And a  vicious,  very bloody civil war resulted. And rather ruthlessly, the Biafran government went and found a Western public relations agency called Markpress, who transformed the way people in the West saw the war. Up to that point really we in the West looked at something like Biafra as  “ oh it`s just another far away war with a group of people we don’t understand fighting each other”. Markpress took that war and turned it into ..really a heart-wrenching story of bad people, the Nigerian government and good people who were the starving victims because of the blockade that was being imposed ..Which statement is true according to the extract?</t>
  </si>
  <si>
    <t>5.      Turkey and Syria I (Sept 2011)Turkey tends to favor the carrot over the stick when dealing with neighbors such as Syria. Turkish leaders were relentless in their wooing of the Assad regime, building up extensive economic ties between northern Syria and southern Turkey. But after being slow to criticize abuses by the Libyan regime earlier this year, Ankara shifted its approach to Damascus, joining the U.S. and Europe in condemning the brutal crackdowns on Syrian demonstrators. After Turkey's latest effort to end the violence foundered, President Abdullah Gul was blunt in saying that Assad risked the same fate as the leaders of Tunisia, Egypt and Libya.How has Turkey’s attitude to Syria changed?</t>
  </si>
  <si>
    <t>6.      Turkey and Syria   IITurkish reluctance to join in international military interventions in the region has bolstered its standing among Arab states. But in the case of Syria, so far, Arab and Western leaders have also shied away from the military option, leaving sanctions as the main weapon against the Assad regime. The European Union is moving toward new sanctions targeting Syria's lucrative oil and gas sector. The EU is expected to set a deadline of mid-November for companies with existing contracts to import Syrian oil to comply with an embargo. Sanctions, however, are notoriously blunt instruments that sometimes punish ordinary citizens more than those in power. In a recent opinion piece, the International Crisis Group's Syria expert, Peter Harling, warned countries to beware of far-reaching economic sanctions, as tempting as they may be for leaders with few other viable optionsAccording to the extract, what is the attitude of the European Union?</t>
  </si>
  <si>
    <t>7.      The Walter Reed Army Medical CentreThis past Saturday, the flags were lowered in front of Walter Reed Army Medical Center after the last patients were transferred out. This week, we're talking about the closing of the iconic Army hospital here in Washington, where presidents and war-wounded troops have received care for more than a century. Siegel: Today, we look at one legacy of Walter Reed that most people don't know about. It's one of the world's premier research centers for infectious diseases, and that research continues even as the medical center is closing. Block: One major focus is on malaria. The disease kills nearly 800,000 people each year, mostly children in sub-Saharan Africa. It's also a big problem for soldiers deployed to many parts of the world.What can be said about the Walter Reed Medical Centre?</t>
  </si>
  <si>
    <t>8.      SUVsThe popular but gas guzzling sports utility vehicle is under attack. Even if the automobile is one of the most powerful symbols of the American dream, the war in Iraq led many people to question the country’s dependence on oil. It wasn’t the car itself which came under attack from environmentalists so much as some of the more wasteful models. The massive SUV or sports utility vehicle, which is a truck on wheels rather than a car, is a particular object of hate. The Hummer, for example, gives you as little as 12 miles per gallon whereas a Toyota Prius can do 52. And this led the Union of Concerned Scientists to observe if everybody in the US who drives an SUV drove a car instead we could cut out Middle Eastern oil imports entirelyWhy were SUVs attacked?</t>
  </si>
  <si>
    <t>9.      A helping handMeanwhile in the British Isles volunteer work appears to be all the rage. The British love a good cause. On any High Street you will see people rattling tins to raise money for charitable organizations. Every week, volunteers of all ages go off to trek the Inca trail in Peru or abseil down from their local hospital roof to raise funds for charity. Others work with disabled children or pick up rubbish in conservation areas. Contrary to popular belief many young people are keen to volunteer too, giving up their time and gaining work experience at the same time. The volunteering charity, CSV, found that eighty-five percent of youngsters would be prepared to give one day of their time to help othersWhat can be said about volunteer work?</t>
  </si>
  <si>
    <t>10.  Tribute bandsOne notable music phenomenon at the moment is the growth of tribute bands - groups who perform the songs and stage acts of famous bands from the past. Abba and Beatles tribute bands are of course two a penny. But In recent years we have seen the emergence of the Canadian group Musical Box, who imitate Genesis down to the last detail and Australian Pink Floyd who are equally faithful in their rendition of the Floyd stage show, including the spectacular lighting. Bass guitarist and vocalist, Colin Wilson, explains that the band were formed in Adelaide in the late nineteen eighties. “Originally we just started doing local gigs. It was all about just seeing originally whether it was possible to do it on that small scale with a very limited budget but it became evident pretty early on that the Floyd fans wanted to see it and it was possible to recreate the sounds and the music of Floyd . And it’s just grown from there. It did take a few years to really get going an’ .. Which sentence is correct about Australian Pink Floyd?</t>
  </si>
  <si>
    <t>11.  The big screenThe first television screens were tiny and you needed a magnifying lens to put in front of them to watch the action. Now we have home cinema and plasma filled flat screens. In Exchange Square in the centre Manchester, they’ve gone one further with the biggest television screen in the world, where up to eight thousand people have watched the same programme. Sara Griffiths is the big screen manager.  “The Big Screen is actually all about pilot, an experiment if you like in public space broadcasting. So, we’ve got a giant screen which measures  twenty-five square metres  and it’s been fixed on the side of one of the main shopping squares and we’re broadcasting 24 hours a day television and that includes sound – which is unusual for a lot of screens, we’ve got sound from seven in the morning until midnight and we wanted to see if people enjoy watching it and whether they’d come to the square specifically to watch, whether they’d take part in any  events we’ve put on in the square related to the screen …What does the Big Screen management want to observe?</t>
  </si>
  <si>
    <t>12.  Misha Glenny and his book Dark MarketThe book called Dark Market takes its name from one of the biggest criminal websites of them all as Misha told me when he came in earlier. “What Dark Market was, was the premier English language criminal website that existed from 2005 to late 2008. And what criminal websites like Dark Market did was to act as a sort of clearing house for people up to bad things on the Web. You had to be vetted to become a member but once you were a member you could buy and sell stolen credit card details, you could buy and sell malware, viruses, trojans, worms. You could sell tutorials on how to do bad stuff on the Web, and you could sell packages so people would say, you know, I am your complete solution for doing crime on the Web. Just ask me to do what you want to do and I’ll do it and I’ll take a percentage. So a whole variety of things …  And above all else it was a meeting point, a discussion place for people on the Web who wanted to commit crime. “                What can we say about Dark Market?</t>
  </si>
  <si>
    <t>13.  Mining accident in South WalesIt was a day that began with the highest of hopes and ended in despair. Rescue workers started the day yesterday confident they could save the four missing miners of the tiny Glatian mine near Swansea in South Wales -  but it was not to be. Our reporter Andy Hoskin is near the mine now, Good morning Andy. Morning Sarah. Well people in this valley and among these communities are experiencing an old historic grief few thought could or would return. Not far from where I’m standing is a bench, somewhat decayed and mildewed now, which commemorates the deaths of 14 men and boys who died in a mining disaster in 1858 not far from here. Over the last 24 hours, despite the relatively smaller role now played by mining in the economy of Wales, an unwelcome force from the past has re-emerged. What impression do we get from the text?</t>
  </si>
  <si>
    <t>14.  Chevron vs. EcuadorFor the past eighteen years Ecuadorian plaintiffs have been seeking billions of dollars in damages from Chevron.  They accuse the US oil firm of poisoning their rainforest. In Ecuador they won their case with a court there ordering Chevron to pay the plaintiffs eighteen billion dollars in compensation. But there was a problem. Chevron has no assets anymore in Ecuador so the plaintiffs went to court in the US to see if they could use the American judicial system to chase Chevron assets there. In February  this year a US court threw out their case but a New York court has now overturned that earlier ruling. So does this mean that Ecuadorian plaintiffs can now lay claim to Chevron assets in the US.?Which statement is correct according to the extract?</t>
  </si>
  <si>
    <t>15.  The opera “Passenger”An opera, written more than forty years ago, only gets its British premier tonight at the ENO.  The Passenger, which was partly set in Auschwitz, was composed by Michel Wineberg who lived in Russia. The Soviet authorities were reluctant to stage art with a Holocaust theme. It was only performed last year in Austria where it received outstanding reviews, and some critics called it a masterpiece. The Passenger tells the story of an SS officer encountering a former prisoner many years after the war. It’s based on a story by the Polish Auschwitz survivor, Zofia Posmisch, now eighty-eight.What can be said about the Passenger?</t>
  </si>
  <si>
    <t>16.  Solar energyProfessor Nick Sterne of the London School of Economics, known for his work on climate change: One of the great advantages of solar energy is that as far as we humans are concerned it’s almost limitless. Why? Because in one hour we get as much energy from the sun on the earth as we use right across the planet in one year. So for us it’s virtually unlimited, and further, the cost of accessing that limitless supply of energy is really crashing down. Just in the last couple of years the cost of a solar panel has fallen by about a half. What can be said about solar energy?</t>
  </si>
  <si>
    <t>17.  Nasa satellite re-enters the earthMichele Norris, host: According to NASA, a retired U.S. research satellite has been sucked into the Earth's gravitational pull. Donald Kessler spent more than 30 years with NASA, most recently as the agency's senior scientist for orbital debris research. And he joins me now to talk about a particular piece of orbital debris. Welcome to the program. Dr. Donald Kessler: Thank you. Norris: When was the last time a spacecraft of this size crashed into Earth? Kessler: Well, it has been a while but things re-enter almost every day and most of it does burn up. And there have been within the last year several objects that have survived re-entry. And people have found those objects and displayed them. You can usually find them on the Web. There are pictures of things that have survived re-entry. What can be said about some objects that crash into the Earth?</t>
  </si>
  <si>
    <t>18.  MoneyOf course a credit card as such isn’t itself money. It’s merely a physical object that   provides a way of promising money, moving it and spending it.. None of us is now ever likely to see the money we’ve saved. It appears simply as long strings of numbers on statements and receipts. Money has lost its essential materiality and with the flick of a few fingers it can be counted up virtually anywhere in the world  - instantly.Which statement is correct according to the extract?</t>
  </si>
  <si>
    <t>19.  Saudi womenMelissa Block, host: Over the weekend, King Abdullah of Saudi Arabia announced that women will get the right to vote and to run in municipal elections, but not until 2015. And King Abdullah said women will be appointed to the Shura Council, which advises the monarchy. This, in a country where women still don't have the right to drive. We're going to hear reaction now from Nadia Bakhurji. She's an architect in the Saudi capital, Riyadh. I asked her for her first thoughts when she heard of the king's decree. Nadia: Well, actually when the news hit yesterday and I was watching television, I saw the king's speech. I thought to myself, well, the fact that he's gone right to the top, and he said women can become Shura members and they can vote ..  And I thought, well, it's a very clear message what the king is saying to women, as well, not just to the men that we want the women to be proactive, to take responsibility for the decision-making process, which gives them these freedoms just like in every other country in the worldWhat is Nadia Bakhurji’s opinion of women being able to vote?</t>
  </si>
  <si>
    <t>21.  Arafat at the UN in 1974 (Witness BBC World Service)It’s November the 13th 1974 and security is unusually tight at the United Nations Headquarters in Manhattan in New York. The leader of the Palestine Liberation Organisation, Yasser Arafat, had been invited to address a plenary session of the United Nations General Assembly, the only person not representing a state ever to do so. Jewish groups were outraged. So were many Americans. To them Arafat was a terrorist. “The PLO is the first national group to shoot its way into the United Nations” one commentator declared. And Israel, of course, was incensed. For the Palestinians, however, this was a historic moment, their chance to make their case on the world stage.Which statement is correct according to what you have heard?</t>
  </si>
  <si>
    <t>22.  Libyan women revolutionariesIn Libya, women played a big but often unsung role in the revolution that toppled Moammar Gadhafi. Now, they want a place in Libya's politics. But as NPR's Corey Flintoff reports, they want it on their own terms . Corey Flintoff: Hundreds of people stroll through a charity fundraiser organized by the women of Tripoli. It's probably not so different from the charity bazaars in your town. The difference is that most of the women wear headscarves, and the sales items include a lot of hand-knitted versions of the Libyan flag. These women are revolutionaries. Twenty six-year-old Isra bin Mahmoud is part of a group called Flower of the Capital. During the war, she says, they specialized in undermining the loyalty of Gadhafi's army in Tripoli. The group made a compact disc with video of atrocities committed by the regime and passed it to government soldiers. This was at a time when showing any hint of dissent was enough to get a person jailed, tortured and very likely, killed.What did one group of women do?</t>
  </si>
  <si>
    <t>23.  The history of protests on Wall StreetThe so-called Occupy Wall Street Movement is in its third week of protests, a block from the nation's financial center in New York. The daily demonstrations carry echoes of a century ago and the decades leading up to the Great Depression. It was a time when protests were a regular feature on Wall Street and powerful financiers, like J.P. Morgan, were pilloried in song. For more now, I'm joined by Beverly Gage. Beverly Gage, welcome. Beverly Gage: Thanks, Guy. Raz: When did Wall Street become a place where protesters gathered? Gage: Wall Street really began to consolidate its power as the center of American finance in the years around the Civil War. And then, almost immediately after that, it became a target for protesters, really from a variety of places on the political spectrum. But throughout the late 19th century into the early 20th century, you had very regular demonstrations on Wall Street  ..What can be said about demonstrations  on Wall Street?</t>
  </si>
  <si>
    <t>24.   JOHN LIND – The American TalibanJohn Lind had converted to Islam as a teenager in suburban Northern California. He then headed first to Yemen and then Pakistan to learn Arabic. The last time his parents heard from him was in mid 2001 when he said he was heading up into the hills of Pakistan to escape the summer heat. But he had in fact headed over the border into Afghanistan to fight with the Taliban. When the US overthrew the Taliban after the September the 11th attacks he was captured in the north of the country, and his story generated a  media frenzy back in America, with headlines about the American Taliban and the traitor who’d been involved in the attacks  on  the United States. After he was designated detainee 001 in the War on Terror he was taken home. Terrorism charges against him were eventually dropped in a deal in which he pleaded guilty to violating economic sanctions on the Taliban. 10 years on, his parents Frank and Marilyn, told the BBC it was time to revisit the case because their son, contrary to the claims had never fought against America or planned terrorist attacks.Which statement is true about John Lind</t>
  </si>
  <si>
    <t>25.   The AK-47It’s been announced that the Russian factory that manufactures the AK-47 assault rifle, otherwise known as the Kalashnikov, is to stop production. For decades, it’s been the automatic weapon of choice for many armies across the world and for just about every fighting force that isn’t a regular army. Dan Damon spoke to Michael Hodges who’s written AK-47: The story of the people’s gun, and he asked where was the most unusual place he’d found an AK-47 being used. “Well, the thing about the AK-47 is  you could find it anywhere. In the West you would find it .. actually it made its way into the ghettoes, you know  – police came under fire from AK-47s during the New Orleans floods and that was a result ironically of right-wing gun clubs who had been so impressed by the Viet Cong’s AK-47s during the Vietnamese War that they’d kinda found their way into American right-wing circles and from there seeped, as if through blotting paper,  into the wider community ..What impression do we get about the AK-47 from the extract?</t>
  </si>
  <si>
    <t>26.   Availability of unlicensed drugsThis is a growing trade and a big concern. It’s not just the Viagra and the tranquillizers, unlicensed drugs are being sold on the Internet and also fake drugs. The investigators have found cancer drugs that had full amounts of the active ingredient but didn’t dissolve in the body and therefore  pretty much useless and therefore life-threatening. There’s been a growth in the number of people self-diagnosing and buying drugs on the internet  for their own ailments. And there are a lot of legitimate –looking websites out there. Now this morning I spoke to the father of Lorna Landon, who’s a former paramedic, who knew a bit about drugs, but had trouble sleeping after shifts she was doing, and bought an anti-depression drug that should help with insomnia, ended up taking some pills, probably less than four, fewer than four, but she died. And her father Roy Landon said he wanted to warn people of the dangers – “We discovered that she’d bought some prescription drugs from the internet to try and help her sleep. We were just so sad after the incident that we just thought – what a silly thing to happen ..”Which statement is correct according to the extract?</t>
  </si>
  <si>
    <t>27.   The internet Monday: I woke up on a friend’s sofa at half six. My alarm went off at seven and I got up at a quarter past. By then I’d already checked the internet to see whether anyone had tweeted me during my sleep. They hadn’t, so next I checked the latest news stories. You know  that the world’s changed when Al  Jazira is your home page. They were reporting on the terrible drought in Somalia which has affected ten million people. It was impossibly tragic and impossibly distant. The picture on the website was a portrait of misery but it seemed more like a high-definition shot from a film about the misery. It’s odd. Sometimes I wonder what the internet raises more – our sense of awareness or our sense of helplessness.How does the speaker feel about the internet?</t>
  </si>
  <si>
    <t>28.   Child deathsWe have been reporting this week on a grim pattern in the courtroom. When it comes to determining the cause of a child’s unexpected death medical and legal experts often disagree. And that means innocent parents are sometimes wrongly accused of murder and are sent to prison. No place has dealt with this more directly or on a larger scale than Ontario Canada. Now its courts are overturning convictions and improvements are in place to prevent other innocent parents from being charged.Which statement is  correct according to what you have heard?</t>
  </si>
  <si>
    <t>30.  Airplane safetyIn two thousand and nine Captain Chesley B.Sully Sullenberger became a  national hero when he landed safely his stricken jet airliner in the middle of the  Hudson River in New York.  .. after landing on water it turns out only ten of the hundred and fifty passengers thought to grab a life-jacket before evacuating and only about half took a seat cushion for flotation. So perhaps the rest of them should forget about that free flight to a holiday destination of their choice and instead exchange their frequent flyer miles for a course on airline safety. Virgin Atlantic already offers one. Now one of the world’s biggest airlines, British Airways, is doing the same. Those who have taken the course say it covers everything from removing your seat belt quickly to opening exit doors, jumping down emergency slides  and exiting a smoke-filled cabin. Which statement is true according to what you have heard?</t>
  </si>
  <si>
    <t>31.   WhalingDespite a ban on commercial whaling which came into force twenty-five years ago this year, whales are still being killed. Around fifteen hundred of them are caught by Japanese, Norwegian and Icelandic whaling ships each year through a controversial quota for what’s called scientific whaling. And indigenous peoples in several other countries are also allowed to take a quota using traditional hunting techniques. However, there’s growing concern about the number of whales killed through accidental collisions with ships and entanglement in commercial fishing gear. In the United States, scientists are increasingly alarmed by the number of North Atlantic white whales dying. They’re one of the most endangered species in the world.Which statement is correct according to the extract?</t>
  </si>
  <si>
    <t>32.   Silk RoadThere really is something exciting about buying stuff on line. You pull the trigger, click the Purchase Confirmed button. Then comes that unbearable three-to–seven-day wait. (Doorbell sounds) and finally, the package arrives. Your new shoes from Zappo’s, those books you ordered from Amazon, and then there’s your LSD. You heard right. Pot , acid, cocaine – delivered right to the front door in a small inconspicuous envelope from Silk Road. The transactions are anonymous and the website’s owner claims untraceable, that is, if you can figure out how to get to the website. Adrain Chen wrote a piece about Silk Road in Gawker.com.  Adrain Chen is in our New York bureau. Adrian . Welcome. A: Thank you. I: So tell us more about this website Silk Road. How is it even possible that this site exists? This is all totally illegal, right? A: It is illegal and the only way that it possibly exists is the fact that the people on it think that they are completely anonymous. They are using technologies like Tor and only exchanging in the untraceable digital currency, Bit Coin.What can be said about the Silk Road website?</t>
  </si>
  <si>
    <t>33.   Robert J LifdonRobert J Lifden wasn’t sure what he wanted to do with his life when he left the army in 1954 after serving in the Korean War. He was living with his wife in Hong Kong and he was about to return to the US to pursue a pretty predictable career in his chosen field, psychiatry. Instead, he made a last-minute decision to stay in Hong Kong and it changed everything. Since then he’s  spent a lifetime exploring the darkest chapters of the human experience  - China’s experiment with mind control, the victims of the atomic bomb in Heroshima, the veterans of the US War in Vietnam and the Nazi doctors who sent millions of Jews to the gas chambers. As  his subjects changed, he changed  - less the detached psychiatrist, more the impassioned activist. Lifden is eighty-five years old now and he re-examines his life’s work in a new memoir and it’s called witness to an extreme century.Which statement is correct about Robert J Lifden according to what you have heard?</t>
  </si>
  <si>
    <t>34.   TomatoesOne of the great pleasures of summer is fresh home grown tomatoes, but in the winter and even in the summer lots of tomatoes are tough and tasteless. Why can’t or won’t modern  agri business deliver a decent tasting tomato. That’s the main question that Barry Esterbrook set out to answer in his new book : Tomatoland: how modern industrial agriculture destroyed our most alluring fruit. Much of his book is set in the tomato fields of Florida where the soil and humidity, he says, are actually  very inhospitable to growing tomatoes yet one third of our fresh tomatoes are raised there. And from October to June virtually all the fresh-grown tomatoes in the country come from Florida.What does  speaker say?</t>
  </si>
  <si>
    <t>35.   Coca Cola in the 1980sIt’s early in the summer of nineteen eighty-five and it looks like the Coca Cola company is on top of the world. Its famous fizzy drink is a vast global marketing success story. This sugary drink had become the most widely distributed commercial product on earth and the world’s best-known brand name. But by the mid-eighties, behind the scenes the company had reason to be worried – “by the early eighties Coca Cola had been losing market share to Pepsi for twenty years”.What does the extract say about Coca Cola in the 1980s?</t>
  </si>
  <si>
    <t>36.   Reflections on Karachi.. because Karachi is an example of something that’s happening all around the world. There’s  been an incredible growth of urban areas since the end of World War II.  Even in the United States, Los Angeles is more than  three times larger than it was – metro Los Angeles; Huston is six times larger , Istanbul is ten times larger.. Rio de Janeiro, we could go around the world like this. Karachi is thirty times larger than it was at the end of World War II and I wanted to try to explore what happens when a city grows that quickly. It’s not just the birth rate, it’s mass migration and that means it is different kinds of people coming together and clashing in this landscape that for all of them is entirely new. This city as we see it today didn’t really exist thirty, forty, fifty, sixty years ago ..What is the speaker interested in?</t>
  </si>
  <si>
    <t>37.   Earthquake predictionFirst the possibility of more accurate earthquake prediction. This is research just published in the journal PNAS and it’s particularly interesting right now given that, as we reported last week, scientists have gone on trial in Italy accused of manslaughter  for failing to warn the population of L’Aquila that a deadly earthquake was about to hit. Their defence – prediction is impossible, which is the scientific consensus. However it would save many tens of thousands of lives if a warning of large earthquakes could be given and that’s what scientists in the US held a competition to try to do.According to the extract which statement is correct?</t>
  </si>
  <si>
    <t>38.   Van GoghDid the painter Vincent Van Gogh kill himself or was he killed? A new biography of Van Gogh casts doubt on the suicide theory. The authors, Stephen aife and Gregory White Smyth say that contrary to popular belief it was more likely that Van Gogh was shot accidently by two boys he knew who had a malfunctioning gun but art historians are reluctant to believe the theory. …has more: It is an undisputed fact that Vincent Van Gogh died in the village of Auverre-sur Oise in France  in 1890. He was thirty-seven. Historians have long been of the view that he shot himself in a wheat field before returning to the inn where he was staying to die many days later. Now the authors of a new American biography called Van Gogh:The Iife say it was clear he had no intention of committing suicide at that time. The book claims that those living in Auverre said that he was shot accidently by two boys he knew who were wielding a malfunctioning gun.Which statement is correct according to the extract?</t>
  </si>
  <si>
    <t xml:space="preserve">39.   I.O.T.C.- The Medieval University.                                                                                       Hello. There are 115 universities in Britain today but 800 years ago, that number was just two; Oxford and Cambridge. They were the first examples of a new type of educational institution which had first appeared in Italy and France in the 11th and 12th centuries. Within a few generations, universities were providing a similar education in Latin to people all over Europe. The medieval universities offered a rigorous training in subjects including Law, Medicine and above all, Theology, their influence was tremendous and forever altered the intellectual landscape of the continent. The university model of further education proved so durable that it changed little in the following seven centuries and it seems that students don’t change much either. At one point, the teachers and students of Paris went on a two-year strike.What is said about medieval universities?                                                                                      </t>
  </si>
  <si>
    <t>a)      He left his son in Egypt.</t>
  </si>
  <si>
    <t>b)      He became king when he was a baby.</t>
  </si>
  <si>
    <t>c)       He participated in the overthrow of Hosni Mubarak.</t>
  </si>
  <si>
    <t xml:space="preserve">d)      He has declared plans to return to Egypt.                                                                                                            </t>
  </si>
  <si>
    <t>a)      To get help with drug addiction.</t>
  </si>
  <si>
    <t>b)      To help a friend with behavioral problems.</t>
  </si>
  <si>
    <t>c)       To get help for a mental disorder.</t>
  </si>
  <si>
    <t xml:space="preserve">d)      To research a novel.                                                                                                           </t>
  </si>
  <si>
    <t>a)      Markpress helped the Nigerian Government</t>
  </si>
  <si>
    <t>b)      A public relations agency changed the way people saw war</t>
  </si>
  <si>
    <t>c)       People in the west ignored  the Biafran war</t>
  </si>
  <si>
    <t>d)      The Biafran  government transformed  relations with the West</t>
  </si>
  <si>
    <t>a)      The truth about the seven dwarfs</t>
  </si>
  <si>
    <t>b)      There are no diamond mines any more</t>
  </si>
  <si>
    <t>c)       There is a shortage of miners</t>
  </si>
  <si>
    <t>d)      Fewer Americans do physically demanding work</t>
  </si>
  <si>
    <t>a)      It has cut economic ties with the Syrian regime</t>
  </si>
  <si>
    <t>b)      It has objected to Syrian  treatment of demonstrators</t>
  </si>
  <si>
    <t>c)      It found a new way to deal with dissidents</t>
  </si>
  <si>
    <t>d)      It consulted with other Arab nations</t>
  </si>
  <si>
    <t>a)      It favours  targeting coercive measures on Syria’s  natural resources</t>
  </si>
  <si>
    <t xml:space="preserve">b)      It has suggested December as a deadline for a decision to be taken </t>
  </si>
  <si>
    <t>c)      It wants to punish ordinary citizens</t>
  </si>
  <si>
    <t>d)      It disagrees with Peter Harling’s assessment of sanctions</t>
  </si>
  <si>
    <t>a)      It is a place to care for wounded troops</t>
  </si>
  <si>
    <t>b)      It is a hospital and research centre</t>
  </si>
  <si>
    <t>c)      It is  devoted exclusively to the study of malaria</t>
  </si>
  <si>
    <t>d)      The hospital is temporarily closed</t>
  </si>
  <si>
    <t xml:space="preserve">a)      They were too big for American roads </t>
  </si>
  <si>
    <t>b)      They look more like trucks than cars</t>
  </si>
  <si>
    <t>c)      Some models require a lot of fuel</t>
  </si>
  <si>
    <t xml:space="preserve">d)      There was a shortage of oil </t>
  </si>
  <si>
    <t>a)      It is popular in Peru</t>
  </si>
  <si>
    <t>b)      A survey found that young people don’t like it</t>
  </si>
  <si>
    <t>c)      It helps young people to gain work experience</t>
  </si>
  <si>
    <t>d)      It is only suitable for specific age groups</t>
  </si>
  <si>
    <t>a)      They perform the songs and stage shows of famous bands</t>
  </si>
  <si>
    <t>b)      They organize tribute concerts to famous people</t>
  </si>
  <si>
    <t>c)      They first called themselves Musical Box</t>
  </si>
  <si>
    <t>d)      Pink Floyd fans were interested in seeing them perform</t>
  </si>
  <si>
    <t>a)      The reaction of the public to televising in a public space</t>
  </si>
  <si>
    <t>b)      How many hours broadcasting people can endure</t>
  </si>
  <si>
    <t>c)      If the content televised makes people shop more</t>
  </si>
  <si>
    <t>d)      If people prefer watching TV in the square to at home</t>
  </si>
  <si>
    <t>a)      It was a website where criminals could learn English</t>
  </si>
  <si>
    <t>b)      It facilitated breaking the law</t>
  </si>
  <si>
    <t>c)      Anyone could become a member</t>
  </si>
  <si>
    <t>d)      It is still a thriving business</t>
  </si>
  <si>
    <t>a)      There are never any mining disasters now</t>
  </si>
  <si>
    <t>b)      An attempt has been made to rescue 14 men and boys</t>
  </si>
  <si>
    <t>c)      In  Wales, mining is not as important as it was in the past</t>
  </si>
  <si>
    <t>d)      Rescue workers did not expect to find the miners</t>
  </si>
  <si>
    <t>a)      Ecuador couldn’t have a court case in  the US</t>
  </si>
  <si>
    <t>b)      Chevron is accused of contaminating the Ecuadorian rainforest</t>
  </si>
  <si>
    <t>c)      Chevron sold its assets in Ecuador to pay the compensation</t>
  </si>
  <si>
    <t>d)      Chevron is an American construction company</t>
  </si>
  <si>
    <t>a)      It has been performed for forty years</t>
  </si>
  <si>
    <t>b)      It was first staged in Russia</t>
  </si>
  <si>
    <t>c)      It has obtained excellent reviews in Austria</t>
  </si>
  <si>
    <t>d)      It was written by an SS officer</t>
  </si>
  <si>
    <t>a)      The cost has plummeted</t>
  </si>
  <si>
    <t>b)      It causes climate change</t>
  </si>
  <si>
    <t>c)      There is only half as much as before</t>
  </si>
  <si>
    <t>d)      It is being limited</t>
  </si>
  <si>
    <t>a)      They crash into the Earth very infrequently</t>
  </si>
  <si>
    <t>b)      All of them burn up</t>
  </si>
  <si>
    <t>c)      They last for a year</t>
  </si>
  <si>
    <t>d)      They survive the impact</t>
  </si>
  <si>
    <t>a)      It is impossible to save now</t>
  </si>
  <si>
    <t>b)      Money is losing its original qualities</t>
  </si>
  <si>
    <t>c)      Credit cards have completely substituted cash</t>
  </si>
  <si>
    <t xml:space="preserve">d)      Today, money has an eerie quality  </t>
  </si>
  <si>
    <t>a)      She thinks it is a cosmetic reform</t>
  </si>
  <si>
    <t>b)      She thinks women won’t be allowed to drive</t>
  </si>
  <si>
    <t>c)      It implies they will eventually have other freedoms</t>
  </si>
  <si>
    <t>d)      Men will then be pro-active</t>
  </si>
  <si>
    <t>a)      Cloning babies is a reality now</t>
  </si>
  <si>
    <t>b)      Cloning technology should not be abused</t>
  </si>
  <si>
    <t>c)      Stem cells are easy to obtain</t>
  </si>
  <si>
    <t>d)      The public supports reproductive cloning</t>
  </si>
  <si>
    <t>a)       Arafat was the first terrorist ever to speak at the UN</t>
  </si>
  <si>
    <t>b)      The PLO requested a hearing in the United Nations</t>
  </si>
  <si>
    <t>c)      Arafat received an invitation to speak at the UN</t>
  </si>
  <si>
    <t xml:space="preserve">d)      Israelis and Jewish groups boycotted the event </t>
  </si>
  <si>
    <t>a)      They confronted government soldiers at a fundraising event</t>
  </si>
  <si>
    <t>b)      They tried to make  Gadaffi’s soldiers conscious of their actions</t>
  </si>
  <si>
    <t>c)      They sold compact discs of Western music</t>
  </si>
  <si>
    <t>d)      They tried to get into politics</t>
  </si>
  <si>
    <t>a)     Daily demonstrations have been going on for a century</t>
  </si>
  <si>
    <t>b)    Historically, protesters represented a wide range of political opinions</t>
  </si>
  <si>
    <t>c)     In the 20th century demonstrations became fewer and fewer</t>
  </si>
  <si>
    <t>d)    At the moment, protesters have occupied the JP Morgan building</t>
  </si>
  <si>
    <t xml:space="preserve">1)      He kept in regular contact with his parents </t>
  </si>
  <si>
    <t>2)      He went to Yemen and Pakistan  to fight with the Taliban</t>
  </si>
  <si>
    <t>3)      He was involved in the September 11th attacks</t>
  </si>
  <si>
    <t>4)      His parents believe he was wrongly accused</t>
  </si>
  <si>
    <t>a)      It was found only in select  places</t>
  </si>
  <si>
    <t>b)      It was used in the ghettoes during the New Orleans floods</t>
  </si>
  <si>
    <t>c)       It was imported into the US from Vietnam by right-wing gun clubs</t>
  </si>
  <si>
    <t>d)      The factory will stay open  to meet the demand</t>
  </si>
  <si>
    <t>a)      Self diagnosis is on the increase</t>
  </si>
  <si>
    <t>b)      A doctor who bought drugs on the internet died</t>
  </si>
  <si>
    <t>c)       It is easy to tell when websites are false</t>
  </si>
  <si>
    <t>d)      Viagra and tranquillizers are the most popular drugs on the internet</t>
  </si>
  <si>
    <t>a)      He enjoys being connected all the time</t>
  </si>
  <si>
    <t>b)      The events he sees on the net have an unreal quality</t>
  </si>
  <si>
    <t>c)       He’s worried in case he gets a message during the night</t>
  </si>
  <si>
    <t>d)      He doesn’t bother with social networks</t>
  </si>
  <si>
    <t>a)      Child deaths are more frequent in Canada</t>
  </si>
  <si>
    <t>b)      Parents have no rights in Ontario, Canada</t>
  </si>
  <si>
    <t>c)       Parents are sometimes mistakenly accused of murder</t>
  </si>
  <si>
    <t>d)      Experts never make mistakes in diagnosing the cause of death</t>
  </si>
  <si>
    <t>a)      He was protesting against torture in Iranian prisons</t>
  </si>
  <si>
    <t>b)      He studied abroad for a time</t>
  </si>
  <si>
    <t>c)      He  was ignored by the international community</t>
  </si>
  <si>
    <t>d)      He became a Canadian citizen</t>
  </si>
  <si>
    <t>a)      Passengers usually remember flight safety rules in an emergency</t>
  </si>
  <si>
    <t>b)      Courses on aircraft safety are now available on some airlines</t>
  </si>
  <si>
    <t>c)      If travelers do an airline safety course they receive frequent flyer points</t>
  </si>
  <si>
    <t>d)      The course takes place in real-life situations</t>
  </si>
  <si>
    <t>a)      Commercial whaling has been going on for  twenty-five years</t>
  </si>
  <si>
    <t>b)      Traditional hunting techniques must be used to kill whales</t>
  </si>
  <si>
    <t>c)       Every country has been assigned a quota</t>
  </si>
  <si>
    <t>d)      Despite a ban imposed many whales are still being killed</t>
  </si>
  <si>
    <t>a)      It trades in spices</t>
  </si>
  <si>
    <t>b)      It is recognizable by a brown envelope</t>
  </si>
  <si>
    <t>c)       You can buy illegal drugs on it</t>
  </si>
  <si>
    <t>d)      It is easy to get into the website</t>
  </si>
  <si>
    <t>a)      He subjects were victims of major world catastrophes</t>
  </si>
  <si>
    <t>b)      He served in the Vietnam War</t>
  </si>
  <si>
    <t>c)       He  returned to the US to practice psychiatry</t>
  </si>
  <si>
    <t>d)      His wife was from Hong Kong</t>
  </si>
  <si>
    <t>a)      Florida  does not have a lot of tomato growers</t>
  </si>
  <si>
    <t>b)      Today, tomatoes are home-grown</t>
  </si>
  <si>
    <t>c)       Agri businesses have a negative effect on tomatoes</t>
  </si>
  <si>
    <t>d)      Conditions in Florida are optimum for tomato-growing</t>
  </si>
  <si>
    <t>a)      The company got into serious  financial difficulties</t>
  </si>
  <si>
    <t>b)      The drink was too sugary</t>
  </si>
  <si>
    <t>c)       Other companies competed with exactly the same product</t>
  </si>
  <si>
    <t>d)      It had been losing customers for a long time</t>
  </si>
  <si>
    <t>a)      The aftermath of World War II</t>
  </si>
  <si>
    <t>b)      A comparison of  US and Pakistani cities</t>
  </si>
  <si>
    <t>c)       What happens with the rapid growth of cities</t>
  </si>
  <si>
    <t>d)      How quickly time passes</t>
  </si>
  <si>
    <t xml:space="preserve">a)      The scientific community agree that earthquake prediction is  impossible </t>
  </si>
  <si>
    <t>b)      Scientists in Italy failed to heed clear warning signs</t>
  </si>
  <si>
    <t>c)       Scientists are responsible for the deaths of the earthquake victims</t>
  </si>
  <si>
    <t>d)      In Aquila, thousands of lives were saved due to forecasts</t>
  </si>
  <si>
    <t>a)      Van Gogh asked two boys to shoot him</t>
  </si>
  <si>
    <t>b)      Art historians agree with the theory in the new biography</t>
  </si>
  <si>
    <t>c)       A new book questions the fact that Van Gogh’s killed himself</t>
  </si>
  <si>
    <t>d)      Van Gogh died in a wheat field</t>
  </si>
  <si>
    <t>a)      They emphasized Theology in their curriculum.</t>
  </si>
  <si>
    <t>b)      800 years ago, there were 115 of them in Britain.</t>
  </si>
  <si>
    <t>c)       They appeared first in Britain.</t>
  </si>
  <si>
    <t xml:space="preserve">d)      Their model of education differed a lot from the modern one.                                          </t>
  </si>
  <si>
    <t>a)      He wrote from nine until five o’clock every day.</t>
  </si>
  <si>
    <t>b)      He wrote fewer than 200 words a day.</t>
  </si>
  <si>
    <t>c)       He wrote in a form of short hand.</t>
  </si>
  <si>
    <t xml:space="preserve">d)    He later reduced the number of words he wrote each day.                                             </t>
  </si>
  <si>
    <t xml:space="preserve">40.   Great Lives: Graham Greene.       Presenter: So here is Graham Greene, being interviewed in 1969 about the way he wrote his many books.                                                                                                                                                    Interviewer: Are you a nine-to-five man?   Graham Greene: Do you mean working from nine to five? No, good heavens ! I would say that I was a nine till a quarter past ten.    Interviewer: Do you do it all in long hand?  Graham Greene: All in long hand and I set myself a minimum number of words. In the old days it used to be 500 and now, to encourage myself, I have to sometimes put it as low as 200 words a day.  Interviewer: What are your preoccupations in your books?                                                                            Graham Greene: The hunted man, is an obvious one isn’t it. And I suppose it is a dangerous edge …….psychologically and sometimes politically.    What was true about Graham Greene’s writing habits?    </t>
  </si>
  <si>
    <t>EXAMEN DE SEP 2011</t>
  </si>
  <si>
    <t>1.    The G8 summit ended without achieving any significant advances.</t>
  </si>
  <si>
    <t xml:space="preserve">2.    There was a possibility of the presence of unexploded ordnance in the field. </t>
  </si>
  <si>
    <t>3.    The submarine was forced to surface after a SONAR malfunction.</t>
  </si>
  <si>
    <t xml:space="preserve">4.    Civilian contractors need clearance to enter the base. </t>
  </si>
  <si>
    <t>5.    It's too bad the plan didn't work out.</t>
  </si>
  <si>
    <t>6.    We'd better fill up now, we're nearly on empty.</t>
  </si>
  <si>
    <t>7.    The mechanic has his hands filled with the work orders.</t>
  </si>
  <si>
    <t>8.    The plans for the new buildings are innovative and energy efficient.</t>
  </si>
  <si>
    <t>9.    A row broke out between reporters at the press conference.</t>
  </si>
  <si>
    <t>11. W- I can’t believe how well Jimmy speaks Italian!M- You’d become fluent if you spent as much time in Italy as he has.What can be inferred from this conversation?</t>
  </si>
  <si>
    <t>12. W- Hello Ben. Long time no see. Have you been away?M- Hello Rita. Yes. I’ve been in France trying to brush up on my French. W- French! I knew you had studied some languages in the past but I never knew French interested you. M- Oh yes. I’ve been a closet francophile for years. After first learning Spanish and German. W- How interesting. Tell me. When did the language bug bite? M- Well I started learning Spanish at high school but it wasn’t until university that I became well and truly hooked.Q- What does the man mean?</t>
  </si>
  <si>
    <t xml:space="preserve">13.  M- What has happened to the troops?W- They were stranded because their supply chain was broken.            What does the woman mean? </t>
  </si>
  <si>
    <t xml:space="preserve">14. M - Has there been any progress at the meeting? W – The negotiations were stalled after both sides failed to cooperate.What does the woman mean? </t>
  </si>
  <si>
    <t>15. M – Question 10 was hard. Did you get it right? W – I was totally stumped.What does the woman mean?</t>
  </si>
  <si>
    <t xml:space="preserve">16. M - This economic downturn has me totally stressed out.W – I’ll say. These are turbulent times.What does the woman mean? </t>
  </si>
  <si>
    <t xml:space="preserve">17. M - Is the new diner’s food any good? W – I’d say it’s a stretch to call what they serve food.What does the woman mean? </t>
  </si>
  <si>
    <t xml:space="preserve">18. M - Did you like that deal that I.G.T. offered us in the meeting? W- I don’t know. I think I smelled a rat.What did the woman mean? </t>
  </si>
  <si>
    <t xml:space="preserve">19. M- Should I pick up eggs while I’m at the store? W- Only if we’ve finished off the ones in the fridge.What will the man probably do? </t>
  </si>
  <si>
    <t>20. M -  I don’t think I’ll take the position they offered me.W – I understand. Just make sure you don’t shoot yourself in the foot.            What does the woman mean?</t>
  </si>
  <si>
    <t>21. United Nations vs President of IranThe President of Iran made charges that were incendiary even for him today. The Americans in the room at the United Nations got up and walked out. President Obama’s earlier offer of resumed dialogue was rebuffed so what does this mean for the US attempt to curb Iran’s nuclear ambitions? What happened to president Obama’s offer to Iran?</t>
  </si>
  <si>
    <t>22. NewsInquests into the deaths of the fifty-two victims of the seven / seven London bombings opened today. The Coroner, Lady Justice Hammet has already said that they’ll investigate the alleged failings of MI5 in the run up to the attacks on the seventh of July 2005. She said she has a duty to help the families understand fully how their relatives died.What will be investigated?</t>
  </si>
  <si>
    <t>23. US Health careInsurance company phone lines were burning up today (we experience a brief delay) as people tried to get information about their new health care options. We got on the phone too – “ I heard that today I could add my 25-year-old child to the plan” That’s your right starting today. The cost at one health plan we reached  - a rate hike from $130 a month to  $182 a month – a forty percent increaseWhat caused the phone lines to be so busy?</t>
  </si>
  <si>
    <t>24. Rapa Nui – Easter IslandToday we’re on an island far out in the Pacific Ocean. It’s about half the size of the Isle of Wight. It’s 1200 miles from the nearest inhabited island and it’s 2000 miles from the nearest land mass. It’s Rapa Nui, Easter Island, the most remote inhabited island, not just in the Pacific but in the world. Not surprisingly it took human beings a long time to get there. The people of the southern Pacific ocean, the Polynesians, were  without question, the greatest open - ocean voyagers in the history of the world and their ability to move in double- holed canoes over the vast expanses of the Pacific is truly one of the greatest achievements of humanity.Which of the statements below is true according to what you have heard?</t>
  </si>
  <si>
    <t>25. Teresa LewisTeresa Lewis has confessed to a cold and calculating crime asking her lover and a friend to kill her husband and stepson to collect  a $250,000 life  insurance policy. But complicating the case, Lewis did not pull the trigger. The men who did only got life in prison. What can be said about Teresa Lewis?</t>
  </si>
  <si>
    <t>26. Dividing up the ArticRussia and Norway may have just signed a deal forty years in the making on which bits of the oil-and-gas-rich  Barin Sea belong to whom. The two sides even call each other partners. Norway’s in NATO and the Russian President says that NATO’s presence in the Artic is to be viewed with quite serious tension.Which of the following statements is correct?</t>
  </si>
  <si>
    <t>27. Bomb at military ParadeAccording to Iranian media accounts the bomb was planted or attached to a tree in the spectator area of a military parade which is held – well they are held every year at this time – to mark the anniversary of the Iran-Iraq war. So those people who were killed were not members of the military but were spectators - mostly women and childrenWhich statement is true according to what you have heard?</t>
  </si>
  <si>
    <t>28. Ming BanknoteThat ability to convince others to believe in something they can’t see but wish to be true is a terrific trick. Take the first paper money. Someone in China printed a value on a piece of paper and asked everyone else to agree with them, that that paper was actually worth what it said it was. The paper notes you could say, like the Darling children in Peter Pan, were supposed to be “as good as gold” or  in this case “as good as copper” – literally worth the number of copper coins printed on the note. The whole modern banking system of paper and credit is built on this one simple act of faith. Paper money is truly one of the revolutionary inventions of human history.What does paper money depend on?</t>
  </si>
  <si>
    <t>29. Bosnia ElectionsThere are no lyrics in the Bosnian national anthem - just one sign of how hard it is for the country's three ethnic groups to agree on anything. The Dayton Agreement produced a complex government structure based on two ethnic entities. Voters will cast ballots for numerous presidents, prime ministers and parliaments. Travelling through Bosnia, one finds segregated communities. Very few refugees have returned home, and many younger people have never met a member of the other ethnic groups.What can be said about Bosnia?</t>
  </si>
  <si>
    <t>30. Societe GeneraleHe painted himself as a pawn in a system that drove him to take risks. But today the court ruled that Jerome Kerviel should take sole responsibility for one of the biggest banking frauds in history. He was sentenced to three years behind bars and instructed to pay back the 4.9 billion euros of debt he'd run up. For Kerviel, now a computer consultant on 26,000 euros a year, that is a llifetime sentence. The bank will be pleased with this verdict. His managers could not have known, nor suspected, said the court, what he was up to. But Kerviel was gambling with more than the bank's entire stock market value.What can be said about Jerome Kerviel?</t>
  </si>
  <si>
    <t>31. GeorgiaOver the last 12 months, President Saakashvili has overseen some stark changes to the appearance of Georgian towns and cities. In Tbilisi, he presides over a new presidential palace  with a large glass dome. In the seaside resort of Batumi, he has ensured that glitzy casinos line the coast. To those who admire them, they are shimmering symbols of gradual economic growth. And now, the wave of construction, has even reached one of the more isolated regions in the Caucasus mountains.  In the pine-brushed valleys of Svaneti, President Saakashvili recently announced that he wants a ski-resort built there. Builders are already hard at work, under orders to get it ready in time for the winter season.What can be said about President Saakashvili?</t>
  </si>
  <si>
    <t>32. Anti-Immigrant sentiment in EuropePeople in Europe are still suffering from the after-effects of the global financial crisis. People are losing jobs, losing benefits, losing confidence in their financial security, as they are in the United States. In some European countries, this economic insecurity seems to be what's behind rising support for anti-immigrant parties and policies. In Holland and in Sweden, parties on the far-right have made significant gains; in France and Italy we've seen government crackdowns on Roma - or what are also sometimes called gypsy populations.Which statement is correct according to the extract?</t>
  </si>
  <si>
    <t>34. Nobel Prize winnerThe winner of this year's Nobel Prize for Literature was announced this week. Mario Vargas Llosa is one of the most acclaimed writers in the world. NPR's Neda Ulaby has a profile of the first Peruvian to win a Nobel Prize. NEDA ULABY: When he was a little boy, Vargas Llosa was told his father was dead. In fact, he had abandoned the family and it shocked the child when he returned. In a 1988 interview with WHYY's FRESH AIR, Vargas Llosa said the two did not get along. Mr. MARIO VARGAS LLOSA (Winner, Nobel Prize for Literature): My father, as many middle-class people in Latin America in the '50s, thought that to be a writer was to be an eccentric, as someone marginal.Which statement is true about Mario Vargas Llosa?</t>
  </si>
  <si>
    <t>35. Trapped minersThis is WEEKEND EDITION from NPR News. I'm Scott Simon. There's been a breakthrough, and we do not use that word metaphorically, in the story of 33 Chilean miners who've been trapped underground since August 5th. Today, a drill boring a shaft to reach the miners broke through to the underground space that they have occupied for the past 66 days. Now rescuers have to decide whether and when it's safe to extract the men.Which statement is correct according to what you have heard?</t>
  </si>
  <si>
    <t>36. UnemploymentThe economy officially crept out of recession in June 2009. But for many Americans, the more accurate measure is the one that comes out each month from the Labour Department. And yesterday, the numbers didn't look good. Almost 15 million Americans are out of work and the private sector isn't hiring. The typical unemployed worker now searches for at least eight months before finding a new job. And for people over 50, a lot longer.Choose the correct statement</t>
  </si>
  <si>
    <t>37. John LennonThis is WEEKEND EDITION from NPR News. I'm Scott Simon. In August of 1980, David Sheff flew to New York for maybe the biggest magazine assignment there was at that point. He was going to interview John Lennon and Yoko Ono for Playboy. Every day for three weeks, Mr. Sheff, often with his tape recorder running, talked with the couple in their Central Park West apartment, on the street, in coffee shops and in recording studios. The Playboy interview hit the newsstands on December 6th.�Two days later John Lennon was shot dead on the street in front of his apartment building.Which statement is true according to what you have heard?</t>
  </si>
  <si>
    <t>38. President Obama’s speechIn his speech to the United Nations today President Obama underlined that he wants to end the conflict with Iran through peaceful means. “The United States and the international community seek a resolution to our differences with Iran and the door remains open to diplomacy should Iran choose to walk through it”. What did President Obama stress?</t>
  </si>
  <si>
    <t>39. SmokingThere’s been support for a greater Manchester MP’s proposal to release the law on smoking in public places.  ? North MP David Mittle says many bars are closing down because of the ban. He’s putting forward a Private Member’s Bill in the Commons this week that should allow landlords to have a designated smoking room – “ One of things which this Bill would seek to do is to give pub landlords the right to introduce smoking back into their pubs in a separate room with filtration equipment ..”Choose the correct statement</t>
  </si>
  <si>
    <t>40. Who deserves benefits?They say you can judge a civilised society by how it treats its poor but in applying that principle is it reasonable to draw a distinction between the more deserving and less deserving poor. Some say no such distinction can or should be drawn. Our welfare system has generally not tried to draw it either. But the government’s plan to cap the total benefit payout that a family can receive to the median family wage implicitly suggests that very large families might be left worse off than othersWhat does the Government want to do?</t>
  </si>
  <si>
    <t xml:space="preserve">a)    The G8 meeting was productive. </t>
  </si>
  <si>
    <t xml:space="preserve">b)    The G8 meeting advanced in technical issues. </t>
  </si>
  <si>
    <t xml:space="preserve">c)    According to G8 sources, the summit was a success. </t>
  </si>
  <si>
    <t>d)    Little progress was made at the G8 meeting.</t>
  </si>
  <si>
    <t>a)    The field may have been very dangerous.</t>
  </si>
  <si>
    <t xml:space="preserve">b)     Troops were ordered into the field. </t>
  </si>
  <si>
    <t xml:space="preserve">c)    There was an explosion in the field. </t>
  </si>
  <si>
    <t>d)    There was no possibility of explosives in the field.</t>
  </si>
  <si>
    <t>a)    The submarine stayed in deep water.</t>
  </si>
  <si>
    <t>b)    The submarine dove deeper to escape SONAR detection.</t>
  </si>
  <si>
    <t>c)    The submarine had to go to the surface of the ocean.</t>
  </si>
  <si>
    <t>d)    The submarine avoided the surface due to a malfunction.</t>
  </si>
  <si>
    <t xml:space="preserve">a)    Civilian contractors are all cleared to enter the base. </t>
  </si>
  <si>
    <t xml:space="preserve">b)    Civilian contractors must get permission to enter the base. </t>
  </si>
  <si>
    <t xml:space="preserve">c)    The base has been cleared of civilian contractors. </t>
  </si>
  <si>
    <t>d)    Civilian contractors don’t need authorization to enter the base.</t>
  </si>
  <si>
    <t>a)    The plan was to get some exercise.</t>
  </si>
  <si>
    <t>b)    We didn’t have a plan to work out.</t>
  </si>
  <si>
    <t>c)    It's a pity the plan failed.</t>
  </si>
  <si>
    <t>d)    A bad plan will never work out.</t>
  </si>
  <si>
    <t>a)    We’d better not overfill the gas tank.</t>
  </si>
  <si>
    <t>b)    We are in danger of running out of gas.</t>
  </si>
  <si>
    <t>c)    We should feel better now that the tank is full.</t>
  </si>
  <si>
    <t>d)    The gas tank is completely empty so we must fill it.</t>
  </si>
  <si>
    <t>a)    The mechanic has all his work orders completed.</t>
  </si>
  <si>
    <t>b)    The mechanic can leave work early because he's finished all his work.</t>
  </si>
  <si>
    <t>c)    The mechanic is overwhelmed with repair jobs.</t>
  </si>
  <si>
    <t>d)    The mechanic is using many tools.</t>
  </si>
  <si>
    <t>a)    The buildings need better windows and insulation to be energy efficient.</t>
  </si>
  <si>
    <t>b)    The buildings are renovated and expensive.</t>
  </si>
  <si>
    <t>c)    The new buildings are not going to be energy efficient.</t>
  </si>
  <si>
    <t>d)    The building's energy bill will be very affordable.</t>
  </si>
  <si>
    <t>a)    There was a report of a row at the press conference.</t>
  </si>
  <si>
    <t>b)    The reporters got into a fight.</t>
  </si>
  <si>
    <t>c)    The press conference broke up as soon as the reporters arrived.</t>
  </si>
  <si>
    <t>d)    The reporters boycotted the press conference.</t>
  </si>
  <si>
    <t>a)    IBM has shut down.</t>
  </si>
  <si>
    <t>b)    IBM purchased a company.</t>
  </si>
  <si>
    <t>c)    Another company now owns IBM.</t>
  </si>
  <si>
    <t>d)    The crash was IBM's fault.</t>
  </si>
  <si>
    <t>a)    The woman doubts that Jimmy speaks Italian.</t>
  </si>
  <si>
    <t>b)    The woman spent a long time in Italy.</t>
  </si>
  <si>
    <t>c)    The woman is not surprised at Jimmy’s ability to speak Italian.</t>
  </si>
  <si>
    <t>d)    The woman is impressed by Jimmy’s Italian.</t>
  </si>
  <si>
    <t>a)    He wasn’t interested in languages at university.</t>
  </si>
  <si>
    <t>b)    He was more interested in learning languages at high school.</t>
  </si>
  <si>
    <t>c)    His main interest for languages came after leaving high school.</t>
  </si>
  <si>
    <t>d)    He studied at a foreign university hence his soft spot for languages.</t>
  </si>
  <si>
    <t>a)    The troops have just landed.</t>
  </si>
  <si>
    <t>b)    The troops were delayed because they missed the train.</t>
  </si>
  <si>
    <t>c)    The train carrying the supplies broke down.</t>
  </si>
  <si>
    <t>d)    The troops were hindered by a problem.</t>
  </si>
  <si>
    <t>a)    The meeting did not take place.</t>
  </si>
  <si>
    <t>b)    The negotiations were a success.</t>
  </si>
  <si>
    <t>c)    The deliberations were put on hold.</t>
  </si>
  <si>
    <t>d)    Both sides are aiming to negotiate.</t>
  </si>
  <si>
    <t>a)    She found the question easy.</t>
  </si>
  <si>
    <t>b)    She couldn’t answer the question.</t>
  </si>
  <si>
    <t>c)    She couldn’t understand the question.</t>
  </si>
  <si>
    <t>d)    She answered the question correctly.</t>
  </si>
  <si>
    <t>a)    Things are looking up.</t>
  </si>
  <si>
    <t>b)    Things are hopeless.</t>
  </si>
  <si>
    <t>c)    Things are uncertain.</t>
  </si>
  <si>
    <t>d)    Now is the time to prosper.</t>
  </si>
  <si>
    <t>a)    They didn’t serve her when she called in.</t>
  </si>
  <si>
    <t>b)    She wasn’t impressed with the food.</t>
  </si>
  <si>
    <t>c)    The food was delicious.</t>
  </si>
  <si>
    <t>d)    She called in advance for service.</t>
  </si>
  <si>
    <t>a)    The woman is suspicious of the deal.</t>
  </si>
  <si>
    <t>b)    The woman doesn’t know what the deal involves.</t>
  </si>
  <si>
    <t>c)    The woman would like to accept the deal.</t>
  </si>
  <si>
    <t>d)    The woman would like more time to think about the deal.</t>
  </si>
  <si>
    <t>a)    Finish off the eggs.</t>
  </si>
  <si>
    <t>b)    Pick the eggs up off the floor.</t>
  </si>
  <si>
    <t>c)    Buy some eggs.</t>
  </si>
  <si>
    <t>d)    Put the eggs in the fridge.</t>
  </si>
  <si>
    <t>a)    She is worried the man could embarrass himself.</t>
  </si>
  <si>
    <t>b)    She is worried that they will take advantage of the man.</t>
  </si>
  <si>
    <t>c)    She is worried the man could miss an opportunity.</t>
  </si>
  <si>
    <t>d)    She thinks the man should think twice about the position.</t>
  </si>
  <si>
    <t>a)    It was reconsidered</t>
  </si>
  <si>
    <t>b)    It was rejected</t>
  </si>
  <si>
    <t>c)    It was curbed</t>
  </si>
  <si>
    <t>d)    It was burnt</t>
  </si>
  <si>
    <t xml:space="preserve">a)    Deficiencies attributed to  MI5 </t>
  </si>
  <si>
    <t>b)    The number of victims in the attack</t>
  </si>
  <si>
    <t>c)    How the families of the victims helped</t>
  </si>
  <si>
    <t>d)    The inquests</t>
  </si>
  <si>
    <t>a)    The insurance companies were not answering calls</t>
  </si>
  <si>
    <t>b)    The price of health plans had rocketed</t>
  </si>
  <si>
    <t>c)    People were complaining about the new insurance premiums</t>
  </si>
  <si>
    <t xml:space="preserve">d)    People were enquiring about health care plans </t>
  </si>
  <si>
    <t>a)    Easter Island is 1,200 miles from the Isle of Wight</t>
  </si>
  <si>
    <t>b)    The Polynesians were skilled voyagers</t>
  </si>
  <si>
    <t>c)    Rapa Nui was too remote to inhabit</t>
  </si>
  <si>
    <t xml:space="preserve">d)    Rapa Nui is near other inhabited islands </t>
  </si>
  <si>
    <t>a)    She shot her husband</t>
  </si>
  <si>
    <t>b)    She gave $250,000 to her stepson</t>
  </si>
  <si>
    <t>c)    She was the person who planned the crime</t>
  </si>
  <si>
    <t>d)    She asked her lover to collect the insurance money</t>
  </si>
  <si>
    <t>a)    The agreement has taken four years to complete</t>
  </si>
  <si>
    <t>b)    The Barin Sea has a lot of natural resources</t>
  </si>
  <si>
    <t>c)    The Russian President trusts Norway</t>
  </si>
  <si>
    <t>d)    NATO is demanding a share of the resources</t>
  </si>
  <si>
    <t>a)    The parade is held every other year</t>
  </si>
  <si>
    <t>b)    Mostly women and children attend the parade</t>
  </si>
  <si>
    <t>c)    The bomb was in the spectator area</t>
  </si>
  <si>
    <t>d)    The Iranian media were prevented from attending the scene</t>
  </si>
  <si>
    <t>a)    Previously having religious faith</t>
  </si>
  <si>
    <t>b)    Its weight in gold coins</t>
  </si>
  <si>
    <t>c)    Copper coins</t>
  </si>
  <si>
    <t>d)    Accepting the value written on the note as true</t>
  </si>
  <si>
    <t>a)    Younger generations mix across ethnic lines</t>
  </si>
  <si>
    <t>b)    There are three ethnic groups in Bosnia</t>
  </si>
  <si>
    <t>c)    People forced to leave have returned</t>
  </si>
  <si>
    <t>d)    It is dangerous to travel there</t>
  </si>
  <si>
    <t>a)    He might have to spend time in prison</t>
  </si>
  <si>
    <t>b)    His managers also gambled</t>
  </si>
  <si>
    <t>c)    He owes 26,000 euro to the bank</t>
  </si>
  <si>
    <t>d)    He got  a life sentence</t>
  </si>
  <si>
    <t>a)    He is fond of construction</t>
  </si>
  <si>
    <t xml:space="preserve">b)    He dislikes the new appearance of Georgia’s cities </t>
  </si>
  <si>
    <t>c)    He wants builders to get used to working in winter</t>
  </si>
  <si>
    <t>d)    He wants to bring growth to remote regions</t>
  </si>
  <si>
    <t>a)    Holland and Sweden have benefited from the financial crisis</t>
  </si>
  <si>
    <t>b)    There is economic security in Europe</t>
  </si>
  <si>
    <t>c)    Support  for  anti-immigrant policies is on the increase</t>
  </si>
  <si>
    <t>d)    There have been clashes with police in Rome</t>
  </si>
  <si>
    <t>a)    A film called ‘One day on Earth” will be made</t>
  </si>
  <si>
    <t>b)    Marathons will take place in Australia and Argentina</t>
  </si>
  <si>
    <t>c)    There is a restriction on what can be recorded on video</t>
  </si>
  <si>
    <t>d)    There are too many events scheduled</t>
  </si>
  <si>
    <t>a)    He and his father had a difficult relationship</t>
  </si>
  <si>
    <t>b)    This is the first award he has ever received</t>
  </si>
  <si>
    <t>c)    Being a writer, he became quite eccentric</t>
  </si>
  <si>
    <t>d)    In Latin America, he was not accepted in the 1950s</t>
  </si>
  <si>
    <t>a)    The story of the trapped  miners is an allegory</t>
  </si>
  <si>
    <t>b)    Rescuers must ensure the operation is safe</t>
  </si>
  <si>
    <t>c)    The miners are in bad condition after 66 days</t>
  </si>
  <si>
    <t>d)    The drill did not reach the miners</t>
  </si>
  <si>
    <t>a)    It takes everyone eight months to find a job</t>
  </si>
  <si>
    <t>b)    The private sector has now started to employ people</t>
  </si>
  <si>
    <t>c)    The over-50s take longer than most to be re-employed</t>
  </si>
  <si>
    <t>d)    Finding a job is easier now that the recession is over</t>
  </si>
  <si>
    <t>a)    John Lennon was a womaniser</t>
  </si>
  <si>
    <t>b)    Lennon was killed before the interviews were finished</t>
  </si>
  <si>
    <t>c)    Sheff interviewed the couple over a period of three months</t>
  </si>
  <si>
    <t>d)    David Sheff recorded conversations with the couple</t>
  </si>
  <si>
    <t>a)    Conflict resolution  through negotiation</t>
  </si>
  <si>
    <t>b)     Their differences will never be settled</t>
  </si>
  <si>
    <t>c)     Iran must take the first step, then the US will follow</t>
  </si>
  <si>
    <t>d)    The international community is about to give up</t>
  </si>
  <si>
    <t xml:space="preserve">a)    David Mittle presented an estimate for business lost </t>
  </si>
  <si>
    <t>b)    Pub landlords  are objecting to the smoking restrictions</t>
  </si>
  <si>
    <t xml:space="preserve">c)    The MP is fighting a losing battle in the House of Commons </t>
  </si>
  <si>
    <t>d)    Pub landlords have no rights</t>
  </si>
  <si>
    <t>a)    Give money to those who deserve it</t>
  </si>
  <si>
    <t xml:space="preserve">b)    Limit the amount of money paid </t>
  </si>
  <si>
    <t>c)    Increase the average family’s benefits</t>
  </si>
  <si>
    <t>d)    Cater to large families only</t>
  </si>
  <si>
    <t>EXAMEN 201</t>
  </si>
  <si>
    <t>a)      Take up jogging</t>
  </si>
  <si>
    <t>b)      Sing in a karaoke bar</t>
  </si>
  <si>
    <t xml:space="preserve">c)       Save her money </t>
  </si>
  <si>
    <t>d)      Start going to the gym</t>
  </si>
  <si>
    <t>a)      The man didn’t like the Superman film</t>
  </si>
  <si>
    <t>d)       The man wants to see the film</t>
  </si>
  <si>
    <t>a)      The customer asks for a bigger size</t>
  </si>
  <si>
    <t>b)      The assistant doesn’t have any skirts</t>
  </si>
  <si>
    <t xml:space="preserve">c)       The top doesn’t fit </t>
  </si>
  <si>
    <t>d)      The customer is  looking for a dress</t>
  </si>
  <si>
    <t>a)      The prestige</t>
  </si>
  <si>
    <t>b)      The remuneration</t>
  </si>
  <si>
    <t>c)       It is interesting</t>
  </si>
  <si>
    <t>d)      It leads to other job prospects</t>
  </si>
  <si>
    <t>a)      She is a devoted housewife</t>
  </si>
  <si>
    <t xml:space="preserve">b)      Family members help her with the chores </t>
  </si>
  <si>
    <t>c)       Her husband likes ironing shirts</t>
  </si>
  <si>
    <t>d)      Her family do not appreciate her</t>
  </si>
  <si>
    <t>a)      They both work in broadband</t>
  </si>
  <si>
    <t>b)      They both know Alison Weaver</t>
  </si>
  <si>
    <t>c)       They both hold high positions</t>
  </si>
  <si>
    <t>d)      They both work in new media</t>
  </si>
  <si>
    <t xml:space="preserve">a)      The man could win a trip </t>
  </si>
  <si>
    <t>b)      The woman is going on holiday</t>
  </si>
  <si>
    <t>c)       The woman couldn’t answer the questions</t>
  </si>
  <si>
    <t>d)      The prize is a trip to Santiago</t>
  </si>
  <si>
    <t>a)      Several people were injured</t>
  </si>
  <si>
    <t>b)      It was caused by a big car</t>
  </si>
  <si>
    <t>c)       All vehicles observed the speed limit</t>
  </si>
  <si>
    <t>d)      Many  people were killed</t>
  </si>
  <si>
    <t>a)      He needs his iPod for work</t>
  </si>
  <si>
    <t>b)      His job involves travelling</t>
  </si>
  <si>
    <t>c)       He can’t locate a lot of CDs</t>
  </si>
  <si>
    <t>d)      He goes everywhere for his job</t>
  </si>
  <si>
    <t>a)      She is wearing glasses now</t>
  </si>
  <si>
    <t>b)      She only wears contact lenses now</t>
  </si>
  <si>
    <t>c)       She stopped wearing glasses when she was two</t>
  </si>
  <si>
    <t>d)      She doesn’t wear glasses or lenses anymore</t>
  </si>
  <si>
    <t>a)      He is a fanatic traveller</t>
  </si>
  <si>
    <t>b)      Part of his collection is in his house</t>
  </si>
  <si>
    <t>c)       He plays about half of the instruments</t>
  </si>
  <si>
    <t>d)      Instruments are sent to him</t>
  </si>
  <si>
    <t>a)      British food is getting better</t>
  </si>
  <si>
    <t>b)      Celebrities cook on TV</t>
  </si>
  <si>
    <t>c)       Baking competitions are popular now</t>
  </si>
  <si>
    <t>d)      Fifteen percent of people now bake</t>
  </si>
  <si>
    <t>a)      She felt the second one, ‘Post’, was better</t>
  </si>
  <si>
    <t>b)      The first one took ten years to make</t>
  </si>
  <si>
    <t>c)       Reaction to the first one was disappointing</t>
  </si>
  <si>
    <t>d)      They were very difficult to make</t>
  </si>
  <si>
    <t>a)      He doesn’t expect it to work</t>
  </si>
  <si>
    <t>b)      It will only work for half of humanity</t>
  </si>
  <si>
    <t xml:space="preserve">c)       People will continue to resist it </t>
  </si>
  <si>
    <t>d)      It will only succeed if it includes everyone</t>
  </si>
  <si>
    <t>a)      Penicillin is the best</t>
  </si>
  <si>
    <t>b)      It’s difficult to find alternatives now</t>
  </si>
  <si>
    <t>c)       They are not as effective as before</t>
  </si>
  <si>
    <t>d)      They were discovered in Australia</t>
  </si>
  <si>
    <t>a)      Being able to cause trouble</t>
  </si>
  <si>
    <t>b)      Already having a job</t>
  </si>
  <si>
    <t>c)       Being under 25</t>
  </si>
  <si>
    <t xml:space="preserve">d)      Having connections in the army </t>
  </si>
  <si>
    <t>a)      They are in their forties</t>
  </si>
  <si>
    <t>b)      They are caring and often shy</t>
  </si>
  <si>
    <t>c)       They are usually men</t>
  </si>
  <si>
    <t>d)      They are  extroverts</t>
  </si>
  <si>
    <t>a)      He likes wearing suits</t>
  </si>
  <si>
    <t>b)      The clubs he goes to are formal</t>
  </si>
  <si>
    <t>c)       He is twenty-five years old</t>
  </si>
  <si>
    <t xml:space="preserve">d)      He couldn’t live without sports shoes </t>
  </si>
  <si>
    <t xml:space="preserve">a)      Give money to the less fortunate </t>
  </si>
  <si>
    <t xml:space="preserve">b)      She doesn’t know </t>
  </si>
  <si>
    <t>c)       Begin to make things possible</t>
  </si>
  <si>
    <t>d)      Go to faraway places</t>
  </si>
  <si>
    <t>a)      Never at weekends</t>
  </si>
  <si>
    <t>b)      Seven days a week</t>
  </si>
  <si>
    <t>c)       Every day except Wednesday</t>
  </si>
  <si>
    <t>d)      When  he wants to</t>
  </si>
  <si>
    <t>a)      Earn twenty thousand pounds a year</t>
  </si>
  <si>
    <t>b)      Travel around the world</t>
  </si>
  <si>
    <t>c)       Stay in university</t>
  </si>
  <si>
    <t>d)      Work in business</t>
  </si>
  <si>
    <t>a)      Customer satisfaction</t>
  </si>
  <si>
    <t>b)      Promotion of products</t>
  </si>
  <si>
    <t>c)       Careful use of resources</t>
  </si>
  <si>
    <t>d)      Support from the staff</t>
  </si>
  <si>
    <t>a)      He has travelled extensively</t>
  </si>
  <si>
    <t>b)      He has made a wide a circle of friends</t>
  </si>
  <si>
    <t>c)       He has obtained qualifications</t>
  </si>
  <si>
    <t>d)      He has become financially stable</t>
  </si>
  <si>
    <t>a)      She doesn’t have a bike anymore</t>
  </si>
  <si>
    <t>b)      The bike got damaged in the truck</t>
  </si>
  <si>
    <t>c)       The Channel Islands are hilly</t>
  </si>
  <si>
    <t>d)      She used to ride her bike to work</t>
  </si>
  <si>
    <t>a)      It helps people to enjoy their work</t>
  </si>
  <si>
    <t>b)      It improves relations between colleagues</t>
  </si>
  <si>
    <t>c)       It encourages people to express themselves</t>
  </si>
  <si>
    <t>d)      It helps to increase production</t>
  </si>
  <si>
    <t>a)      English subtitles are used on television</t>
  </si>
  <si>
    <t>b)      Radio announcers speak in English</t>
  </si>
  <si>
    <t>c)       Films are often shown in English</t>
  </si>
  <si>
    <t>d)      English is not  widely used in Sweden</t>
  </si>
  <si>
    <t>a)      Use of water in food cultivation</t>
  </si>
  <si>
    <t>b)      Water and hygiene</t>
  </si>
  <si>
    <t>c)       Water and global warming</t>
  </si>
  <si>
    <t>d)      Supplying cities with water</t>
  </si>
  <si>
    <t>a)      He was a Dell employee</t>
  </si>
  <si>
    <t>b)      He complained every day about Dell</t>
  </si>
  <si>
    <t>c)       In the end he got his money back</t>
  </si>
  <si>
    <t xml:space="preserve">d)      Other people objected to his criticisms </t>
  </si>
  <si>
    <t>a)      Testing the car</t>
  </si>
  <si>
    <t>b)      Handling the wheels</t>
  </si>
  <si>
    <t xml:space="preserve">c)       Having your two hands occupied </t>
  </si>
  <si>
    <t>d)      Cans of beer and packets of crisps</t>
  </si>
  <si>
    <t>a)      He reads the forecast every Friday</t>
  </si>
  <si>
    <t>b)      He read the forecast for weeks  in Scotland</t>
  </si>
  <si>
    <t>c)       He studied meteorology after  working in radio</t>
  </si>
  <si>
    <t>d)      He read the forecast for footballers</t>
  </si>
  <si>
    <t>a)      It requires technical knowledge.</t>
  </si>
  <si>
    <t>b)      It suits shy people.</t>
  </si>
  <si>
    <t>c)       Bloggers have to be part of a network.</t>
  </si>
  <si>
    <t xml:space="preserve">d)      Bloggers compete to publish their work.                                                                             </t>
  </si>
  <si>
    <t>a)      He wanted to become King.</t>
  </si>
  <si>
    <t>b)      He wanted to give up the throne.</t>
  </si>
  <si>
    <t>c)       He left London during the bombing.</t>
  </si>
  <si>
    <t>d)      He was venerated by the British public.</t>
  </si>
  <si>
    <t xml:space="preserve">a)      She left her job </t>
  </si>
  <si>
    <t>b)      She sent a message to the government</t>
  </si>
  <si>
    <t>c)       She disagreed with the revolution</t>
  </si>
  <si>
    <t>d)      She became a friend of Bachar Al Assad</t>
  </si>
  <si>
    <t>EXAMEN 201/MP3/Q-1.mp3</t>
  </si>
  <si>
    <t>EXAMEN 201/MP3/Q-2.mp3</t>
  </si>
  <si>
    <t>EXAMEN 201/MP3/Q-3.mp3</t>
  </si>
  <si>
    <t>EXAMEN 201/MP3/Q-4.mp3</t>
  </si>
  <si>
    <t>EXAMEN 201/MP3/Q-5.mp3</t>
  </si>
  <si>
    <t>EXAMEN 201/MP3/Q-6.mp3</t>
  </si>
  <si>
    <t>EXAMEN 201/MP3/Q-7.mp3</t>
  </si>
  <si>
    <t>EXAMEN 201/MP3/Q-8.mp3</t>
  </si>
  <si>
    <t>EXAMEN 201/MP3/Q-9.mp3</t>
  </si>
  <si>
    <t>EXAMEN 201/MP3/Q-10.mp3</t>
  </si>
  <si>
    <t>EXAMEN 201/MP3/Q-11.mp3</t>
  </si>
  <si>
    <t>EXAMEN 201/MP3/Q-12.mp3</t>
  </si>
  <si>
    <t>EXAMEN 201/MP3/Q-13.mp3</t>
  </si>
  <si>
    <t>EXAMEN 201/MP3/Q-14.mp3</t>
  </si>
  <si>
    <t>EXAMEN 201/MP3/Q-15.mp3</t>
  </si>
  <si>
    <t>EXAMEN 201/MP3/Q-16.mp3</t>
  </si>
  <si>
    <t>EXAMEN 201/MP3/Q-17.mp3</t>
  </si>
  <si>
    <t>EXAMEN 201/MP3/Q-18.mp3</t>
  </si>
  <si>
    <t>EXAMEN 201/MP3/Q-19.mp3</t>
  </si>
  <si>
    <t>EXAMEN 201/MP3/Q-20.mp3</t>
  </si>
  <si>
    <t>EXAMEN 201/MP3/Q-21.mp3</t>
  </si>
  <si>
    <t>EXAMEN 201/MP3/Q-22.mp3</t>
  </si>
  <si>
    <t>EXAMEN 201/MP3/Q-23.mp3</t>
  </si>
  <si>
    <t>EXAMEN 201/MP3/Q-24.mp3</t>
  </si>
  <si>
    <t>EXAMEN 201/MP3/Q-25.mp3</t>
  </si>
  <si>
    <t>EXAMEN 201/MP3/Q-26.mp3</t>
  </si>
  <si>
    <t>EXAMEN 201/MP3/Q-27.mp3</t>
  </si>
  <si>
    <t>EXAMEN 201/MP3/Q-28.mp3</t>
  </si>
  <si>
    <t>EXAMEN 201/MP3/Q-29.mp3</t>
  </si>
  <si>
    <t>EXAMEN 201/MP3/Q-30.mp3</t>
  </si>
  <si>
    <t>EXAMEN 201/MP3/Q-31.mp3</t>
  </si>
  <si>
    <t>EXAMEN 201/MP3/Q-32.mp3</t>
  </si>
  <si>
    <t>EXAMEN 201/MP3/Q-33.mp3</t>
  </si>
  <si>
    <t>EXAMEN 201/MP3/Q-34.mp3</t>
  </si>
  <si>
    <t>EXAMEN 201/MP3/Q-35.mp3</t>
  </si>
  <si>
    <t>EXAMEN 201/MP3/Q-36.mp3</t>
  </si>
  <si>
    <t>EXAMEN 201/MP3/Q-37.mp3</t>
  </si>
  <si>
    <t>EXAMEN 201/MP3/Q-38.mp3</t>
  </si>
  <si>
    <t>EXAMEN 201/MP3/Q-39.mp3</t>
  </si>
  <si>
    <t>EXAMEN 201/MP3/Q-40.mp3</t>
  </si>
  <si>
    <t>&lt;b&gt;Active Volcano. News in Levels. &lt;/b&gt;&lt;br&gt;Mexico's Popocatepetl Volcano has erupted. I has covered people's houses with dust. There is a lot of smoke. The region is now in danger. There are 50,000 residents in the area. They are not afraid. They are still going to work and school. The government has raised the warning from 1 to 3.</t>
  </si>
  <si>
    <t>&lt;b&gt;Police Caught a Man.&lt;/b&gt;&lt;br&gt;A wanted criminal was found and arrested when he was relaxing at a pool in Spain. The moment of his arrest was recorded and put on the internet. The 31-year-old man had stolen 25,000 pounds in the UK. He was arrested in 2009 but he managed to escape. This time, he was not so lucky. The team of policeman approached him slowly and quietly. It was a surprise attack. He had no chance.</t>
  </si>
  <si>
    <t>&lt;b&gt;Deer Hit a Bus. News in Levels. &lt;/b&gt;&lt;br&gt;A bus in Pennyslvania was going on its usual way when a bad accident happened. A deer crashed into the bus and got inside through the windscreen. A video shows both the bus driver and the deer quite shocked. The deer was running and hitting things in the bus as it tried to find the exit. Luckily, there was only one passenger on the bus. The driver and the passenger didn't get hurt.</t>
  </si>
  <si>
    <t>&lt;b&gt;Design a Fairtrade Uniform. &lt;/b&gt;&lt;br&gt;A competition to design a school uniform and help struggling cotton farmers is being launched. Fairtrade, who work for a better deal for farmers and communities in the developing world, is challenging young people to design a school uniform for the future using Fairtrade cotton. The competition winner will have their design made up by ethical retailer, ‘Koolskools’. The winning school will also receive a visit by a Fairtrade farmer from a developing country.</t>
  </si>
  <si>
    <t>&lt;b&gt;British Explorer to Travel Across Arctic Ocean. &lt;/b&gt;&lt;br&gt;British explorer Pen Hadow is taking on a big challenge to study the way the Arctic ocean has changed – by travelling across it alone. His 100-day-long journey will take him from Russia to Canada and across the North Pole. The trek will be ‘unsupported’ which means he won’t stop to gather supplies or  receive any help from machines or dogs, which are often used by Artic explorers. He will be facing some of the most extreme weather on the planet, with temperatures as low as – 50C, blizzards, high winds and snow. During the expedition, Pen will be doing a survey of the Arctic Ocean so that scientists can analyse the way the sea has changed because of environmental issues.</t>
  </si>
  <si>
    <t>&lt;b&gt;India’s Supreme Court Wants to Suspend Cheetah Plan. &lt;/b&gt;&lt;br&gt;India’s Supreme Court wants to suspend a plan to reintroduce the cheetah, which was eradicated from India by hunting nearly a century ago. The Court made the decision because some wildlife experts didn’t like the plan, which involved importing cheetahs from Africa. They say that African cheetahs and Asian cheetahs are completely different. Most of the 10,000 cheetahs left in the world are in Africa and fewer than 100 remain in Iran, roaming in the central deserts.</t>
  </si>
  <si>
    <t>&lt;b&gt;Legionnaires Outbreak Should Start to ‘Slow Down’. &lt;/b&gt;&lt;br&gt;Health experts in Edinburgh think that the number of new cases of Legionnaires’ disease should start to drop. So far there have been 61 suspected and confirmed cases of the illness and one man has died. Four sites around the city have been disinfected to try to kill the bacteria but experts still aren’t sure what the source of the outbreak is. After the weekend they hope to know for certain if the treatments have worked.</t>
  </si>
  <si>
    <t>&lt;b&gt;White Killer Whale Adult Seen For the First Time in the Wild. &lt;/b&gt;&lt;br&gt;Scientists have made what they believe to be the first sighting of an adult white orca, or killer whale. The adult male, which they have nicknamed Iceberg, was spotted off the coast of Eastern Russia. It appears to be healthy and leading a normal life in its pod. A scientist with the Whale and Dolphin Conservation Society said. “ We’ve seen another two white orcas in Russia but they were not mature, whereas this is the first time we have seen a mature adult. It has the full two-meter-high dorsal fin of a mature male, which means it is at least sixteen years old. In fact the fin is a bit ragged, so it could be older. Orcas mature around the age of fifteen and males can live until fifty or sixty years old.</t>
  </si>
  <si>
    <t>&lt;b&gt;Is This the World’s First Car that can Fly? &lt;/b&gt;&lt;br&gt;An American company has demonstrated a car that can also fly. The makers say it’s the first vehicle in the world to have met strict safety standards for both flying and driving in America. This makes it the first “street legal aeroplane”, said the man from the company making it. Known as the Terrafugia Transition, the vehicle has two seats, four wheels and retractable wings. The vehicle completed its first successful test flight near Montreal in Canada in March. A retired U.S. Air Force test pilot took the maiden voyage- after volunteering to do it. The vehicle flew at 1,400 feet for eight minutes.</t>
  </si>
  <si>
    <t>&lt;b&gt;Plane Forced to Return to Gatwick for Emergency Landing. &lt;/b&gt;&lt;br&gt;A plane has had to make an emergency landing just minutes after leaving Gatwick. The Virgin plane on the way to Orlando, in the U.S, was forced to return to the airport after smoke was reported in the cabin. All flights in and out of the airport were stopped as passengers were told to, “Evacuate, evacuate, evacuate.” Liam Moore, a passenger on the Airbus said, “It all happened so quickly. We landed, all doors flung open and the emergency slides were inflated. We had to slide down the chutes, some people got cuts and grazes from the slide.” No-one was seriously hurt.</t>
  </si>
  <si>
    <t>&lt;b&gt;Why Seabirds Could Disappear From Our Coasts For Good. &lt;/b&gt;&lt;br&gt;Experts from the bird charity, RSPB, say some of the U.K’s most impressive seabirds could be disappearing from England’s coastline. They say climate change is to blame-the birds need fish for their food, and the fish are staying in colder seas further north of Britain. To work out what’s really happening, researchers are starting a massive count at one of Britain’s most important homes to seabirds –Bempton Cliffs in East Yorkshire.</t>
  </si>
  <si>
    <t>&lt;b&gt; ‘World’s Biggest Dinosaur Eggs’ Found in Chechnya. &lt;/b&gt;&lt;br&gt;A group of builders in Russia’s Chechnya are claiming to have unearthed the ‘world’s biggest dinosaur eggs.’ The discovery was made as the men were blasting through a mountainside to create a new road. A team of geologists looked at the smooth, oval rock-like forms and it was not long before they began to believe they were staring at huge fossils. The eggs range from 25 centimeters to one meter in size and more than 40 have been found so far. However, not everyone is convinced. One Russian dinosaur expert, or Palaeontologist, doesn’t think the eggs are real. “Unfortunately, it’s not true. Dinosaurs laid small eggs and they did not lay eggs while jumping about like mountain goats,” she said. Dinosaurs have been extinct for 65 million years, but new discoveries of their bones and eggs are still made today.</t>
  </si>
  <si>
    <t>&lt;b&gt;Should Schools Have Public Speaking Lessons? &lt;/b&gt;&lt;br&gt;Everyone at school should be given lessons in public speaking and job interview techniques, according to politician Stephen Twigg. He’s in charge of education ideas for the Labor Party, although they aren’t currently in power and can’t control what happens in schools at the moment. He believes training in communication skills would help pupils compete with kids who have been to private school. The national curriculum is under review and there’ll be changes by autumn 2014. Although some state schools do speaking classes, Mr. Twigg thinks they should form part of the national curriculum. He said he wants “all pupils to have the same opportunities to develop their verbal communication and presentation skills.”</t>
  </si>
  <si>
    <t>&lt;b&gt;Global Push to Eradicate Polio Disease by WHO. &lt;/b&gt;&lt;br&gt;The World Health Organisation is launching one final push to wipe out polio for good. It’s set to declare polio a ‘global health emergency’ after an explosion of the devastating disease over the past two years. Polio is still a big problem in Afghanistan, Pakistan and Nigeria. But earlier this year India, which has a population of 1.2 billion, became polio free following a massive vaccination campaign. Polio is an infectious disease that mainly affects young children. It is transmitted via contaminated food and water. It can lead to sufferers becoming paralyzed, and, in worst cases, cause death. It’s thought that things like war and a lack of trust in vaccinations have led to fewer children getting the right protection. No-one has caught polio in the UK since 1982.</t>
  </si>
  <si>
    <t>&lt;b&gt;Saving the Planet From its People. &lt;/b&gt;&lt;br&gt;A major report about the effects of population growth on our planet has made nine recommendations for answers to the world’s problems. ‘People and the Planet’ was released this week by the Royal Society. It focuses on the world’s increasing population and the problems this is causing. The report says that the most urgent thing is for developed countries to stop using up so much food and materials and to reduce waste and use more sustainable technologies. The first recommendation of the report is to reduce inequality. At the moment, there are 1.3 billion people who survive on less than 75 pence per day. The report says that developing countries will be increasing in size so much, that it is the same as building a city of a million people every five days between now and 2050.</t>
  </si>
  <si>
    <t>&lt;b&gt;Plastic-Eating Fungi Discovered. First News. March 27 2012.          &lt;/b&gt;&lt;br&gt;A type of fungus that can ‘eat’ plastic has been discovered in the Amazon rainforest. It has been found that the fungi can break down a common type of plastic. This is backed up by Mark Osborn, a professor of microbial ecology. These discoveries suggest that fungi could be used to help reduce the problem of plastic waste. However, at present, due to the incredibly large amount of plastic waste in the world, it would take a very long time to break down each piece of plastic in this way. The plastic industry is concerned that the new discovery could threaten their business. At present, use of the fungus has been controlled but, if it escaped into the environment, it may start to break down plastics that are in use. Around 260 million tons of plastic are produced each year. Much of this ends up in landfill, where it can take hundreds of years to break down.</t>
  </si>
  <si>
    <t xml:space="preserve">&lt;b&gt;Did the Moon Help to Sink the Titanic? &lt;/b&gt;&lt;br&gt;Astronomers from Texas State University say that the iceberg that sank the Titanic could have been set in motion by the unusually high tides in January 1912. The Titanic sank just after 2am on 15 April 1912, after an iceberg ripped a 90m gash in the ship’s hull. Nearly 1,500 people died in the freezing waters of the North Atlantic. The ship had received several warnings saying that there were icebergs on its route. Reports from the time say that shipping lanes in the area were littered with icebergs, which was quite unusual. Icebergs floating south from Greenland usually get stuck in shallow waters and only set off again when they melt or a high tide releases them. However, on January 4 1912, the moon was at a point in its orbit which is closest to the Earth. This particular year was the closest the moon has been in 1,400 years. The day before, the Earth was also at the closest point to the sun. </t>
  </si>
  <si>
    <t>&lt;b&gt;New Report Blames Riots on Schools and Families. &lt;/b&gt;&lt;br&gt;Ever since last summer’s riots, a panel of experts has been looking at why young people took part. The members spoke to communities affected by the riots to see what they thought the causes were. Their report suggests that schools and families are to blame for not giving enough support to children and teenagers. It also says that social networks such as Facebook made the riots worse. The experts say that schools need to play a bigger role in helping children to become better adults. The report suggests that schools which don’t teach their pupils proper reading and writing skills should be fined. But Brian Lightman, General Secretary of the Association of School and College Leaders, said fining schools would only “add further to the problems they faced.” Around 15,000 people are thought to have taken part in the riots which happened in cities across England.</t>
  </si>
  <si>
    <t>&lt;b&gt;Massive Rise in Asian Eye Damage.  &lt;/b&gt;&lt;br&gt;Up to 90% of school leavers in major Asian cities are suffering from myopia, which is short-sightedness, a study suggests. Researchers say the ‘extraordinary rise’ in the problem is being caused by students working very hard in school and missing out on outdoor light. In the U.K. the average level of myopia is between 20% and 30%. According to the study, this was once the average among people in South East Asia as well. According to the research, the problem is being caused by a combination of factors including a commitment to education and a lack of outdoor light. Many children in South East Asia spend long hours studying at school and doing their homework. This in itself puts pressure on the eyes, but exposure to between two and three hours of daylight acts as a counterbalance and helps maintain healthy eyes.</t>
  </si>
  <si>
    <t>&lt;b&gt;Idyllic Myanmar Islands Remain Unwelcoming. &lt;/b&gt;&lt;br&gt;The beaches of this southern Burmese archipelago are perfect, easily fulfilling the clichés of a tropical paradise. But a vast majority of the 800 islands here are also something else: empty. In a part of the world otherwise packed with humanity, a visitor can travel an entire afternoon in a wooden boat among the islands and only see a few fishermen. As Myanmar opens up to the world, it could become the next frontier for Asian tourism. But it is not a project for tomorrow. Even as the archipelago leaves behind decades of military rule, it remains paradise in a police state. The few dozen tourists who visit each month are carefully monitored. Eight copies of their passports are made and distributed to various elements of the authorities. The reasons for the security precautions are unclear.</t>
  </si>
  <si>
    <t xml:space="preserve">&lt;b&gt;Australia Probe into iPhone ‘Fire’ on Plane. &lt;/b&gt;&lt;br&gt;Australian air safety officials have launched an investigation after an airline passenger’s Apple iphone apparently caught fire during a flight. Local airline Regional Express said the phone began glowing red and emitting dense smoke after the plane landed in Sydney on Friday. Flight attendants had to douse the phone, which has since been handed to investigators. Officials said they would be consulting Apple as part of their inquiry. “We have no previous records of iPhones undergoing spontaneous self-ignition,” a spokesman for the Australian Transport and Safety Bureau told AFP news agency. “We do have the phone, it’s in our custody, and we will be undertaking a technical examination of it.” Apple said it was looking forward to working with the investigators. </t>
  </si>
  <si>
    <t>&lt;b&gt;Astronomers Weigh in on Milky Way’s True Colors. &lt;/b&gt;&lt;br&gt;Astronomers have determined exactly what color our home galaxy the Milky Way is – and find it is aptly named. While it appears white from Earth, that is literally a trick of the light; the question is how it looks from outside. A comparison of star types in other galaxies gives perhaps an unsurprising result: white. But not just any white: specifically, like spring snow at an hour after sunrise. “For astronomers, one of the most important parameters is actually the color of the galaxy,” Jeffrey Newman of the University of Pittsburgh told BBC News. “That tells us how old the stars in the galaxy are, how recently it’s been forming stars – are they forming today or did its stars form billions years ago?”And what does the color tell us about our Milky Way’s development – is it a cosmic newcomer or past its prime? “It appears our Milky Way is on the road between those two stages –based on the color we find, the rate of formation of stars has been declining over time,” Professor Newman said.</t>
  </si>
  <si>
    <t>&lt;b&gt;Panama Canal Expansion Workers Strike Over Pay. &lt;/b&gt;&lt;br&gt;Several thousand workers at a major project to widen the Panama Canal are on indefinite strike over pay. The strikers are demanding higher wages as well as back pay. The Panama Canal, which connects the Atlantic and Pacific Oceans, handles some 5% of world trade with about 14,000 ships passing through each year. Workers are demanding an increase in the basic pay from $2.90 to $4.90 an hour. They also say they are due overtime payments and are calling for an improvement in safety. The United Group (GUPC), the multinational consortium in charge of the $5.25 billion project, said it was working to correct some mistakes with its payroll. It also said it abided by Panamanian regulations. The GUPC said it was ready for talks but noted that its wages were above the minimum paid in the rest of Panama. The Panama expansion project is due for completion in 2014.</t>
  </si>
  <si>
    <t>&lt;b&gt;Mild Drought Caused Maya Collapse in Mexico, Guatemala. &lt;/b&gt;&lt;br&gt;Relatively mild drought conditions may have been enough to cause the collapse of the Classic Maya civilization, which flourished until about 950AD. Scientists have long thought that severe drought caused its collapse. But Mexican and British researchers now think that a sustained drop in rainfall of only 25-40% was enough to exhaust seasonal water supplies in the region. Scientists used advanced modeling techniques to estimate rainfall and evaporation rates between 800 and 950AD, when the classic Maya civilization went into sharp decline. They found that a modest decline in rainfall was enough to deplete freshwater storage systems in the Yucatan lowlands, where there are no rivers. “Societal disruptions and abandonment of cities are likely consequences of critical water shortages,” said Professor Eelco Rohling.</t>
  </si>
  <si>
    <t>&lt;b&gt;Ancient Plant Brought to Life. &lt;/b&gt;&lt;br&gt;Scientists working in Russia have managed to grow fertile plants from frozen 30,000-year-old specimens found nearly 40m underground. Seeds and fruits from various flowers were found deep underneath the permafrost (permanently frozen ground) in northeast Siberia, at temperatures of around minus seven degrees Celsius. They had been stored in burrows near the Kolyma River by Arctic ground squirrels. Taking the fruits from the plants found in the burrows, the scientists grew them in the lab. They found that the plants were identical to modern-day ones as they were first growing, although their leaf shapes were slightly different. Although other experts have found examples of simple creatures like bacteria, algae and yeast in permafrost, these plants are the first flowers that have been shown to be capable of life after being buried and frozen for so long.</t>
  </si>
  <si>
    <t>&lt;b&gt;French Alpine Glaciers in Retreat. &lt;/b&gt;&lt;br&gt;Glaciers in the French Alps have lost a quarter of their area in the past 40 years, according to new research. In the late 1960s/early 1970s, the ice fields slipping down Mont Blanc and the surrounding mountains of the European range covered some 375 sq km. The research has been presented at the American Geophysical Union (AGU) Fall Meeting, the world’s largest annual gathering of Earth scientists. The new French Alps glaciers inventory was produced by Marie Gardent from the University of Savoie, and colleagues. It assessed the roughly 600 glaciers in broad areas. The team drew upon map archives, past satellite imagery and aerial photographs. Manual inspection was used to check the automatic delineation methods employed in the pictures was correct. “We use manual delineation to verify the satellite data because there can be a problem with debris cover on a glacier,” explained Ms. Gardent. “Automatic delineation from satellite data will sometimes say there is no glacier when in fact we know there is one there. Also, deep shadows can hide the glacier margins.”</t>
  </si>
  <si>
    <t>&lt;b&gt;Why Are Indians Dying From Alcohol Poisoning. &lt;/b&gt;&lt;br&gt;More than 100 people have died after drinking toxic alcohol in the Indian state of West Bengal, in the latest example of fatal poisoning in the country. So why does it happen? Stomach ache, vomiting, fits and even death. The consequences of drinking illegal alcohol sold on India’s streets could not be more serious. An estimated 126 people have died this week in West Bengal, but it’s a problem that has blighted the country for years. The authorities last week introduced the death penalty for those supplying it. One of the fatal ingredients is believed to be methyl alcohol, or methanol, a substance which sweetens it but which has industrial purposes as a solvent and antifreeze. So why is such a harmful substance being used to make alcoholic drinks? One reason is the huge unfulfilled demand for booze which drives supply underground into an unregulated industry, says author, Aniruddha Mookherjee “The state controls the alcohol business almost completely.” The legal alcohol supply is produced from molasses. But a heavy duty means it’s priced beyond the reach of 80% of Indians. The illegal alcohol, derived from cane sugar, is sold for a fraction of the price. “And without a culture of social drinking,” says Mr. Mookherjee, “people are looking for something that can offer them a cheap kick.</t>
  </si>
  <si>
    <t>&lt;b&gt;Stargazers Find ‘Largest Galaxy Cluster Ever Seen. &lt;/b&gt;&lt;br&gt;The largest distant galaxy cluster has been spotted by astronomers using a telescope in the country of Chile. Seven billion light years away and with two million billion times the mass of the sun, the cluster was nicknamed “the Fat One”. One of the experts, Professor Jack Hughes said that looking at “The Fat One” helps them understand the way the Universe was formed. He said “it could become the most massive cluster known about”. Galaxy clusters are described as the largest stable structures in our Universe. They form when galaxies – like the Milky Way which contains our solar system – collide or merge together.</t>
  </si>
  <si>
    <t xml:space="preserve">&lt;b&gt;Hamid Karzai Makes Plea at Afghanistan Summit in Bonn. &lt;/b&gt;&lt;br&gt;Afghan President Hamid Karzai has said international support after foreign forces withdraw in 2014 is crucial if Afghanistan is to remain stable. His comments opened a major global conference on Afghanistan’s future in the German city of Bonn. It comes 10 years after a similar gathering held in the city, weeks after the Taliban fell from power. But key player Pakistan is boycotting this round in protest at a Nato attack on a border checkpoint. NATO apologized for the air strike on 26 November 2011 in which 24 Pakistani troops were killed and US President Barack Obama also offered his condolences, but Pakistan has insisted it will not reverse its decision on the talks. President Karzai hailed the progress Afghanistan has made in the decade since the last conference, but warned that such gains were by no means secure. He said the conference presented an opportunity for Afghanistan to consolidate its gains. </t>
  </si>
  <si>
    <t>a)      People are scared</t>
  </si>
  <si>
    <t>b)      The volcano is dangerous</t>
  </si>
  <si>
    <t>d)      The warning has decreased</t>
  </si>
  <si>
    <t>a)      He has escaped again</t>
  </si>
  <si>
    <t>b)      He was swimming in the pool</t>
  </si>
  <si>
    <t>a)      The bus was empty</t>
  </si>
  <si>
    <t>b)      The driver was hurt</t>
  </si>
  <si>
    <t>d)      The deer was inside the bus</t>
  </si>
  <si>
    <t>a)      Create a uniform</t>
  </si>
  <si>
    <t>c)      Alter a uniform</t>
  </si>
  <si>
    <t>d)      Make a uniform</t>
  </si>
  <si>
    <t>a)      He will collect supplies</t>
  </si>
  <si>
    <t>b)      He will be unaccompanied</t>
  </si>
  <si>
    <t>d)      He will take dogs with him</t>
  </si>
  <si>
    <t>a)      Wildlife experts approve of the plan</t>
  </si>
  <si>
    <t>b)      Cheetahs everywhere are similar</t>
  </si>
  <si>
    <t>d)      India’s Supreme Court proposed the plan</t>
  </si>
  <si>
    <t>a)      It has not yet been confirmed</t>
  </si>
  <si>
    <t>b)      Its origin is unknown</t>
  </si>
  <si>
    <t>d)      Experts believe it will worsen</t>
  </si>
  <si>
    <t>a)      It is the third mature one seen by scientists</t>
  </si>
  <si>
    <t>b)      It is believed to be very old</t>
  </si>
  <si>
    <t>d)      It appears to be in good condition</t>
  </si>
  <si>
    <t>a)      He owes money</t>
  </si>
  <si>
    <t>b)      He will stop working</t>
  </si>
  <si>
    <t>d)      He has just arrived in New York</t>
  </si>
  <si>
    <t xml:space="preserve">10.   What is said about the vehicle? </t>
  </si>
  <si>
    <t>a)      Its first trip went well</t>
  </si>
  <si>
    <t>b)      It will be used by the airforce</t>
  </si>
  <si>
    <t>d)      It can only carry the pilot</t>
  </si>
  <si>
    <t xml:space="preserve">11.   Which statement is true? </t>
  </si>
  <si>
    <t>a)      The plane reached Orlando</t>
  </si>
  <si>
    <t>b)      Passengers were badly injured</t>
  </si>
  <si>
    <t>d)      The airport was evacuated</t>
  </si>
  <si>
    <t xml:space="preserve">12.   What is said about the seabirds? </t>
  </si>
  <si>
    <t>a)      They are moving to the north of Britain</t>
  </si>
  <si>
    <t>b)      Their numbers are declining on Britain’s coast</t>
  </si>
  <si>
    <t>d)      They appear to be unaffected by climate change</t>
  </si>
  <si>
    <t xml:space="preserve">13.   What is said about the dinosaur eggs? </t>
  </si>
  <si>
    <t>a)      They are unusually small</t>
  </si>
  <si>
    <t>b)      Dinosaur bones were found with them</t>
  </si>
  <si>
    <t>d)      Scientists have confirmed the eggs are real</t>
  </si>
  <si>
    <t xml:space="preserve">14.   Which statement is true? </t>
  </si>
  <si>
    <t>a)      Stephen Twigg has changed the school curriculum</t>
  </si>
  <si>
    <t>b)      Private school students lack speaking skills</t>
  </si>
  <si>
    <t>d)      The school curriculum is being reconsidered</t>
  </si>
  <si>
    <t xml:space="preserve">15.   What is said about polio? </t>
  </si>
  <si>
    <t>a)      It is still a problem in India</t>
  </si>
  <si>
    <t>b)      It can be passed on through food</t>
  </si>
  <si>
    <t>d)      Anti-polio vaccinations are not widely available</t>
  </si>
  <si>
    <t xml:space="preserve">16.   What is stated in the Royal Society report? </t>
  </si>
  <si>
    <t>a)      Developing countries should use fewer materials</t>
  </si>
  <si>
    <t>b)      Inequality around the world is declining</t>
  </si>
  <si>
    <t>d)      Developed countries need to conserve materials</t>
  </si>
  <si>
    <t xml:space="preserve">17.   What is said about the fungus? </t>
  </si>
  <si>
    <t>a)      It is destroying the plastic industry</t>
  </si>
  <si>
    <t>b)      It is destroying plastics in use</t>
  </si>
  <si>
    <t xml:space="preserve">d)      The plastic industry is worried about it         </t>
  </si>
  <si>
    <t xml:space="preserve">18.   Which of the following is true? </t>
  </si>
  <si>
    <t>a)      The Titanic was overturned by the tides</t>
  </si>
  <si>
    <t>b)      There were many icebergs in the vicinity</t>
  </si>
  <si>
    <t xml:space="preserve">d)      The moon was more distant in 1912           </t>
  </si>
  <si>
    <t xml:space="preserve">19.   What is said about the riots? </t>
  </si>
  <si>
    <t>a)      Schools have been cleared of the blame</t>
  </si>
  <si>
    <t>b)      Social networks contributed to the problem</t>
  </si>
  <si>
    <t>d)      Several hundred people participated in them</t>
  </si>
  <si>
    <t xml:space="preserve">20.   What is said about eye damage in Asia? </t>
  </si>
  <si>
    <t>a)      It is aggravated by excessive studying</t>
  </si>
  <si>
    <t>b)      It is more common in poorer communities</t>
  </si>
  <si>
    <t>d)      It is still less common than in western countries</t>
  </si>
  <si>
    <t xml:space="preserve">21.   What is said about tourism on Myanmar’s islands? </t>
  </si>
  <si>
    <t>a)      The islands are overrun with tourists</t>
  </si>
  <si>
    <t>b)      Tourism is being actively promoted here</t>
  </si>
  <si>
    <t>d)      It is not possible to visit the islands</t>
  </si>
  <si>
    <t xml:space="preserve">22.   Which of the following is true?                                                                                                     </t>
  </si>
  <si>
    <t>a)      Water was poured onto the iPhone.</t>
  </si>
  <si>
    <t>b)      iPhones have been known to catch fire before.</t>
  </si>
  <si>
    <t xml:space="preserve">d)      The iPhone caught fire while the plane was airborne.                                                           </t>
  </si>
  <si>
    <t xml:space="preserve">23.   According to the report;                                                                                                                        </t>
  </si>
  <si>
    <t>a)      The color of a galaxy is of significance for astronomers.</t>
  </si>
  <si>
    <t>b)      Astronomers believe the Milky Way is inappropriately named.</t>
  </si>
  <si>
    <t xml:space="preserve">d)      Stars in the Milky Way are forming more rapidly now than in previous times.                </t>
  </si>
  <si>
    <t xml:space="preserve">24.   According to the report;                                                                                                                        </t>
  </si>
  <si>
    <t>a)      The workers and the company are set to reach an agreement.</t>
  </si>
  <si>
    <t>b)      The company admits its wages are lower than normal.</t>
  </si>
  <si>
    <t xml:space="preserve">d)      The company admits its payroll requires adjustment.                                                       </t>
  </si>
  <si>
    <t xml:space="preserve">25.   What is now believed about the Maya civilization? </t>
  </si>
  <si>
    <t>a)      An ongoing reduction in rainfall caused its collapse</t>
  </si>
  <si>
    <t>b)      It flourished despite a long period of drought</t>
  </si>
  <si>
    <t xml:space="preserve">d)      Social disruptions and conflicts led to its demise      </t>
  </si>
  <si>
    <t xml:space="preserve">26.   What is said about the plants? </t>
  </si>
  <si>
    <t>a)      Their seeds were stored by animals</t>
  </si>
  <si>
    <t>b)      They were very different to modern ones</t>
  </si>
  <si>
    <t xml:space="preserve">d)      It was difficult to grow them in the lab    </t>
  </si>
  <si>
    <t xml:space="preserve">27.   The report states that;                                                                                                               </t>
  </si>
  <si>
    <t>a)      It is not possible to check satellite data accurately.</t>
  </si>
  <si>
    <t>b)      French Alpine Glaciers have lost 40% of their area.</t>
  </si>
  <si>
    <t xml:space="preserve">d)      Automatic delineation methods are not always accurate.                                         </t>
  </si>
  <si>
    <t xml:space="preserve">28.   Which of the following is true?                                                                                                    </t>
  </si>
  <si>
    <t>a)      The practice of drinking illegal alcohol was previously unknown in India.</t>
  </si>
  <si>
    <t>b)      The majority of Indians can’t afford licit alcohol.</t>
  </si>
  <si>
    <t xml:space="preserve">d)      Social drinking is a way of life in India.                                                                              </t>
  </si>
  <si>
    <t xml:space="preserve">29.   What is said about the galaxy cluster?                                                                                          </t>
  </si>
  <si>
    <t>a)      It is the biggest structure in the universe.</t>
  </si>
  <si>
    <t>b)      It will blend with the Milky Way.</t>
  </si>
  <si>
    <t xml:space="preserve">d)      It is not as large as the sun.                                                                                                </t>
  </si>
  <si>
    <t xml:space="preserve">30.   Which of the following is true?                                                                                                   </t>
  </si>
  <si>
    <t>a)      The summit on Afghanistan’s future is the first of its kind.</t>
  </si>
  <si>
    <t>b)      President Karzai has condemned the lack of progress in Afghanistan.</t>
  </si>
  <si>
    <t xml:space="preserve">d)      Pakistan spurned the proceedings.                                                                                     </t>
  </si>
  <si>
    <t>c)      The volcano might erupt</t>
  </si>
  <si>
    <t>c)      He has been arrested before</t>
  </si>
  <si>
    <t>c)      The driver filmed the deer</t>
  </si>
  <si>
    <t>c)      He will start in Canada</t>
  </si>
  <si>
    <t>c)      The majority of cheetahs are in Africa</t>
  </si>
  <si>
    <t>c)      There have not been any fatalities</t>
  </si>
  <si>
    <t>c)      It is behaving in an unusual way</t>
  </si>
  <si>
    <t>c)      He is an office worker</t>
  </si>
  <si>
    <t>c)      It didn’t comply with safety standards</t>
  </si>
  <si>
    <t>c)      The plane landed at Gatwick</t>
  </si>
  <si>
    <t>c)      They are causing a reduction in the fish population</t>
  </si>
  <si>
    <t>c)      Some believe they are not genuine</t>
  </si>
  <si>
    <t>c)      Stephen Twigg influences what is taught at state schools</t>
  </si>
  <si>
    <t>c)      There have been fewer cases recently</t>
  </si>
  <si>
    <t>c)      More cities need to be built</t>
  </si>
  <si>
    <t>c)      Millions of tons of it are being produced</t>
  </si>
  <si>
    <t>c)      The icebergs caused the tides to rise</t>
  </si>
  <si>
    <t>c)      Many schools will be fined their role in the riots</t>
  </si>
  <si>
    <t>c)      It is made worse by overexposure to sunlight</t>
  </si>
  <si>
    <t>c)      Visiting tourists are closely watched</t>
  </si>
  <si>
    <t>c)      Apple has declined to assist in the investigation.</t>
  </si>
  <si>
    <t>c)      It is impossible to determine the age of a galaxy.</t>
  </si>
  <si>
    <t>c)      The company refuses to engage in discussions about the matter.</t>
  </si>
  <si>
    <t>c)      It collapsed because of a severe drought</t>
  </si>
  <si>
    <t>c)      They could grow in frozen ground</t>
  </si>
  <si>
    <t>c)      The inventory was done over a restricted area.</t>
  </si>
  <si>
    <t>c)      Molasses is used in the production of unregulated alcohol.</t>
  </si>
  <si>
    <t>c)      It provides more knowledge of the universe.</t>
  </si>
  <si>
    <t>c)      The US was in opposition to the summit.</t>
  </si>
  <si>
    <t>1.     Which statement is true?</t>
  </si>
  <si>
    <t>2.     What is said about the man?</t>
  </si>
  <si>
    <t>3.     Which statement is true?</t>
  </si>
  <si>
    <t>4.     What do competition entrants have to do?</t>
  </si>
  <si>
    <t>5.     What is said about Pen Hadow’s trek?</t>
  </si>
  <si>
    <t xml:space="preserve">6.     What is stated in the report? </t>
  </si>
  <si>
    <t xml:space="preserve">7.     What is said about the Legionnaires outbreak? </t>
  </si>
  <si>
    <t xml:space="preserve">8.     What is said about the killer whale? </t>
  </si>
  <si>
    <t xml:space="preserve">9.     What is said about Phin Suy, the Cambodian immigrant? </t>
  </si>
  <si>
    <t>d)      He expected to be caught</t>
  </si>
  <si>
    <t>b)      Sell a uniform</t>
  </si>
  <si>
    <t>b)      The woman likes the main actor</t>
  </si>
  <si>
    <t>c)       The woman didn’t see the film</t>
  </si>
  <si>
    <t>1.     What’s the problem? --------Listen to the following dialogue --------Where does this conversation take place?</t>
  </si>
  <si>
    <t xml:space="preserve">2.       Making Intentions.--------Listen to a dialogue in which an intention is made to do something.--------What does the second woman, Lee, say she will do? </t>
  </si>
  <si>
    <t xml:space="preserve">3.     The Superman Film.  --------Listen to a dialogue about a Superman film.--------Which of the following is true? </t>
  </si>
  <si>
    <t>4.     Shopping--------Listen to the following exchange--------Which statement is correct?</t>
  </si>
  <si>
    <t xml:space="preserve">5.     Computer Student-------- Mathew Nichols, a computer student gives reasons for studying computer science.--------What is the main reason given by Mathew Nichols for studying computer science?              </t>
  </si>
  <si>
    <t>6.     A busy woman--------Listen to a woman describe how busy she is--------What impression do we get about the speaker from the extract?</t>
  </si>
  <si>
    <t xml:space="preserve">7.     Business Socializing. -------- Listen to the following dialogue which takes place at a conference during the coffee break.--------What do the two speakers have in common?                                                                                 </t>
  </si>
  <si>
    <t xml:space="preserve">8.     The Quiz.-------- Listen to the following dialogue.--------Which statement is true?                                                                                                               </t>
  </si>
  <si>
    <t>9.     Holiday romance-------- Listen to the following dialogue about a holiday romance--------Where did the woman’s holiday romance take place?</t>
  </si>
  <si>
    <t>10.  News bulletin--------Listen to the following news bulletin--------Which statement is correct about the accident?</t>
  </si>
  <si>
    <t>11.  Favourite inventions --------You are going to hear Tony talk about his favourite invention--------What can be said about Tony?</t>
  </si>
  <si>
    <t>12.  Gemma--------Listen to the following dialogue about lenses--------Which statement is correct about Gemma?</t>
  </si>
  <si>
    <t>13.  A  foreigner in New Zealand--------Listen to a foreigner in New Zealand speak--------What can we say about Sang Jin?</t>
  </si>
  <si>
    <t>14.  The collector--------Listen to this extract about a collector--------What can be said about Carlos?</t>
  </si>
  <si>
    <t>15.  E- mail and letters--------Listen to a woman comment on e-mail and letters--------Which statement is correct about the woman?</t>
  </si>
  <si>
    <t>16.  Baking mania--------You are going to hear an opinion about cooking programs--------Which statement is correct?</t>
  </si>
  <si>
    <t xml:space="preserve">17.  Bjork --------Listen to singer Bjork talking about her CD’s, ‘Debut’ and ‘Post’.--------What does the singer, Bjork, say about her two CD’s, ‘Debut’ and ‘Post’?                                 </t>
  </si>
  <si>
    <t xml:space="preserve">18.  Kofi Annan.--------Listen to the following extract from a speech by Kofi Annan about globalization.--------What does Kofi Annan say about globalization?                                                                            </t>
  </si>
  <si>
    <t>19.  Antibiotics--------You are going to listen a report about antibiotics--------What can be said about antibiotics?</t>
  </si>
  <si>
    <t>20.  Army advert--------You are going to hear a radio advertisement for the ArmyTo be an infantry soldier, --------which of the following is a requirement?</t>
  </si>
  <si>
    <t>21.  Sleeping positions and character--------Listen to a report about sleeping positions and character traits--------What can be said about people who sleep in the foetus position?</t>
  </si>
  <si>
    <t>22.  The way men dress--------A journalist is asking questions about the way men dress--------What can be said about the man?</t>
  </si>
  <si>
    <t>23.  Too much money--------Listen to this exchange about having too much money--------What would the woman do if she had too much money?</t>
  </si>
  <si>
    <t>24.  Steven’s job--------Listen to Steven speak about the hours he has to work-------- When does Steven have to work?</t>
  </si>
  <si>
    <t>25.  A student in India--------Listen to part of an interview with a student in IndiaAccording to the extract,-------- what will Chira do after she graduates?</t>
  </si>
  <si>
    <t xml:space="preserve">26.  Job Interviews-------- Listen to the following extract from a job interview.--------What would be the interviewee’s main priority in the job?                                             </t>
  </si>
  <si>
    <t xml:space="preserve">27.  An Army Sergeant -------- Listen to an army sergeant talking about how life in the army has helped him.--------How has sergeant Kerr benefitted from being in the army?                                                        </t>
  </si>
  <si>
    <t xml:space="preserve">28.  Oil.  -------- Listen to an extract from a report on oil.--------Which aspect of oil is the report concerned with?                                                                      </t>
  </si>
  <si>
    <t>29.  Cycling--------Listen to a woman comment on her cycling--------What can be said about the woman interviewed?</t>
  </si>
  <si>
    <t xml:space="preserve">30.  Creativity in the Work Place. --------Listen to an interview about creativity in the work place.--------What is said about creativity in the workplace?                                                                                    </t>
  </si>
  <si>
    <t xml:space="preserve">31.  Sweden. --------The following is an extract from an interview about the English Language in Sweden.--------What is said about the use of English in Sweden?                                                                  </t>
  </si>
  <si>
    <t xml:space="preserve">32.  Water -------- Listen to an extract from a BBC report on the topic of water.--------Which topic related to water is discussed in the report?                                                    </t>
  </si>
  <si>
    <t>33.  The War--------You are going to hear a woman talk about her memories of the War --------Which statement is correct?</t>
  </si>
  <si>
    <t>34.  Blogging--------Listen to this extract about a persistent blogger--------What can we say about Jeff Jarvis?</t>
  </si>
  <si>
    <t>35.  Road safety--------On this radio programme, you will hear a man give advice on road safety--------According to the expert, which of the following  will cause a serious accident?</t>
  </si>
  <si>
    <t>36.  A weatherman--------You are going to hear a weatherman talk about his job--------Which statement is true about the weatherman?</t>
  </si>
  <si>
    <t>37.  Football--------You are going to hear a man speak about his interest in football--------Which statement is correct about the speaker?</t>
  </si>
  <si>
    <t xml:space="preserve">38.  Blogging  -------- Listen to this extract about a persistent blogger--------What did the speaker discover about blogging?                                                                           </t>
  </si>
  <si>
    <t xml:space="preserve">39.  King George the Sixth--------Listen to a report  on King George the Sixth--------What is said about King George the Sixth?                                                                                     </t>
  </si>
  <si>
    <t>40.  Syrian presenter--------Listen to the consequences of a presenter decision--------What did the Syrian presenter do after twenty-two years?</t>
  </si>
  <si>
    <t>&lt;b&gt;The Lottery.  &lt;/b&gt;&lt;br&gt;A Cambodian immigrant, Phin Suy, who arrived in New York as a teenager many years ago, has won $128 million in the city’s lottery. He works as a gardener in Central Park and says that he will use the money to pay off his debts but has no plans to give up his job.</t>
  </si>
  <si>
    <t>1.     Listen to the following dialogue --------Where does this conversation take place?</t>
  </si>
  <si>
    <t xml:space="preserve">2.      Listen to a dialogue in which an intention is made to do something.--------What does the second woman, Lee, say she will do? </t>
  </si>
  <si>
    <t xml:space="preserve">3.     Listen to a dialogue about a Superman film.--------Which of the following is true? </t>
  </si>
  <si>
    <t>4.     Listen to the following exchange--------Which statement is correct?</t>
  </si>
  <si>
    <t xml:space="preserve">5.      Mathew Nichols, a computer student gives reasons for studying computer science.--------What is the main reason given by Mathew Nichols for studying computer science?              </t>
  </si>
  <si>
    <t>6.     Listen to a woman describe how busy she is--------What impression do we get about the speaker from the extract?</t>
  </si>
  <si>
    <t xml:space="preserve">7.      Listen to the following dialogue which takes place at a conference during the coffee break.--------What do the two speakers have in common?                                                                                 </t>
  </si>
  <si>
    <t xml:space="preserve">8.     Listen to the following dialogue.--------Which statement is true?                                                                                                               </t>
  </si>
  <si>
    <t>9.     Listen to the following dialogue about a holiday romance--------Where did the woman’s holiday romance take place?</t>
  </si>
  <si>
    <t>10.  Listen to the following news bulletin--------Which statement is correct about the accident?</t>
  </si>
  <si>
    <t>11.  You are going to hear Tony talk about his favourite invention--------What can be said about Tony?</t>
  </si>
  <si>
    <t>12.  Listen to the following dialogue about lenses--------Which statement is correct about Gemma?</t>
  </si>
  <si>
    <t>13.  Listen to a foreigner in New Zealand speak--------What can we say about Sang Jin?</t>
  </si>
  <si>
    <t>14.  Listen to this extract about a collector--------What can be said about Carlos?</t>
  </si>
  <si>
    <t>15.  Listen to a woman comment on e-mail and letters--------Which statement is correct about the woman?</t>
  </si>
  <si>
    <t>16.  You are going to hear an opinion about cooking programs--------Which statement is correct?</t>
  </si>
  <si>
    <t xml:space="preserve">17.  Listen to singer Bjork talking about her CD’s, ‘Debut’ and ‘Post’.--------What does the singer, Bjork, say about her two CD’s, ‘Debut’ and ‘Post’?                                 </t>
  </si>
  <si>
    <t xml:space="preserve">18.  Listen to the following extract from a speech by Kofi Annan about globalization.--------What does Kofi Annan say about globalization?                                                                            </t>
  </si>
  <si>
    <t>19.  You are going to listen a report about antibiotics--------What can be said about antibiotics?</t>
  </si>
  <si>
    <t>20.  You are going to hear a radio advertisement for the ArmyTo be an infantry soldier, --------which of the following is a requirement?</t>
  </si>
  <si>
    <t>21.  Listen to a report about sleeping positions and character traits--------What can be said about people who sleep in the foetus position?</t>
  </si>
  <si>
    <t>22.  A journalist is asking questions about the way men dress--------What can be said about the man?</t>
  </si>
  <si>
    <t>23.  Listen to this exchange about having too much money--------What would the woman do if she had too much money?</t>
  </si>
  <si>
    <t>24.  Listen to Steven speak about the hours he has to work-------- When does Steven have to work?</t>
  </si>
  <si>
    <t>25.  Listen to part of an interview with a student in IndiaAccording to the extract,-------- what will Chira do after she graduates?</t>
  </si>
  <si>
    <t xml:space="preserve">26.  Listen to the following extract from a job interview.--------What would be the interviewee’s main priority in the job?                                             </t>
  </si>
  <si>
    <t xml:space="preserve">27.  Listen to an army sergeant talking about how life in the army has helped him.--------How has sergeant Kerr benefitted from being in the army?                                                        </t>
  </si>
  <si>
    <t xml:space="preserve">28.  Listen to an extract from a report on oil.--------Which aspect of oil is the report concerned with?                                                                      </t>
  </si>
  <si>
    <t>29.  Listen to a woman comment on her cycling--------What can be said about the woman interviewed?</t>
  </si>
  <si>
    <t xml:space="preserve">30.  Listen to an interview about creativity in the work place.--------What is said about creativity in the workplace?                                                                                    </t>
  </si>
  <si>
    <t xml:space="preserve">31.  The following is an extract from an interview about the English Language in Sweden.--------What is said about the use of English in Sweden?                                                                  </t>
  </si>
  <si>
    <t xml:space="preserve">32.  Listen to an extract from a BBC report on the topic of water.--------Which topic related to water is discussed in the report?                                                    </t>
  </si>
  <si>
    <t>33.  You are going to hear a woman talk about her memories of the War --------Which statement is correct?</t>
  </si>
  <si>
    <t>34.  Listen to this extract about a persistent blogger--------What can we say about Jeff Jarvis?</t>
  </si>
  <si>
    <t>35.  On this radio programme, you will hear a man give advice on road safety--------According to the expert, which of the following  will cause a serious accident?</t>
  </si>
  <si>
    <t>36.  You are going to hear a weatherman talk about his job--------Which statement is true about the weatherman?</t>
  </si>
  <si>
    <t>37.  You are going to hear a man speak about his interest in football--------Which statement is correct about the speaker?</t>
  </si>
  <si>
    <t xml:space="preserve">38.  Listen to this extract about a persistent blogger--------What did the speaker discover about blogging?                                                                           </t>
  </si>
  <si>
    <t xml:space="preserve">39.  Listen to a report  on King George the Sixth--------What is said about King George the Sixth?                                                                                     </t>
  </si>
  <si>
    <t>40.  Listen to the consequences of a presenter decision--------What did the Syrian presenter do after twenty-two years?</t>
  </si>
  <si>
    <t xml:space="preserve">1.        The Last King of Egypt                                                                       (First,) when the Egyptian President, Hosni Mubarak, was toppled by a populist revolution earlier this year, one man was watching with particular interest. He’s Ahmed Fuad the second, the last king of Egypt. Fuad the second, was just six months old in 1952, when his father abdicated, handing the crown to his baby son. It was a failed attempt to appease revolutionaries and anti-royalist forces in the country. In fact, the baby king ruled for less than a year as Egypt was declared a republic in 1953 and the royal family were forced into exile. King Faruk went to live in Rome, while his children were brought up in Switzerland. Fuad moved to Paris for a time, but has now returned to live in Switzerland. In recent years, he’s been able to make brief visits to Egypt.What can  be said about the last king of Egypt? </t>
  </si>
  <si>
    <t xml:space="preserve">2.        James Bailey and O.C.D.                                                                           Now, when the American actor James Bailey moved to Hollywood to look for a job, he was in his late teens. Friends noticed that his behavior was becoming increasingly bizarre. He was paranoid about cleanliness and suffered from delusions that mind-warping drugs were leaking into his system. In short, James was suffering from obsessive-compulsive disorder or O.C.D. It’s the fourth most common mental health disorder in the U.S.A. with an estimated 3.3 million sufferers. James’ disorder became so bad that he thought of committing suicide. Eventually he went to a clinic to seek radical treatment to cure his problems. The book he wrote about his experience has since become a best-seller in the States and there are now plans to turn it into a Hollywood movie.Why did James Bailey go to a treatment clinic? </t>
  </si>
  <si>
    <t>4.       Reflections on work - I'm Robert Siegel. And on this Labor Day, we take a few minutes now to think about work and how we describe it. When I was a little kid, I remember seeing -Snow White- at the movie theater, and the Seven Dwarfs were really happy about going to work. heigh ho... It took me a few years to figure out that those seven little guys were swinging pickaxes in a diamond mine - just about as physically demanding, difficult and dangerous a job as you could imagine. Many decades after. Over the past several decades, the job of being a miner has become a lot less common. In 1937, when -Snow White- came out, it was what 1.6 million Americans did. Today, in a labor force of almost 150 million, there are just 360,000 miners. In fact, there are fewer and fewer Americans whose work demands physical strength and exertion ..-What has changed on the American labour scene?</t>
  </si>
  <si>
    <t>20.   CLONING REASEARCH – NPRGuy Raz:  Now that scientists have used cloning techniques to create a human embryo, there's sure to be debate about the ethics of all this. Insoo Hyun is an associate professor of Bioethics at Case Western Reserve University, and he joins me now. Welcome to the program. Insoo Hyun: Good to be here. Thank you. Guy Raz:  As we just heard from Joe Palca, some people are morally opposed to this kind of research. What is their argument? Insoo Hyun: Well, some people may think that we are now down a slippery slope toward getting cloned babies. And that's certainly a major concern for policymakers and the public. Guy Raz : Well, what about the possibility, though, of reproductive cloning? I mean, are we going down that slope? Insoo Hyun: Well, as the research shows, human reproductive cloning is a really, really long ways away because human research clinics, just to get stem cells, is so difficult. And every technology has a good use and has a bad use. And the reasonable response to this fact is not to ban this technology altogether, but it's to prevent the abuses of this technologyWhich statement is correct according to the extract?</t>
  </si>
  <si>
    <t>29.   Maziar Bahari – journalist and film maker Our guest Maziar Bahari has just written an account of his 118 days in captivity at the hands of Iran's Revolutionary Guards. It's called, -Then They Came for Me: A Family's Story of Love, Captivity, and Survival.-  Bahari was arrested in 2009 while covering the protests in Tehran, which followed the disputed presidential election. He was sent to Evin Prison, notorious for its torture of political prisoners. His interrogator, a member of the Revolutionary Guard, accused him of many things, some of them pretty ludicrous. He was released after four months in captivity because of international pressure. Nine days later, his wife gave birth to their only child. Bahari grew up in Tehran and moved to Canada in 1988 to study film. A decade later, he returned to Iran where he made documentaries and covered that country for Newsweek. He now lives in London.Which statement is correct about Maziar Bahari according to the extract you have heard?</t>
  </si>
  <si>
    <t>EXAMEN 104R-3</t>
  </si>
  <si>
    <t>&lt;b&gt;Rejected Polar Bear Cub is Safe. &lt;/b&gt;&lt;br&gt;A polar bear cub that was rejected by its mother is being looked after at an aquarium in China. The cub was born on New Year’s Day and staff at the center says she’s in a stable condition. She only weighs just over a pound and has been suffering from health problems since she was rejected. But the cub is no longer in a critical condition and will be ready for her first public appearance in a few months time.</t>
  </si>
  <si>
    <t xml:space="preserve">1.       What is said about the polar bear cub?                                                                                       </t>
  </si>
  <si>
    <t>a)       She is still seriously ill.</t>
  </si>
  <si>
    <t>b)       Her mother didn’t want her.</t>
  </si>
  <si>
    <t>c)       She has appeared in public.</t>
  </si>
  <si>
    <t xml:space="preserve">d)       She was born on December 31.                                                                                       </t>
  </si>
  <si>
    <t>&lt;b&gt;Knitters From Cornwall Invited to New York.  &lt;/b&gt;&lt;br&gt;Knitters who have been brightening up towns in Cornwall with knitted decorations on lampposts and benches have been invited to New York. The anonymous knitters have been asked to visit Vogue Knitting. They have been displaying their knitted items anonymously since the start of 2011.</t>
  </si>
  <si>
    <t xml:space="preserve">2.       What is said about the knitters?                                                                                                 </t>
  </si>
  <si>
    <t>a)       No-one knows who they are.</t>
  </si>
  <si>
    <t>b)       They returned from New York.</t>
  </si>
  <si>
    <t>c)       They will be guests in Cornwall.</t>
  </si>
  <si>
    <t xml:space="preserve">d)       They are famous personalities.                                                                                        </t>
  </si>
  <si>
    <t>&lt;b&gt;Man in Chile Arrested Over Glacier Ice Theft.  &lt;/b&gt;&lt;br&gt;Police in Chile have arrested a man for stealing part of a glacier. They found 5 tons of ice on the back of his lorry which they think came from Jorge Montt Glacier in Patagonia. The man was taking the ice to Santiago to make ice cubes for expensive drinks. The glacier is protected by law but is getting smaller due to global warming. If the ice had reached its destination, it would have been worth four thousand pounds.</t>
  </si>
  <si>
    <t xml:space="preserve">3.       Which of the following is true?                                                                                               </t>
  </si>
  <si>
    <t>a)       The man wanted to make ice cubes.</t>
  </si>
  <si>
    <t>b)       The glacier was expanding.</t>
  </si>
  <si>
    <t>c)       The ice was sold for four thousand pounds.</t>
  </si>
  <si>
    <t xml:space="preserve">d)       The man enjoys expensive drinks.                                                                               </t>
  </si>
  <si>
    <t>&lt;b&gt;Mysterious Radioactive Beach in Scotland.   &lt;/b&gt;&lt;br&gt;A beach in Scotland has been closed down because experts have detected dangerous levels of radioactive materials under the sand. It’s thought it’s caused by the hundreds of old war planes which are buried there. The Ministry of Defense has been told it has until the end of February to come up with a plan to make it safe.</t>
  </si>
  <si>
    <t xml:space="preserve">4.       What is said about the beach?                                                                                                          </t>
  </si>
  <si>
    <t>a)       Old war planes were found there.</t>
  </si>
  <si>
    <t>b)       The public cannot visit it.</t>
  </si>
  <si>
    <t>c)       It has now been made safe.</t>
  </si>
  <si>
    <t xml:space="preserve">d)       A plan to make it safe has been finalized.                                                                         </t>
  </si>
  <si>
    <t>&lt;b&gt;Caring Teacher Bakes 366 Cakes For Strangers.  &lt;/b&gt;&lt;br&gt;A caring teacher from Cheshire has set herself the task of baking a cake every day for a year to make someone smile. Cath Webb, 46, is already nine months into the attempt and has given away almost 300 cakes to friends, family and strangers. She set herself the challenge after baking a cake for a friend who was diagnosed with cancer. She was delighted that such a simple treat could get such an enthusiastic response. She is so dedicated to the task that she has even baked the cakes over a camp fire while on holiday. In total she will make 366 cakes, as this is a leap year.</t>
  </si>
  <si>
    <t xml:space="preserve">5.       What is said about the teacher?                                                                                                       </t>
  </si>
  <si>
    <t>a)       She gives all her cakes to people with cancer.</t>
  </si>
  <si>
    <t>b)       She only bakes cakes on holiday.</t>
  </si>
  <si>
    <t>c)       She bakes cakes daily.</t>
  </si>
  <si>
    <t xml:space="preserve">d)       She wants to bake 300 cakes a year.                                                                                  </t>
  </si>
  <si>
    <t xml:space="preserve">&lt;b&gt;New Planet Discovered by ‘Stargazing Live’ Viewer. &lt;/b&gt;&lt;br&gt;How would you fancy discovering your own planet? Sounds a bit out of this world but that’s what happened to a ‘Stargazing Live’ viewer. Science history was made last night on the BBC 2 show after people watching were asked to help in the hunt for planets elsewhere in the Universe. An amateur star spotter discovered the new planet by looking at images from NASA’s Kepler telescope online. Experts believe it’s about the size of planet Neptune in our own solar system. Chris Holmes, from Peterborough, was the lucky man who found the planet.  </t>
  </si>
  <si>
    <t xml:space="preserve">6.       What is said about the new planet?                                                                                               </t>
  </si>
  <si>
    <t>a)       It was discovered by an expert.</t>
  </si>
  <si>
    <t>b)       Chris Holmes first saw it on a computer.</t>
  </si>
  <si>
    <t>c)       It dwarfs the planets in our solar system.</t>
  </si>
  <si>
    <t xml:space="preserve">d)       Chris Holmes first saw it through a telescope.                                                                      </t>
  </si>
  <si>
    <t>&lt;b&gt;The Deadly Dangers of Bushmeat.  &lt;/b&gt;&lt;br&gt;Scientists working at airports in the US have discovered several potentially lethal viruses in illegally imported bushmeat. Bushmeat is the name given to wild animals killed for food,and usually refers to African animals. Scientists estimate that three-quarters of the newest infectious diseases in humans come from animals.</t>
  </si>
  <si>
    <t xml:space="preserve">7.       Which of the following is true?                                                                                                    </t>
  </si>
  <si>
    <t>a)        50% of diseases come from animals.</t>
  </si>
  <si>
    <t>b)       Bushmeat can be taken to the US.</t>
  </si>
  <si>
    <t>c)       The scientists were working in Africa.</t>
  </si>
  <si>
    <t xml:space="preserve">d)       The viruses could be deadly to humans.                                                                           </t>
  </si>
  <si>
    <t>&lt;b&gt;‘The Artist’ Pays Homage to Hollywood’s Silent Era.  &lt;/b&gt;&lt;br&gt;‘The Artist’ is a modern homage to Hollywood’s silent era. But how much does it reflect the real silent movies of the period, and could it be the first silent film to win an Oscar in 83 years? Some in Tinseltown are already tipping it to win best picture. What makes ‘The Artist’ unusual is that it is a 21st Century movie which looks like it was made in 1927. At its world premiere at Cannes, its French star Jean Dujardin won the best actor prize. Dujardin plays Hollywood leading man George Valentin, who has built his career in silent movies but sees it start to crumble with the advent of “talkies.” It is a tale of Hollywood in transition that’s been told before but ‘The Artist’ tackles it using the conventions and devices of the silent age. And director Hazanavicius demonstrates a ‘profound understanding’ of the era.</t>
  </si>
  <si>
    <t xml:space="preserve">8.       What is said about the film, ‘The Artist’?                                                                              </t>
  </si>
  <si>
    <t>a)       Its lead actor won an Oscar.</t>
  </si>
  <si>
    <t>b)       It was made in 1927.</t>
  </si>
  <si>
    <t>c)       It is a repeated version of an earlier film.</t>
  </si>
  <si>
    <t xml:space="preserve">d)       It was made in the style of earlier films.                                                                       </t>
  </si>
  <si>
    <t>&lt;b&gt;Giant Solar Storm Battering Earth.  &lt;/b&gt;&lt;br&gt;Our planet is feeling the effects of the strongest solar storm since 2005. High -energy particles were released after a solar flare erupted on the Sun and they are now hitting our atmosphere. It’s nothing to be afraid of though: the charged particles are mostly a concern for satellites which they can disrupt. The solar storm meant that people across the north of the U.K. have been able to see the Northern Lights. Radiation is released during the solar storm and when these particles reach Earth, they collide with our planet’s magnetic field at the poles. The solar storm can also cause communication problems for aircraft travelling near the poles and astronauts on the International Space Station. It can interfere with technology back on earth.</t>
  </si>
  <si>
    <t xml:space="preserve">9.       What is said about the solar storm?                                                                                                </t>
  </si>
  <si>
    <t>a)       It is not as powerful as the storm in 2005.</t>
  </si>
  <si>
    <t>b)       It is a danger to life on Earth.</t>
  </si>
  <si>
    <t>c)       It prevented people from seeing the Northern Lights.</t>
  </si>
  <si>
    <t xml:space="preserve">d)       It could disrupt electronic gadgets.                                                                                         </t>
  </si>
  <si>
    <t>&lt;b&gt;Edinburgh’s Giant Panda ‘Sunshine’ is Getting Better&lt;/b&gt;&lt;br&gt;One of the U.K.’s two giant pandas is getting better after having colic which saw him removed from display as he tried to get better. ‘Sunshine’ is brighter and more active. Zoo bosses say he’s started eating loads of bamboo. He started feeling poorly a month after he and female panda Sweetie moved into their new home at Edinburgh Zoo. Colic’s a common complaint in humans but its cause is unknown. ‘Sunshine’ will remain away from the public while he recovers.</t>
  </si>
  <si>
    <t xml:space="preserve">10.    What is said about the panda?                                                                                                    </t>
  </si>
  <si>
    <t>a)       He is refusing to eat.</t>
  </si>
  <si>
    <t>b)       He is out of sight of the public.</t>
  </si>
  <si>
    <t>c)       He will leave Edinburgh Zoo.</t>
  </si>
  <si>
    <t xml:space="preserve">d)       His condition has deteriorated.                                                                                           </t>
  </si>
  <si>
    <t>&lt;b&gt;Shieldcroc: Ancient Giant Crocodile Species Discovered.  &lt;/b&gt;&lt;br&gt;It’s a crocodile but not as we know it. It’s been named ‘Shieldcroc’: an ancient, extinct crocodile that’s been discovered by scientists. It gets its name from its giant armor-plated head. It lived about 95 million years ago and grew to a massive 9 meters long, much bigger than today’s crocodiles. Shieldcroc’s thick-skinned, shielded head was used to attract mates, put off enemies and even control how hot or cold it was. Its long head, which measured up to a meter and a half, may have been used to catch prey too.</t>
  </si>
  <si>
    <t xml:space="preserve">11.    What is said about Shieldcroc?                                                                                               </t>
  </si>
  <si>
    <t>a)       It was smaller than modern crocodiles.</t>
  </si>
  <si>
    <t>b)       Its head caused problems when hunting.</t>
  </si>
  <si>
    <t>c)       Its head discouraged mates.</t>
  </si>
  <si>
    <t xml:space="preserve">d)       Its head repelled enemies.                                                                                            </t>
  </si>
  <si>
    <t>&lt;b&gt;Musician Plays Ring Tone as Mobile Rings in Recital.   &lt;/b&gt;&lt;br&gt;A viola player managed to keep his cool when a mobile phone rang during his performance. Instead of losing his temper, Lucas Kmit from Slovakia played the same tune back on his viola. His reaction pleased the audience and after he finished, he carried on with his solo. The video of the performance has now become a huge hit on the internet all over the world.</t>
  </si>
  <si>
    <t xml:space="preserve">12.    What is said about the viola player?                                                                                               </t>
  </si>
  <si>
    <t>a)       He was angry when the mobile phone rang.</t>
  </si>
  <si>
    <t>b)       It was his mobile phone that rang.</t>
  </si>
  <si>
    <t>c)       He imitated the mobile phone tune on his instrument.</t>
  </si>
  <si>
    <t xml:space="preserve">d)       His performance was ridiculed on the internet.                                                              </t>
  </si>
  <si>
    <t xml:space="preserve">&lt;b&gt;Oldest Dinosaur Nesting Site Discovered in South Africa. CBBC Newsround.  &lt;/b&gt;&lt;br&gt;A dinosaur nesting site discovered in South Africa is thought to be 190 million years old. That’s 100 million years older than any other nest yet found. Palaeontologists found 10 nests which contained up to 34 eggs and skeletons. The dinosaur that laid them was the Massospondylus, which is a cousin of the long-necked Diplodocus. The find suggests that the mothers returned to the same nest site each time to lay their eggs. And the fossils also reveal that they laid eggs in groups near each other. They were found in a strip of rock in South Africa’s Golden Gate Highlands National Park and as the rock becomes weathered, scientists think even more nests will be found. </t>
  </si>
  <si>
    <t xml:space="preserve">13.    What is believed to be true?                                                                                                              </t>
  </si>
  <si>
    <t>a)       Female dinosaurs didn’t change their nesting sites.</t>
  </si>
  <si>
    <t>b)       This nesting site is not the oldest ever found.</t>
  </si>
  <si>
    <t>c)       It is unlikely that more nests will be discovered.</t>
  </si>
  <si>
    <t xml:space="preserve">d)       Dinosaurs that made the nests were unrelated to any others.                                       </t>
  </si>
  <si>
    <t xml:space="preserve">&lt;b&gt;30 U.K. Farms Still Keeping Hens in Battery Cages. CBBC Newsround.  &lt;/b&gt;&lt;br&gt;Up to half a million hens are still being kept in battery cages in Britain even though a big European ban came into force at the start of the year. The U.K. government has complained about other countries breaking the rules, and said it’s disappointed that about 30 U.K. farms are still using the cages. They are confident the new rules will be in force nationwide by early February. The European Union announced the ban on battery hens in 1999. The change in law means all birds must be kept in bigger cages but 14 EU countries haven’t met the deadline. </t>
  </si>
  <si>
    <t xml:space="preserve">14.    According to the report;                                                                                                                </t>
  </si>
  <si>
    <t>a)       The U.K. is the only country using battery cages.</t>
  </si>
  <si>
    <t>b)       The U.K. denies its farms are using battery cages.</t>
  </si>
  <si>
    <t>c)       The U.K. has accused other countries of violating regulations.</t>
  </si>
  <si>
    <t xml:space="preserve">d)       The E.U. will not be affected by the ban on battery cages.                                        </t>
  </si>
  <si>
    <t xml:space="preserve">&lt;b&gt;Islanders’ Bones Reclaimed From London Museum.   &lt;/b&gt;&lt;br&gt;A group from the Torres Strait Islands is in the UK to collect 19 skeletons which are the remains of their ancestors. The bones were taken from the islands by explorers who visited them over 200 years ago. The Natural History Museum has over 20,000 different human remains which they use to figure out how people used to live. The Torres Straits are home to a hundred islands between the northern coast of Australia and Papua New Guinea. The islanders have fought a long battle to have the bones of their ancestors returned home. It is important for them to return their ancestors’ bones to be buried in the Torres Straits because the islanders believe that their souls cannot rest until they are returned home. But some scientists are worried that by having to return bones they might be missing out on important research. </t>
  </si>
  <si>
    <t xml:space="preserve">15.    According to the report;                                                                                                                   </t>
  </si>
  <si>
    <t>a)       The group took their ancestors’ bones to the UK.</t>
  </si>
  <si>
    <t>b)       Scientists have refused to let the islanders have the bones.</t>
  </si>
  <si>
    <t>c)       The bones have not been useful for research.</t>
  </si>
  <si>
    <t>&lt;b&gt;The islanders want the bones for spiritual reasons. West Hollywood First US City to Ban Sale of Fur Clothes.  &lt;/b&gt;&lt;br&gt;A city in the heart of Hollywood has become the first in America to ban the sale of fur clothing. Leaders in West Hollywood have voted to stop the sale of clothes made for the skin or pelt of animals with hair, wool or fur, from 2013. Clothes made from sheep’s wool, and leather goods are not included. Lots of clothes shop owners are against the ban as they say the money made from fur items adds up to more than one million pounds a year for local businesses.</t>
  </si>
  <si>
    <t xml:space="preserve">16.    In West Hollywood;                                                                                                                              </t>
  </si>
  <si>
    <t>a)       A ban on the sale of fur clothing is in place.</t>
  </si>
  <si>
    <t>b)       Shop owners are contesting the proposed ban.</t>
  </si>
  <si>
    <t>c)       The ban covers sheep’s wool and leather goods also.</t>
  </si>
  <si>
    <t xml:space="preserve">d)       Leaders in West Hollywood are opposed to the ban.                                                           </t>
  </si>
  <si>
    <t>&lt;b&gt;Brain ‘Rejects Negative Thoughts’.  &lt;/b&gt;&lt;br&gt;One reason optimists retain a positive outlook even in the face of evidence to the contrary has been discovered. A study suggests the brain is very good at processing good news about the future. However, in some people, anything negative is practically ignored. The authors said optimism did have important health benefits. Scientists at University College London said about 80% of people were optimists. They rated 14 people for their level of optimism and tested them in a brain scanner. Each was asked how likely 80 different “bad events” were to happen. They were then told how likely this was in reality. At the end of the session, the participants were asked to rate the probabilities again. When the news was positive, all people had more activity in the brain’s frontal lobes. With negative information, the most optimistic people had the least activity in the frontal lobes, while the least optimistic had the most. It suggests the brain is picking and choosing which evidence to listen to. Dr. Sharot said: “ ‘Smoking kills’ messages don’t work as people think their chances of cancer are low. The divorce rate is 50%, but people don’t think it’s the same for them. There is a very fundamental bias in the brain.”</t>
  </si>
  <si>
    <t xml:space="preserve">17.    According to the research discussed in the report;                                                                      </t>
  </si>
  <si>
    <t>a)       The brain is selective in interpreting information.</t>
  </si>
  <si>
    <t>b)       The majority of people seem to be pessimists.</t>
  </si>
  <si>
    <t>c)           Negative information incites activity in the brain’s frontal lobes.</t>
  </si>
  <si>
    <t xml:space="preserve">d)       Messages of caution can be very effective.                                                                         </t>
  </si>
  <si>
    <t>&lt;b&gt;Increase in Abandoned Pets as Owners Can’t Afford Them.  &lt;/b&gt;&lt;br&gt;Animal charities across the UK say they’re seeing more and more people giving up their pets because they can’t afford to look after them. Cats and dogs can cost hundreds of pounds to care for, and worldwide money problems have forced some owners to think about getting rid of them. Battersea Dogs and Cats Home says the number of abandoned pets it’s taking in has doubled over the past year. Lots of the animals are pregnant or need expensive treatments at the vets. Head vet Shaun Opperman said: “A lot of the animals coming in to us have conditions that make us think that they’ve been ignored for some time and that their owners can no longer get to grips with.”</t>
  </si>
  <si>
    <t xml:space="preserve">18.    The report states that;                                                                                                                    </t>
  </si>
  <si>
    <t>a)       Battersea Dogs and Cats Home can’t take in any more animals.</t>
  </si>
  <si>
    <t>b)       Many of the animals show symptoms of long-term neglect.</t>
  </si>
  <si>
    <t>c)       Battersea Home cannot provide veterinarian treatments.</t>
  </si>
  <si>
    <t xml:space="preserve">d)       Battersea Home is experiencing financial difficulties.                                                      </t>
  </si>
  <si>
    <t>&lt;b&gt;St. Paul’s Cathedral Protestors Refuse to Go.  &lt;/b&gt;&lt;br&gt;Protestors camped outside St. Paul’s Cathedral are refusing to budge, despite being told they had to go on Thursday. City of London officials had ordered demonstrators to clear the ‘public highway’ by 6pm. But hundreds of them have stayed, marking the deadline with a ‘silent scream’ by raising their hands for one minute. Those who don’t leave could now be taken to court.  The Occupy London protest says it’s highlighting the gap between rich and poor people in the world, and what they see is the greed of big banks and businesses.</t>
  </si>
  <si>
    <t xml:space="preserve">19.    What is said about the protestors?                                                                                         </t>
  </si>
  <si>
    <t>a)       They will leave on Thursday.</t>
  </si>
  <si>
    <t>b)       They have defied orders.</t>
  </si>
  <si>
    <t>c)       They are shouting a lot.</t>
  </si>
  <si>
    <t xml:space="preserve">d)       They will all appear in court.                                                                                         </t>
  </si>
  <si>
    <t xml:space="preserve">&lt;b&gt;China’s Chen Guangcheng: Isolated but Not Forgotten.  &lt;/b&gt;&lt;br&gt;The three men acted efficiently. They yanked open the car door, barked a few orders and then snatched equipment from our hands: cameras and recording devices. After searching our equipment they gave it back and then told us to leave the village. This was the scene at the village in China’s Shandong Province, where a legal activist has been imprisoned in his own home. Chen Guangcheng, blind since childhood, is watched by security officers. Activists have been trying to visit him; many say they are beaten up for their efforts. Mr. Chen made his name by helping women who said they had been forced to have abortions or undergo sterilization. He helped expose the harsher side of China’s family planning policies. His activism landed him in jail. He was sentenced to four years for disrupting traffic and damaging property. He denied the allegations, with many believing the charges were brought to silence him. </t>
  </si>
  <si>
    <t xml:space="preserve">20.    What is said about Mr. Chen?                                                                                                     </t>
  </si>
  <si>
    <t>a)       Activists are too afraid to visit him.</t>
  </si>
  <si>
    <t>b)       The BBC was able to meet him.</t>
  </si>
  <si>
    <t>c)       He was found innocent of the charges against him.</t>
  </si>
  <si>
    <t xml:space="preserve">d)       He claims to be not guilty of the charges against him.                                                  </t>
  </si>
  <si>
    <t>&lt;b&gt;Malaria Vaccine Hope After Blood Entry Route Discovered.  &lt;/b&gt;&lt;br&gt;The route all strains of the most deadly malaria parasite use to enter red blood cells has been identified by researchers at the Sanger Institute in Cambridge. The scientists involved said the finding offered “great hope” for the development of a vaccine, which had the potential to be hugely effective. Other experts said they were surprised and impressed. Malaria affects 300 million people each year. There are many malaria parasites. Plasmodium falciparum is the most deadly and researchers at the Sanger Institute acknowledge it as a “very complex and cunning foe”. It is exceptionally good at evading and bamboozling the immune system. Within five minutes of being bitten by a malaria-carrying mosquito, the parasite is already hiding inside the liver. It then emerges from the liver at a different stage in its life cycle and infects red blood cells, where it starts reproducing.</t>
  </si>
  <si>
    <t xml:space="preserve">21.    Which of the following is true?                                                                                                             </t>
  </si>
  <si>
    <t>a)       A vaccine has been developed to prevent malaria.</t>
  </si>
  <si>
    <t>b)       The most dangerous parasite travels directly to the red blood cells.</t>
  </si>
  <si>
    <t>c)       The most dangerous parasite can circumvent our natural defenses.</t>
  </si>
  <si>
    <t xml:space="preserve">d)       Malaria parasites usually reproduce in the liver.                                                                  </t>
  </si>
  <si>
    <t xml:space="preserve">&lt;b&gt;Particles ‘Break Speed of Light Again’ in Experiment.  &lt;/b&gt;&lt;br&gt;An experiment to see if particles can travel faster than the speed of light has been re-done-with positive results once again. In September, tests in Switzerland appeared to show that particles, called neutrinos, travelled a tiny fraction of a second faster than light. But some experts doubted the findings because they said the ‘bunches’ of neutrinos were too long. This time they used shorter bunches- and they still got the same outcome. It is important because much of physics is based on a rule that nothing can travel faster than light. If the results are proved correct, then it could completely change the way we think about science. </t>
  </si>
  <si>
    <t xml:space="preserve">22.    What is said about the particles?                                                                                                      </t>
  </si>
  <si>
    <t>a)       They failed to travel faster than the speed of light.</t>
  </si>
  <si>
    <t>b)       Experts refused to accept that they travelled faster than light.</t>
  </si>
  <si>
    <t>c)       They have travelled faster than light in a previous experiment.</t>
  </si>
  <si>
    <t xml:space="preserve">d)       Their speed of travel won’t influence our scientific views.                                              </t>
  </si>
  <si>
    <t xml:space="preserve">&lt;b&gt;Flybe Plane Passengers ‘Saw Wheel Fall Off’.  &lt;/b&gt;&lt;br&gt;Passengers who saw a wheel fall off a plane as it took off did not immediately inform the crew, a report has said. The accident happened in March on a Flybe flight from Exeter to Newcastle. The captain returned to Exeter and used the emergency brake and “significant amounts of right rudder” to safely land the plane. No-one was injured. The Air Accidents Investigation Branch (AAIB) report said the wheel’s outer bearing had seized. A mayday alert was sent to air traffic controllers and after circling the airport for more than an hour, the 39 passengers on board the Bombadier Q400 were “evenly distributed” in the brace position as the captain attempted to land the plane. As it touched down, it veered to the left but the captain was able to hold the aircraft steady and the passengers were able to disembark through the front left door. </t>
  </si>
  <si>
    <t xml:space="preserve">23.    According to the report;                                                                                                                      </t>
  </si>
  <si>
    <t>a)       Air traffic controllers were advised in advance about the situation.</t>
  </si>
  <si>
    <t>b)       Air traffic controllers were unprepared for the plane to land.</t>
  </si>
  <si>
    <t>c)       The captain lost control of the plane when landing.</t>
  </si>
  <si>
    <t xml:space="preserve">d)       The passengers had difficulty getting off the plane.                                                           </t>
  </si>
  <si>
    <t xml:space="preserve">&lt;b&gt;Dead Soldier’s Family Adopts his Loyal Dog. NZ Herald.  &lt;/b&gt;&lt;br&gt;A British family mourning the death of their son in Afghanistan has adopted a stray dog the young soldier befriended on duty in the months before he died. Paratrooper Conrad Lewis, 22, wrote to his parents that he planned to bring his canine friend, Peg, back to the UK when he returned from war-torn Afghanistan in April. But Private Lewis never made it home. He was killed by a Taliban sniper in Helmand Province on February 9. This week his parents, Tony and Sandi, wept as they welcomed Peg into their family in Claverdon, Warwickshire, after the dog was released from six months in quarantine. Private Lewis formed a bond with the stray dog in the military compound and wrote in letters to his parents that he had taught it to sit and shared his rations with it. It is usually military policy to destroy stray animals in the compound, but local commanders made an exception in Peg’s case. </t>
  </si>
  <si>
    <t xml:space="preserve">24.    What is said about the dog, Peg?                                                                                                        </t>
  </si>
  <si>
    <t>a)       Military commanders wanted to destroy it.</t>
  </si>
  <si>
    <t>b)       Private Lewis gave it some of his food.</t>
  </si>
  <si>
    <t>c)       It is able to obey many commands.</t>
  </si>
  <si>
    <t xml:space="preserve">d)       It was kept at the military base in Afghanistan for 6 months.                                           </t>
  </si>
  <si>
    <t xml:space="preserve">&lt;b&gt;EDF Fined for Spying on Greenpeace Nuclear Campaign.  &lt;/b&gt;&lt;br&gt;A French court has fined energy giant EDF 1.5 million euro and sent two of its staff to jail for spying on Greenpeace campaigners. The company is hoping to build four nuclear reactors in the UK. A court near Paris found that EDF employed security firm Kargus to spy on Greenpeace as it campaigned against new reactors in France. The court also sent two Kargus employees to jail and handed Greenpeace 500,000 in damages. Adelaide Colin, communications director for Greenpeace in France, said the decision “sends a strong signal to the nuclear industry; no-one is above the law.” EDF maintained that it had just asked Kargus to monitor the activists, and that the consultants had exceeded their remit. But Justice Isabelle Prevost-Desprez disagreed, handing three-year sentences to the head and deputy head of EDF’s nuclear security operation. </t>
  </si>
  <si>
    <t xml:space="preserve">25.    Which of the following is true?                                                                                                        </t>
  </si>
  <si>
    <t>a)       Two Greenpeace campaigners have been sent to jail.</t>
  </si>
  <si>
    <t>b)       The security firm, Kargus, organized the spying activities.</t>
  </si>
  <si>
    <t>c)       EDF claimed that Kargus acted beyond their orders.</t>
  </si>
  <si>
    <t xml:space="preserve">d)       EDF has been forbidden to build four nuclear reactors in the U.K.                                 </t>
  </si>
  <si>
    <t xml:space="preserve">&lt;b&gt;CCTV Cameras Could Help to Save Fish.  &lt;/b&gt;&lt;br&gt;A simple video camera could change the way fish are caught at sea. Every day thousands of tones of fish are caught but then thrown away without being eaten. In a system called ‘fishing quotas’, fishing boats are only allowed to bring a certain amount of fish back to shore. If they bring too much back, the extra fish are thrown away. But now a video camera monitors the number of fish being discarded, and the waste is much lower. </t>
  </si>
  <si>
    <t xml:space="preserve">26.    What is stated in the report?                                                                                                         </t>
  </si>
  <si>
    <t>a)       The video camera could change fishing techniques.</t>
  </si>
  <si>
    <t>b)       The video camera has proved to be ineffective.</t>
  </si>
  <si>
    <t>c)       ‘Fishing quotas’ restrict the amount of fish being caught.</t>
  </si>
  <si>
    <t xml:space="preserve">d)       The amount of fish being wasted has recently increased.                                           </t>
  </si>
  <si>
    <t>&lt;b&gt;Return to Levittown: America’s First Suburb Reaches 60.  &lt;/b&gt;&lt;br&gt;Almost 60 years ago, a planned community embodied the hopes and prosperity of America. Now, it represents a more realistic picture of the American experience. In 1960, BBC journalist Ludovic Kennedy travelled to Levittown, Pennysylvania in advance of the Nixon-Kennedy election. Levittown had been founded eight years earlier, when America was on the cusp of a huge burst of prosperity. Soldiers home from the war had started families and a new middle class was driving the economy. For the first time, people who once rented apartments in the city could afford a modest home of their own. For journalists like Kennedy, Levittown was a metaphor for American prosperity and the emerging middle class. Now, as then, the community is home to a diverse cross-section of middle-class voters. But whereas in 1960, unemployment rates were less than 6% and business could not expand fast enough to meet growing demand, the outlook for current residents is grimmer.</t>
  </si>
  <si>
    <t xml:space="preserve">27.    What is said about Levittown?                                                                                                         </t>
  </si>
  <si>
    <t>a)       It continues to offer economic opportunities.</t>
  </si>
  <si>
    <t>b)       It is about to experience affluent times.</t>
  </si>
  <si>
    <t>c)       Its residents can no longer afford their own homes.</t>
  </si>
  <si>
    <t xml:space="preserve">d)       It was previously associated with good fortune. </t>
  </si>
  <si>
    <t xml:space="preserve">&lt;b&gt;Drivers Cut Petrol Use by 15%, AA Research Suggests.   &lt;/b&gt;&lt;br&gt;Drivers have cut their petrol consumption by more than 15% since the credit crunch and the recession. The AA says the drop in petrol sales is a direct result of record fuel prices. Many drivers are struggling to make ends meet, so the high cost of petrol leaves them with no option but to try to use less. And businesses have been cutting back as well. The cut in fuel purchases, comparing the first six months of this year with pre-recession levels, is equivalent to 40,000 delivery rounds by fully-laden petrol tankers. One result has been lower emissions of potentially damaging exhaust fumes. Another is that the fall in sales has deprived the Treasury of nearly 1 billion pounds in fuel duty. Supermarkets have tried to attract drivers looking for bargain fuel, but hundreds of other petrol stations have gone out of business. However, Tesco reported on Wednesday that high petrol prices had hit people’s spending power. </t>
  </si>
  <si>
    <t xml:space="preserve">28.    According to the report;                                                                                                                  </t>
  </si>
  <si>
    <t>a)       Businesses are yet to be affected by rising fuel costs.</t>
  </si>
  <si>
    <t>b)       There has been an increase in pollution caused by vehicles.</t>
  </si>
  <si>
    <t>c)       The treasury has been boosted by 1 billion pounds.</t>
  </si>
  <si>
    <t xml:space="preserve">d)       Supermarkets want to entice drivers with economical fuel.                                          </t>
  </si>
  <si>
    <t xml:space="preserve">&lt;b&gt;Mood Grim Over Mars Probe Fault.  &lt;/b&gt;&lt;br&gt;Russian space scientists are growing increasingly gloomy about the prospects of saving the country’s $170m mission to a moon of mars. The Phobos-Grunt probe launched successfully on Wednesday but then failed to fire an engine to put it on the correct course to the Red Planet. The probe is stuck in Earth orbit and engineers may have only days to fix the fault before the batteries run out. The setback extended a year-long streak of bad luck for the Russian space program. Mishaps have included the failure of three satellite navigation craft in December 2010 and the loss of an unmanned space station re-supply ship in August this year. Officials said that attempts to communicate with Phobos-Grunt (‘grunt’ means ‘earth’ in Russian) had so far come to nothing. “I think we have lost the Phobos-Grunt,” said Vladimir Uvarov, a former senior space official. </t>
  </si>
  <si>
    <t xml:space="preserve">29.    What is said about the Phobos-Grunt?                                                                                            </t>
  </si>
  <si>
    <t>a)       Its launch ended a string of unfortunate events.</t>
  </si>
  <si>
    <t>b)       It is on course to Mars.</t>
  </si>
  <si>
    <t>c)       It is stranded in space.</t>
  </si>
  <si>
    <t xml:space="preserve">d)       There have been no attempts to communicate with it.                                                    </t>
  </si>
  <si>
    <t>&lt;b&gt;Piranhas Communicate With Sound, Say Researchers.   &lt;/b&gt;&lt;br&gt;Despite a nasty reputation, piranhas seem to bark more often than bite. Scientists have discovered that the fearsome fish use sounds to communicate – often intimidating their rivals rather than attacking. Scientists reported that each of these sounds appeared to contain a different “message”. With animals, it’s less expensive (in terms of energy) to make a lot of noise to impress the other guys, rather than fight.” Lead researcher, Eric Parmentier, has studied sound production and communication in a wide variety of fish species. He already knew that piranhas made sounds, but wanted to understand why. Many fish use noises to attract a mate, so the sounds are an important indicator that the fish are reproducing. “Eventually, if we understand the behavior that’s associated with the sounds, we might be able to listen to the sea and explain to fishermen: ‘Now’s not the best time to start fishing.’”</t>
  </si>
  <si>
    <t xml:space="preserve">30.    According to the report, which of the following is true?                                                                </t>
  </si>
  <si>
    <t>a)       The different sounds of the fish correspond with their different activities.</t>
  </si>
  <si>
    <t>b)       Animals expend less energy fighting than making sounds.</t>
  </si>
  <si>
    <t>c)       The sounds and behavior of the fish are used to make fishing predictions.</t>
  </si>
  <si>
    <t xml:space="preserve">d)       Piranhas are highly likely to attack their rivals on sight.                                                       </t>
  </si>
  <si>
    <t>EXAMEN 104R-1</t>
  </si>
  <si>
    <t>EXAMEN 104R-2</t>
  </si>
  <si>
    <t>EXAMEN 104R-4</t>
  </si>
  <si>
    <t>&lt;b&gt;Six-Year-Old Beats Adults at Chess.  &lt;/b&gt;&lt;br&gt;A six-year-old boy from oxford is taking part in his first adult chess tournament after becoming obsessed with the game. Callaghan took up chess because he suffers from bad asthma. Now he is captain of his chess team at school, playing against children who are two years older than him. He regularly beats his father at chess. His mother said: “Neither of us used to play chess. We were looking for a game Callaghan could play indoors.” His goal is to be the youngest ever grandmaster.</t>
  </si>
  <si>
    <t xml:space="preserve">1.       What is said about Callaghan?                                                                                                          </t>
  </si>
  <si>
    <t>a)       He can’t defeat his father.</t>
  </si>
  <si>
    <t>b)       He is a grandmaster.</t>
  </si>
  <si>
    <t>c)       His mother played chess well.</t>
  </si>
  <si>
    <t xml:space="preserve">d)       He wants to be a grandmaster.                                                                                            </t>
  </si>
  <si>
    <t xml:space="preserve">&lt;b&gt;19-Mile-Long Crack Found in Antarctic Glacier.  &lt;/b&gt;&lt;br&gt;NASA scientists have discovered a massive crack across a glacier in Antarctica. It’s a huge 19 miles long, 80 meters wide and 60 meters deep. It was found by scientists working in Antarctica and then a picture was taken from space by NASA’s Terra spacecraft. Eventually the crack could extend all the way across the glacier and create a giant iceberg. </t>
  </si>
  <si>
    <t xml:space="preserve">2.       What is said about the crack in the glacier?                                                                               </t>
  </si>
  <si>
    <t>a)       It has created a giant iceberg.</t>
  </si>
  <si>
    <t>b)       It was photographed from space.</t>
  </si>
  <si>
    <t>c)       It has broken the glacier.</t>
  </si>
  <si>
    <t xml:space="preserve">d)       It is unlikely to get bigger.                                                                                                      </t>
  </si>
  <si>
    <t>&lt;b&gt;99p Shop is Worth 60 Million Pounds. 2012.  &lt;/b&gt;&lt;br&gt;The 99p shop chain is being sold for a massive 60 million pounds! The chain of budget shops opened their first shop in 2001. After Woolworths shut down, they bought all their empty shops and now have 150 stores around the country. It’s thought that all 150 shops could be sold altogether for 60 million.</t>
  </si>
  <si>
    <t xml:space="preserve">3.       Which of the following is true?                                                                                                      </t>
  </si>
  <si>
    <t>a)       Woolworths bought all of the 99p shops.</t>
  </si>
  <si>
    <t>b)       The 99p shops bought all the Woolworths shops.</t>
  </si>
  <si>
    <t>c)       Woolworths currently has 150 shops.</t>
  </si>
  <si>
    <t xml:space="preserve">d)       Goods sold in the 99p shops are expensive.                                                                      </t>
  </si>
  <si>
    <t>&lt;b&gt;Goat Gives Police Run-Around in Melbourne, Australia.    &lt;/b&gt;&lt;br&gt;Police in Australia had a tough time trying to catch a runaway goat. The speedy animal ran in and out of traffic on the roads causing chaos while police officers tried to catch it with nets. No-one knows where it came from but it is the same one that several people have seen in the city recently. Eventually the goat was captured and taken to a local lost dogs’ home.</t>
  </si>
  <si>
    <t xml:space="preserve">4.       What is said about the goat?                                                                                                            </t>
  </si>
  <si>
    <t>a)       It escaped from a dogs’ home.</t>
  </si>
  <si>
    <t>b)       It was seen previously in the city.</t>
  </si>
  <si>
    <t>c)       It was impossible to catch.</t>
  </si>
  <si>
    <t xml:space="preserve">d)       It caused an accident.                                                                                                           </t>
  </si>
  <si>
    <t>&lt;b&gt;Baby Pygmy Elephant Rescued From a Moat.  &lt;/b&gt;&lt;br&gt;A baby pygmy elephant has been rescued from a deep moat in Borneo. The young elephant was found stuck in the moat and abandoned by its mother. It was rescued by wildlife officials who have been treating it for cuts, bruises and severe dehydration. The rescue is being called a Chinese New Year miracle, as there are only 2,000 pygmy elephants left in the wild. The baby elephant will be given round-the-clock care for the next few days as vets try to nurse it back to health.</t>
  </si>
  <si>
    <t xml:space="preserve">5.       What is said about the pygmy elephant?                                                                                           </t>
  </si>
  <si>
    <t>a)       It was saved by wildlife officials.</t>
  </si>
  <si>
    <t>b)       It is being cared for by its mother.</t>
  </si>
  <si>
    <t>c)       It was found in the sea.</t>
  </si>
  <si>
    <t xml:space="preserve">d)       It was rescued on Chinese New Year’s Day.                                                                        </t>
  </si>
  <si>
    <t>&lt;b&gt;200th Anniversary of Charles Dickens.   &lt;/b&gt;&lt;br&gt;Tuesday marks the 200th anniversary of the birth of one of England’s most famous authors, Charles Dickens. Dickens wrote many famous books. He was born in Portsmouth in 1812 and died in London in 1850. Prince Charles and the Duchess of Cornwall will visit the Charles Dickens Museum in London. There will also be a service at Westminster Abbey. It is being attended by some of the author’s descendants. The actor, Simon Dallow, says Dickens would have been the most famous person in his day.</t>
  </si>
  <si>
    <t xml:space="preserve">6.       What is said about Charles Dickens?                                                                                              </t>
  </si>
  <si>
    <t>a)       The celebrations are taking place on his birthday.</t>
  </si>
  <si>
    <t>b)       His descendants are giving a party.</t>
  </si>
  <si>
    <t>c)       He was declared the most famous person ever.</t>
  </si>
  <si>
    <t xml:space="preserve">d)       He was born in the middle of the 1800s                                                                               </t>
  </si>
  <si>
    <t>&lt;b&gt;Bermuda Honors Singer John Lennon.      &lt;/b&gt;&lt;br&gt;A sculpture and concert are being launched this summer in a tribute to John Lennon to celebrate his links to Bermuda. The John Lennon sculpture will be unveiled at the Masterworks Museum of Bermuda Art. Bermuda was very important to John Lennon. He sailed to the island in the summer of 1980 to write songs. He had writer’s block for five years before he went to Bermuda and hadn’t written any songs. Bermuda inspired him so much that he wrote lots of songs and recorded an album, which he called ‘Double Fantasy’ after one of Bermuda’s flowers.</t>
  </si>
  <si>
    <t xml:space="preserve">7.       What is said about John Lennon?                                                                                                      </t>
  </si>
  <si>
    <t>a)       He had many holidays in Bermuda.</t>
  </si>
  <si>
    <t>b)       Bermuda inspired him to write music.</t>
  </si>
  <si>
    <t>c)       He couldn’t write music in Bermuda.</t>
  </si>
  <si>
    <t xml:space="preserve">d)       He opened a museum in Bermuda.                                                                                        </t>
  </si>
  <si>
    <t>&lt;b&gt;St. Bernard Dog Travels in a Motorcycle Sidecar.   &lt;/b&gt;&lt;br&gt;A dog who doesn’t like being left at home alone has taken pride of place in the sidecar of his owner’s motorbike. Harley, a 17-month-old St. Bernard travels with his owners Alan and Tina Valkeith. They bought the bike because he’s too big to fit in their car. He wears a special helmet, harness and goggles when he travels on the bike. Alan and Tina realized they could no longer go out on their motorbikes together, as one of them had to stay at home to keep the dog company.</t>
  </si>
  <si>
    <t xml:space="preserve">8.       What is said about the dog?                                                                                                           </t>
  </si>
  <si>
    <t>a)       He doesn’t like travelling by motorbike.</t>
  </si>
  <si>
    <t>b)       He has protection gear on when travelling on the bike.</t>
  </si>
  <si>
    <t>c)       He is too big for the motorbike.</t>
  </si>
  <si>
    <t xml:space="preserve">d)       He has prevented his owners from going out together on their bikes.                        </t>
  </si>
  <si>
    <t>&lt;b&gt;Zip Wire and Hot Air Balloon For Olympic Torch Relay.     &lt;/b&gt;&lt;br&gt;A zip wire, hot air balloon, and a motorcycle sidecar are just some of the ways the London 2012 Olympic torch will be moved around the UK next year. 8,000 people will take turns to carry a lit torch during the 70-day relay, starting in Land’s End on 19 May. Along the way, it will travel 8,000 miles and pass through 1,018 places. The highlights of its trip include flying by zip wire from the Tyne Bridge, climbing Snowdon by rail and crossing Loch Ness by boat.</t>
  </si>
  <si>
    <t xml:space="preserve">9.       Which of the following is true?                                                                                                   </t>
  </si>
  <si>
    <t>a)       The torch’s journey includes a train ride.</t>
  </si>
  <si>
    <t>b)       The torch’s journey will last a week.</t>
  </si>
  <si>
    <t>c)       The torch’s journey will finish on May 19.</t>
  </si>
  <si>
    <t xml:space="preserve">d)       8,000 people will view the torch’s journey.                                                                      </t>
  </si>
  <si>
    <t>&lt;b&gt;China’s First Docking Spacecraft Returns to Earth..  &lt;/b&gt;&lt;br&gt;The Chinese spacecraft that made the country’s first ever docking in space has landed back on Earth. Shenzou 8 touched down in the desert in China on Thursday, with the help from a parachute. It spent just under 17 days in orbit, during which the unmanned Shenzou capsule joined up with China’s mini spacelab, Tiangong-1.The successful mission is big news for China, as it wants to send its own astronauts to the spacelab new year. China has also revealed that it wants to have its own space station by the year 2020.</t>
  </si>
  <si>
    <t xml:space="preserve">10.    According to the report;                                                                                                              </t>
  </si>
  <si>
    <t>a)       China recently sent astronauts into space.</t>
  </si>
  <si>
    <t>b)       The Chinese spacecraft didn’t have a crew.</t>
  </si>
  <si>
    <t>c)       China is currently developing its own space station.</t>
  </si>
  <si>
    <t xml:space="preserve">d)       The Chinese spacecraft spent a week in orbit.                                                             </t>
  </si>
  <si>
    <t>&lt;b&gt;Giant Knitted Coat Confirmed as World’s Largest Jacket.  &lt;/b&gt;&lt;br&gt;It’s officially the world’s largest jacket! The record breaking ‘coat of many colors’ is made up of more than 8,832 knitted squares. It was created by kids and parishioners at St. George’s Church and primary school in Stockport, Great Manchester. The giant coat will now be taken apart to make blankets to send to Africa. It measures 13m by 5.5m – that’s big enough to cover more than half a tennis court. It weighs around the same as two average-sized adult men. Guinness World Records have confirmed that it’s beaten the previous record held by a group in Ukraine, Eastern Europe.</t>
  </si>
  <si>
    <t xml:space="preserve">11.    What is said about the coat?                                                                                                      </t>
  </si>
  <si>
    <t>a)       It could cover a tennis court.</t>
  </si>
  <si>
    <t>b)       It was made in Africa.</t>
  </si>
  <si>
    <t>c)       A coat made in Eastern Europe was bigger.</t>
  </si>
  <si>
    <t xml:space="preserve">d)       Churchgoers helped to make it.                                                                                       </t>
  </si>
  <si>
    <t xml:space="preserve">&lt;b&gt;Russia Reveals Arrest of Chinese Man for Espionage.   &lt;/b&gt;&lt;br&gt;A Chinese man faces a charge in Russia of attempted spying for allegedly trying to gain details of a missile system through bribery. The man, identified as Tun Sheniyun, was arrested in Moscow on 28 October last year while working as an interpreter. However, his arrest was kept secret from the media until now. He allegedly sought technological and repair documentation on the Soviet-era S300 surface-to-air system. Mr. Tun is thought to have been acting on the instructions of the Chinese state security ministry, Russia’s Federal Security Service (FSB) said. Formally, he worked as an interpreter for official delegations, it added. There was no immediate reaction to the news from Chinese officials. </t>
  </si>
  <si>
    <t xml:space="preserve">12.    According to the report, the Chinese man;                                                                                       </t>
  </si>
  <si>
    <t>a)       Tried to bribe an interpreter.</t>
  </si>
  <si>
    <t>b)       Was believed to have been living a double life.</t>
  </si>
  <si>
    <t>c)       Was proved to have been working for the Chinese state security ministry.</t>
  </si>
  <si>
    <t xml:space="preserve">d)       Was betrayed by Chinese officials.                                                                                        </t>
  </si>
  <si>
    <t>&lt;b&gt;Ardnamurchan Viking Boat Burial Discovery ‘a First’.  &lt;/b&gt;&lt;br&gt;The UK mainland’s first fully intact Viking boat burial site has been uncovered in the west Highlands, archaeologists have said. Artefacts buried alongside the Viking in his boat suggest he was a high-ranking warrior. Archaeologist Dr. Hannah Cobb said the “artefacts and preservation make this one of the most important Norse graves ever excavated in Britain”. The universities of Manchester, Leicester, Newcastle and Glasgow worked on, identified, or funded the excavation. Until now mainland excavations were only partially successful and had been carried out before more careful and accurate methods were introduced. The findings were made as part  of a project which has been examining social change in the area from the first farmers 6,000 years ago to the Highland Clearances of the 18th and 19th centuries.</t>
  </si>
  <si>
    <t xml:space="preserve">13.    Which of the following is true?                                                                                                  </t>
  </si>
  <si>
    <t>a)       The excavation was not a complete success.</t>
  </si>
  <si>
    <t>b)       The discovery will contribute to a project studying the life of early farmers.</t>
  </si>
  <si>
    <t>c)       The Viking is confirmed to be a warrior of some importance.</t>
  </si>
  <si>
    <t xml:space="preserve">d)       Various universities were involved in the digging.                                                    </t>
  </si>
  <si>
    <t xml:space="preserve">&lt;b&gt;Western Black Rhino Declared Extinct.  &lt;/b&gt;&lt;br&gt;No wild black rhinos remain in West Africa, according to the latest global assessment of threatened species. The Red List, drawn up by the International Union for Conservation of Nature (IUCN), has declared the subspecies extinct. A subspecies of white rhino in central Africa is also listed as possibly extinct, the organization says. The annual update of the Red List now records more threatened species than ever before. The IUCN reports that despite conservation efforts, 25% of the world’s mammals are at risk of extinction. As part of its latest work it has reassessed several rhinoceros groups. As well as declaring the western black rhino extinct, it records the northern white rhino, a subspecies in central Africa, as being on the brink of extinction. </t>
  </si>
  <si>
    <t xml:space="preserve">14.    Which of the following is true?                                                                                                </t>
  </si>
  <si>
    <t>a)       Endangered species are documented yearly.</t>
  </si>
  <si>
    <t>b)       The white rhino is officially extinct.</t>
  </si>
  <si>
    <t>c)       Conservation efforts have proved effective.</t>
  </si>
  <si>
    <t xml:space="preserve">d)       The number of endangered species is diminishing </t>
  </si>
  <si>
    <t xml:space="preserve">&lt;b&gt;Afghan Women Strike Blow for Equality.  &lt;/b&gt;&lt;br&gt;Taking part in sport is a new to women in Afghanistan, and some are taking advantage of this freedom by donning their boxing gloves and striking a blow for equality. A woman falls to the ground after receiving a blow to the head. Her attacker continues to circle above her, threatening more to come when she gets to her feet. It is all taking place within Kabul’s main stadium, the same place where the Taliban used to publicly flog and even execute women. Thankfully the Taliban, who banned women from taking part in all sports, are long gone.  About 20 young women, wearing headscarves and bright orange boxing gloves are trading the most unladylike of blows. Sonaya, a teenager with long, dark hair, takes her boxing seriously. Like others here she hopes to qualify for a future Olympics and has been training hard. </t>
  </si>
  <si>
    <t xml:space="preserve">15.    What is said about Afghan women and sport?                                                                             </t>
  </si>
  <si>
    <t>a)       Many Afghan women are not keen on practicing sport.</t>
  </si>
  <si>
    <t>b)       Afghan women are still widely prohibited from practicing sport.</t>
  </si>
  <si>
    <t>c)       Sport is an unfamiliar activity for Afghan women.</t>
  </si>
  <si>
    <t xml:space="preserve">d)       A team of Afghan women will participate in the Olympics.                                          </t>
  </si>
  <si>
    <t>&lt;b&gt;West Hollywood First US City to Ban Sale of Fur Clothes.  &lt;/b&gt;&lt;br&gt;A city in the heart of Hollywood has become the first in America to ban the sale of fur clothing. Leaders in West Hollywood have voted to stop the sale of clothes made for the skin or pelt of animals with hair, wool or fur, from 2013. Clothes made from sheep’s wool, and leather goods are not included. Lots of clothes shop owners are against the ban as they say the money made from fur items adds up to more than one million pounds a year for local businesses.</t>
  </si>
  <si>
    <t>c)       Negative information incites activity in the brain’s frontal lobes.</t>
  </si>
  <si>
    <t>&lt;b&gt;Rejected Polar Bear Cub is Safe.  &lt;/b&gt;&lt;br&gt;A polar bear cub that was rejected by its mother is being looked after at an aquarium in China. The cub was born on New Year’s Day and staff at the center says she’s in a stable condition. She only weighs just over a pound and has been suffering from health problems since she was rejected. But the cub is no longer in a critical condition and will be ready for her first public appearance in a few months time.</t>
  </si>
  <si>
    <t xml:space="preserve">&lt;b&gt;New Planet Discovered by ‘Stargazing Live’ Viewer.  &lt;/b&gt;&lt;br&gt;How would you fancy discovering your own planet? Sounds a bit out of this world but that’s what happened to a ‘Stargazing Live’ viewer. Science history was made last night on the BBC 2 show after people watching were asked to help in the hunt for planets elsewhere in the Universe. An amateur star spotter discovered the new planet by looking at images from NASA’s Kepler telescope online. Experts believe it’s about the size of planet Neptune in our own solar system. Chris Holmes, from Peterborough, was the lucky man who found the planet.  </t>
  </si>
  <si>
    <t>&lt;b&gt;Edinburgh’s Giant Panda ‘Sunshine’ is Getting Better.  &lt;/b&gt;&lt;br&gt;One of the U.K.’s two giant pandas is getting better after having colic which saw him removed from display as he tried to get better. ‘Sunshine’ is brighter and more active. Zoo bosses say he’s started eating loads of bamboo. He started feeling poorly a month after he and female panda Sweetie moved into their new home at Edinburgh Zoo. Colic’s a common complaint in humans but its cause is unknown. ‘Sunshine’ will remain away from the public while he recovers.</t>
  </si>
  <si>
    <t xml:space="preserve">&lt;b&gt;30 U.K. Farms Still Keeping Hens in Battery Cages.     &lt;/b&gt;&lt;br&gt;Up to half a million hens are still being kept in battery cages in Britain even though a big European ban came into force at the start of the year. The U.K. government has complained about other countries breaking the rules, and said it’s disappointed that about 30 U.K. farms are still using the cages. They are confident the new rules will be in force nationwide by early February. The European Union announced the ban on battery hens in 1999. The change in law means all birds must be kept in bigger cages but 14 EU countries haven’t met the deadline. </t>
  </si>
  <si>
    <t xml:space="preserve">d)       The islanders want the bones for spiritual reasons.                                                       </t>
  </si>
  <si>
    <t>&lt;b&gt;India Given Avalanche Warning.    &lt;/b&gt;&lt;br&gt;The Jammu-Srinagar National Highway has reopened after two major avalanches and five landslides were cleared. A cold wave further tightened its grip in Jammu and Kashmir with most places in the state recording sub-zero temperatures. The chilly weather has frozen many rivers and lakes, as well as drinking water taps. An avalanche warning has also been issued in some snowbound hilly areas.</t>
  </si>
  <si>
    <t xml:space="preserve">16.    According to the report;                                                                                                                 </t>
  </si>
  <si>
    <t>a)       The Jammu-Srinagar National Highway remains out of use.</t>
  </si>
  <si>
    <t>b)       The temperature has dropped below freezing in some places.</t>
  </si>
  <si>
    <t>c)       Drinking water is unavailable in some areas.</t>
  </si>
  <si>
    <t xml:space="preserve">d)       There is no further threat of avalanches.                                                                             </t>
  </si>
  <si>
    <t>&lt;b&gt;How War Has Driven Medical Advances.    &lt;/b&gt;&lt;br&gt;Many key developments in healthcare have their origins on the battlefield where the treatment of injured troops has led to innovations throughout history which continues today. The hospital at Camp Bastion in Afghanistan is at the forefront in developments in trauma surgery. Last year it handled 8,000 casualties. Incredibly, U.S .and British army medics now expect to save 90% of those patients, the highest figure in the history of warfare. Blood loss has always been the biggest killer in war. A big turning point came in 1537 when a French barber called Ambroise Pare was sent as a surgeon to the Siege of Turin. He was so horrified by what he saw, that he came up with an incredibly simple alternative, the ligature. He would identify bleeding arteries, clamp them, and then tie the ends with silk threads. The idea of using specialized transport to evacuate the wounded from the battlefield came 200 years ago and again it was a Frenchman who first saw the need. Another technique developed by the military, hand in hand with civilian medics is the use of portable ultrasound.</t>
  </si>
  <si>
    <t xml:space="preserve">17.    The report states that;                                                                                                                         </t>
  </si>
  <si>
    <t>a)       A leading hospital in trauma surgery advances is located in Afghanistan.</t>
  </si>
  <si>
    <t>b)       The Camp Bastion hospital was not able to deal with the casualties it received.</t>
  </si>
  <si>
    <t>c)       Ambrose Pare helped develop specialized transport for evacuating the injured.</t>
  </si>
  <si>
    <t xml:space="preserve">d)       The military invented portable ultrasound.                                                                           </t>
  </si>
  <si>
    <t xml:space="preserve">&lt;b&gt;Changes to the World’s Time Scale Debated.   &lt;/b&gt;&lt;br&gt;Time, as we know it, could be in for a radical change. This week, scientists at the Royal Society are discussing whether we need to come up with a new definition of the world’s time scale: Coordinated Universal Time (UTC). And the main issue up for debate is the leap second – and whether we should abolish it. The leap second came into existence in 1972. It is added to keep the time-scale based on atomic clocks in phase with the time-scale that is based on the Earth’s rotation. The reason for this is that while atomic clocks, which use the vibrations in atoms to count the seconds, are incredibly accurate, the Earth is not such a reliable time-keeper thanks to a slight wobble as it spins on its axis. This means that time based on atomic clocks and time based in Earth drift ever further out of phase over time. So every few years, before the difference has grown to more than 0.9 seconds, an extra second –called the leap second – is added to snap the two back into synch. </t>
  </si>
  <si>
    <t xml:space="preserve">18.    According to the report;                                                                                                               </t>
  </si>
  <si>
    <t>a)       Atomic clocks are rarely accurate.</t>
  </si>
  <si>
    <t>b)       Earth time and clock time are now completely in synch.</t>
  </si>
  <si>
    <t>c)       Earth time and clock time go progressively out of synch.</t>
  </si>
  <si>
    <t xml:space="preserve">d)       The leap second is responsible for the lack of synchronicity.                                        </t>
  </si>
  <si>
    <t>&lt;b&gt;Mike Tindall Returns to England Rugby Union Squad. CBBC Newsround.  &lt;/b&gt;&lt;br&gt;Mike Tindall is back in England’s rugby union squad after being kicked out following the World Cup. The captain was dropped and given a big fine after being accused of bad behavior during England’s World Cup campaign. But after a successful appeal he will be allowed to play for his country again, and his fine has been reduced. Mike Tindall wasn’t the only player to get in trouble for his behavior in New Zealand. Winger Chris Ashton and flanker James Haskell were also punished for making rude comments to a hotel worker, but they weren’t dropped from the side. And center, Manu Tuilagi, got a big fine for wearing a sponsored mouth guard and another fine for jumping off a ferry in Auckland.</t>
  </si>
  <si>
    <t xml:space="preserve">19.    What is said about the rugby player, Mike Tindall?                                                                     </t>
  </si>
  <si>
    <t>a)       He has been prohibited from playing future games for England.</t>
  </si>
  <si>
    <t>b)       He was dismissed during the World Cup.</t>
  </si>
  <si>
    <t>c)       He insulted a hotel worker.</t>
  </si>
  <si>
    <t xml:space="preserve">d)       He was reinstated in the rugby union.                                                                                </t>
  </si>
  <si>
    <t xml:space="preserve">&lt;b&gt;Life in Limbo in Chinese Village that does not Exist.            &lt;/b&gt;&lt;br&gt;The men in Blue Dragon village are taking in their autumn harvest. Corncobs litter the land. The men pick them up by hand and throw them into waiting tractor trailers. It is a typical scene in China’s countryside. But this is no ordinary village. As far as the authorities are concerned, it does not exist. You cannot find it on any map. The power cables have all been cut. None of the dozens of families in Blue Dragon village has official ID cards required for social services, and to travel and work around the country. “I just want my identity back,” says Liang Qiquan, a farmer. The villagers’ problems date back over a decade, to when the authorities built a reservoir on their ancestral lands. It provides fresh drinking water to the rapidly expanding city of Harbin, famed for its huge ice sculptures displayed during the harsh winters. More than 200 homes lie submerged beneath the reservoir’s surface. The villagers say they received little or no compensation for their homes. They were supposed to live in neighboring districts. </t>
  </si>
  <si>
    <t xml:space="preserve">20.    What could be said about Blue Dragon village?                                                                           </t>
  </si>
  <si>
    <t>a)       It is typical of many villages in the Chinese countryside.</t>
  </si>
  <si>
    <t>b)       It is well served by the reservoir.</t>
  </si>
  <si>
    <t>c)       The reservoir has had an adverse effect on its inhabitants.</t>
  </si>
  <si>
    <t xml:space="preserve">d)       Its inhabitants have moved to neighboring districts.                                                     </t>
  </si>
  <si>
    <t xml:space="preserve">&lt;b&gt;The Disease Killing Europe’s Plane Trees.   &lt;/b&gt;&lt;br&gt;The plane trees lining France’s 300-year-old Canal du Midi are being felled because of a fungus. It’s noon in the farmlands outside Toulouse, but the light on the Canal is like twilight. The shade is created by the leafy branches of huge plane trees on both banks. It’s a beautiful scene. And one that runs the length of the canal. It was five years ago that Jacques Noisette realized something was wrong. “In the spring of 2006, I began to notice that some of the plane trees were dying,” says Mr. Noisette, who works for the French government agency that manages the canal. “Their new leaves should have been opening up, but they weren’t.” Specialists soon identified the deadly fungus for which there is no apparent cure. Researchers say the trees must be felled before they die. Otherwise they could fall on holiday makers, who travel along the canal in boats- spreading the fungus as they go. French agronomist, Andre Vigouroux, says it’s been traced to the ammunition boxes American soldiers brought over to Europe in World War 2, which were made from North American plane trees. </t>
  </si>
  <si>
    <t xml:space="preserve">21.    According to the report;                                                                                                                          </t>
  </si>
  <si>
    <t>a)       The fungus originated with holidaymakers.</t>
  </si>
  <si>
    <t>b)       The fungus is unidentifiable.</t>
  </si>
  <si>
    <t>c)       It is dangerous to cut down the trees.</t>
  </si>
  <si>
    <t xml:space="preserve">d)       The trees failed to produce new leaves.                                                                                 </t>
  </si>
  <si>
    <t>&lt;b&gt;Shipwrecks: A Pirates Dream or a Piece of History.   &lt;/b&gt;&lt;br&gt;Exploring shipwrecks and buried treasure isn’t just for Tintin. In the real world, oceans hold about 3 million sunken wrecks. Treasure hunters have been diving and sending robots into the ocean to explore them for years. While wrecks might be a pirates’ paradise, some think they should be better protected. This is out of respect for the dead and to help preserve history.</t>
  </si>
  <si>
    <t xml:space="preserve">22.    What is said about shipwrecks?                                                                                                              </t>
  </si>
  <si>
    <t>a)       They are well protected.</t>
  </si>
  <si>
    <t>b)       They have become rare in recent times.</t>
  </si>
  <si>
    <t>c)       They could assist in recording history.</t>
  </si>
  <si>
    <t xml:space="preserve">d)       Pirates used robots to explore them.                                                                               </t>
  </si>
  <si>
    <t>&lt;b&gt;Freshwater Pearl Mussels Among IUCN’s ‘Most Endangered’.   &lt;/b&gt;&lt;br&gt;Scottish freshwater pearl mussels join giant pandas and Javan rhinos in a new book listing 365 of the world’s “most endangered species”. Species on the Edge of Survival has been put together by the International Union for Conservation (IUCN). It keeps a red list of threatened wildlife using information gathered by scientists and conservationists. The new book includes the pearl mussels because of the threat posed by poachers and habitat loss. In 2010, a survey suggested about 75% of the country’s internationally-important pearl mussel sites had been damaged by criminals. Criminal acts ranged from illegal pearl fishing to unauthorized river works which resulted in the destruction of entire pearl mussel populations. Scottish Natural Heritage (SNH) said the destruction was “shocking”. The mussels are protected under the Wildlife and Countryside Act 1981. Wildlife crime officers and SNH launched Operation Caesar to safeguard the future of the species in Scotland.</t>
  </si>
  <si>
    <t xml:space="preserve">23.    The report claims that;                                                                                                                            </t>
  </si>
  <si>
    <t>a)       Scottish freshwater pearl mussels are not under protection.</t>
  </si>
  <si>
    <t>b)       The IUCN keeps a list of species that are now extinct.</t>
  </si>
  <si>
    <t>c)       Illicit activities are the main threat to the mussels.</t>
  </si>
  <si>
    <t xml:space="preserve">d)       Criminal activity accounts for less than half of the damage to mussel sites.                    </t>
  </si>
  <si>
    <t>&lt;b&gt;Thankful Villages: The Places Where Everyone Came Back From the Wars,                                         &lt;/b&gt;&lt;br&gt;The mass slaughter of 1914-18 robbed the UK of a million lives, leaving no part of the country untouched. But there was a tiny handful of settlements where all those who served returned home. With its rows of yellow-brick cottages in the Cotswold hills, the village of Upper Slaughter belies the violence of its name. All the components of tourist-brochure Britain are here-the red phone box, winding lanes, the wisteria draped around the windows. But one normally ubiquitous feature is missing. Unlike the overwhelming majority of British settlements, Upper Slaughter has no war memorial. Instead, tucked away in the village hall are two modest wooden plaques. They celebrate the men, and one woman, from the village who served in both world wars and, in every case, returned home. It is that rarest of British locations, a “thankful village”-the term coined in the 1930s by the writer Arthur Mee to describe the handful of communities which suffered no military fatalities in World War 1.</t>
  </si>
  <si>
    <t xml:space="preserve">24.    What is said about the village, Upper Slaughter?                                                                     </t>
  </si>
  <si>
    <t>a)       Its name stands in contrast with its history.</t>
  </si>
  <si>
    <t>b)       It has become a tourist village.</t>
  </si>
  <si>
    <t>c)       It has appeared in water color paintings.</t>
  </si>
  <si>
    <t xml:space="preserve">d)       It honors the men and women lost during the wars.                                                 </t>
  </si>
  <si>
    <t xml:space="preserve">&lt;b&gt;Colombia’s Ecopetrol Challenged over Human Rights Record. &lt;/b&gt;&lt;br&gt;Colombians recently had a rare opportunity to buy a stake in the state-owned Ecopetrol company but critics complain that it still has questions to answer over its record on human rights and the environment. The pressure group Human Rights Watch says Ecopetrol, along with its foreign partners, has taken no action to address reports of extrajudicial executions and a massacre committed by state security forces close to their oil installations ten years ago. But Javier Gutierrez, the head of Ecopetrol, says allegations of massacres committed by state security forces are a government matter and nothing to do with his company. He is adamant that he wants his company to be recognized in the future as one which produces no accidents and no environmental incidents. The pressure group Justice for Colombia, says profits should not come before human rights. </t>
  </si>
  <si>
    <t xml:space="preserve">25.    What is said about Ecopetrol?                                                                                                            </t>
  </si>
  <si>
    <t>a)       Ecopetrol has been challenged by its foreign partners.</t>
  </si>
  <si>
    <t>b)       It is believed that Ecopetrol has carried out a massacre.</t>
  </si>
  <si>
    <t>c)       Ecopetrol has undertaken an investigation into the alleged massacre.</t>
  </si>
  <si>
    <t xml:space="preserve">d)       Ecopetrol’s foreign partners have also been accused of complacency.                           </t>
  </si>
  <si>
    <t xml:space="preserve">&lt;b&gt;Climate Change ‘Grave Threat’ to Security and Health.   &lt;/b&gt;&lt;br&gt;Climate change poses “an immediate, growing and grave threat” to health and security around the world, according to an expert conference in London. Officers in the UK military warned that the price of goods such as fuel is likely to rise as conflict provoked by climate change increases. A statement from the meeting adds that humanitarian disaster will put more and more strain on military resources. It asks governments to adopt ambitious targets for curbing greenhouse gasses. The annual UN climate conference opens soon, and the doctors, academics  and military experts represented at the meeting argue that developed and developing countries alike need to raise their game. Scientific studies suggest that the most severe climate impacts will fall on the relatively poor countries of the tropics. UK military experts pointed out that much of the world’s trade moves through such regions, with North America, Western Europe and China among the societies heavily dependent on oil and other imports. </t>
  </si>
  <si>
    <t xml:space="preserve">26.    According to the report, experts believe that;                                                                        </t>
  </si>
  <si>
    <t>a)       Tackling climate change is the responsibility of the first world.</t>
  </si>
  <si>
    <t>b)       All countries have a responsibility in tackling climate change.</t>
  </si>
  <si>
    <t>c)       Climate change will have the most negative effect on heavily oil-dependent countries.</t>
  </si>
  <si>
    <t xml:space="preserve">d)       Current trade routes will be the areas least affected by climate change.                 </t>
  </si>
  <si>
    <t xml:space="preserve">&lt;b&gt;Sri Lanka Lagoon Set For Tourist Development.   &lt;/b&gt;&lt;br&gt;Flying fish glint as our boat is pushed off from the shore with a long stick to get us through the mud. The motor is fired up and we head for one of the 14 islands lining a beautiful lagoon in the Kalpitiya region of western Sri Lanka. We land near the tip of the longest island, nicknamed Dutch Bay Island, and meet three fishermen heaving their boat into the ocean. They are anxious about what is happening half a kilometer away. A plan is being implemented to open 17 hotels on these islands, with 10,000 beds for tourists –equal roughly to the local population. “In some places there are boards prohibiting us from fishing,” says Jude, a father of three. “Earlier we could go anywhere to fish. Now they’ve restricted us by building hotels.” This is one of 15 tourism zones designated by the government to attract local and multinational investment. But this is a remote community, only recently opened up because of its proximity to the former war zone. Herman Kumara, a campaigner, says the tourism project gravely threatens their livelihood and is being opposed. </t>
  </si>
  <si>
    <t xml:space="preserve">27.    The report states that;                                                                                                                      </t>
  </si>
  <si>
    <t>a)       Several new hotels have started operating on the island.</t>
  </si>
  <si>
    <t>b)       Tourists will utilize the area for recreational fishing.</t>
  </si>
  <si>
    <t>c)       The expected number of tourists will match that of the local population.</t>
  </si>
  <si>
    <t xml:space="preserve">d)       The area was a former war zone.                                                                                          </t>
  </si>
  <si>
    <t>&lt;b&gt;BBC Sports Personality Top 10 is All Men.  &lt;/b&gt;&lt;br&gt;The shortlist for the BBC Sports Personality of the Year is out and includes golfer Rory McIlroy, boxer Amir Khan and tennis star Andy Murray. It’s a big deal and one of the highest awards an athlete can win. 10 of the UK’s top sport stars have been nominated and the winner will be selected by the public on 22 December. The biggest surprise is that no women have been nominated for the award- it’s all men, and some people have criticized the organizers. It’s the first time since the voting system changed in 2006 that no women are shortlisted. But the organizers say that the shortlist is voted for by a panel of newspaper and magazine journalists, and how they vote can’t be controlled.</t>
  </si>
  <si>
    <t xml:space="preserve">28.    Which of the following is true?                                                                                                        </t>
  </si>
  <si>
    <t>a)       The Sports Personality of the Year has been chosen.</t>
  </si>
  <si>
    <t>b)       Some people want to change the voting system.</t>
  </si>
  <si>
    <t>c)       There is contention regarding the nominees.</t>
  </si>
  <si>
    <t xml:space="preserve">d)       The winner will be selected after Christmas.                                                                  </t>
  </si>
  <si>
    <t>&lt;b&gt;Harnessing Desert Sun to Power Europe.   &lt;/b&gt;&lt;br&gt;It is a beguiling idea – harvest sunshine, and a little wind, from the empty deserts of North Africa and Middle East, and use it to produce clean power for the region and for Europe. Desertec, a group based in Germany, says the scheme would also bring the regions around the Mediterranean closer together, while providing jobs and stability for the countries in the south. It has chosen Morocco, which is embarking on its own ambitious solar program, for its first ‘reference ‘ project –a plant meant to show that its grand vision is feasible. Desertec expects to see the first electricity flowing through undersea cables from Morocco to Spain as early as 2014. But its stated goal –using desert power to supply up to 100% of local needs and up to 15% of European demand by 2050 – has attracted critics who question whether such a vision is possible or even necessary.</t>
  </si>
  <si>
    <t xml:space="preserve">29.    According to the report;                                                                                                                      </t>
  </si>
  <si>
    <t>a)       A Moroccan group is developing the project.</t>
  </si>
  <si>
    <t>b)       The project is falling short of its target.</t>
  </si>
  <si>
    <t>c)        Desertec is trying to prove that its plans are possible.</t>
  </si>
  <si>
    <t xml:space="preserve">d)       Desertec’s goals have been found to be unreachable.                                                       </t>
  </si>
  <si>
    <t xml:space="preserve">&lt;b&gt;Hitting the Beach in Mogadishu After Islamist Withdrawal.   &lt;/b&gt;&lt;br&gt;For the first time in years, Lido beach in Somalia’s war-town capital, Mogadishu, is packed on Fridays as families take advantage of the improved security to enjoy themselves. It is a sign of the cautious optimism that has gripped Mogadishu since the militant Islamist group al-Shabab announced a ‘tactical withdrawal’ from the city, following fierce battles with the 9,000-strong African Union (AU) force and government troops. Since taking control of most of the city, which has been devastated by more than two decades of conflict, the AU and the weak interim government have been waging a publicity campaign to urge residents to resume their normal lives. Optimism is being found across Mogadishu, with aid workers estimating that 300,000 people previously displaced by the conflict have returned to their homes in recent months. The city has also seen an influx of people who fled the famine in al-Shabab controlled areas of the south, resulting in more foreign aid workers basing themselves in Mogadishu. </t>
  </si>
  <si>
    <t xml:space="preserve">30.    What is said about Mogadishu?                                                                                                    </t>
  </si>
  <si>
    <t>a)       Aid workers are leaving the city center.</t>
  </si>
  <si>
    <t>b)       The local population is building new homes.</t>
  </si>
  <si>
    <t>c)       The African Union has withdrawn from the city.</t>
  </si>
  <si>
    <t xml:space="preserve">d)       People have arrived from other parts of Somalia.                                                          </t>
  </si>
  <si>
    <t xml:space="preserve">d)       He was reinstated in the rugby union.                                                                                              </t>
  </si>
  <si>
    <t xml:space="preserve">21.    What is said about shipwrecks?                                                                                                              </t>
  </si>
  <si>
    <t>d)       Pirates used robots to explore them.</t>
  </si>
  <si>
    <t xml:space="preserve">22.    According to the report;                                                                                                                          </t>
  </si>
  <si>
    <t>d)       People have arrived from other parts of Somalia.</t>
  </si>
  <si>
    <t>1.        ………………………………….Where does this conversation take place?</t>
  </si>
  <si>
    <t xml:space="preserve">2.       Learning Languages.                                                                                                ………………………………….How does the speaker like to learn languages? </t>
  </si>
  <si>
    <t xml:space="preserve">3.       Employer Responsibilities………………………………….Which problem is being discussed?                                                                                         </t>
  </si>
  <si>
    <t xml:space="preserve">4.       Swimming in the River Thames.                                                                                            ………………………………….What is said about David Williams?                                                                                                </t>
  </si>
  <si>
    <t>5.       Children and computer screens………………………………….What is the man speaking about?</t>
  </si>
  <si>
    <t>6.       Snow………………………………….What can be difficult for weather experts?</t>
  </si>
  <si>
    <t xml:space="preserve">7.       The House I Grew Up in: Shirley Williams.          ………………………………….What does Shirley Williams say about her early life in the house?                                            </t>
  </si>
  <si>
    <t>8.       Fair Trade………………………………….Which statement is correct?</t>
  </si>
  <si>
    <t>9.       Genetically modified food………………………………….Why is the man in favour of GM food?</t>
  </si>
  <si>
    <t>10.   Hybrid cars ………………………………….What can be said about the woman?</t>
  </si>
  <si>
    <t>11.   A 100-year-old turtle………………………………….What can be understood from the text?</t>
  </si>
  <si>
    <t xml:space="preserve">12.   Pandas ………………………………….What is said about pandas?                                                                                                              </t>
  </si>
  <si>
    <t xml:space="preserve">13.   English Café-Michael Jordan ………………………………….What is said about Michael Jordan?                                                                                     </t>
  </si>
  <si>
    <t>14.   Carbon monoxide………………………………….Which statement is true about carbon monoxide?</t>
  </si>
  <si>
    <t>15.   Does the best technology win races?………………………………….According to the extract, what is important for the speaker in his profession?</t>
  </si>
  <si>
    <t>16.   Daniel Defoe………………………………….What can we say about Daniel Defoe?</t>
  </si>
  <si>
    <t>17.   Using energy efficiently………………………………….Which statement is true according to the extract?</t>
  </si>
  <si>
    <t>18.   An  idea to improve the world………………………………….What is the idea to improve the world?</t>
  </si>
  <si>
    <t>19.   The Global Fund ………………………………….Which statement is correct?</t>
  </si>
  <si>
    <t xml:space="preserve">20.   City Population ………………………………….Which of the following is true about Tokyo? </t>
  </si>
  <si>
    <t>21.   The watch………………………………….Which statement is correct about the speaker?</t>
  </si>
  <si>
    <t>22.   A look at Egypt………………………………….Which statement is correct according to the extract?</t>
  </si>
  <si>
    <t>23.   Facial recognition ………………………………….What can be said about facial recognition?</t>
  </si>
  <si>
    <t>24.   California Missions………………………………….Which statement is true according to what you have heard?</t>
  </si>
  <si>
    <t xml:space="preserve">25.   Climate Change.                                      ………………………………….What does Dr. Grant say about the ‘Greenhouse Effect’?                                                            </t>
  </si>
  <si>
    <t xml:space="preserve">26.   Costing the Earth- Yemen-Water .………………………………….What is said about Yemen?                                                                                                         </t>
  </si>
  <si>
    <t>27.   The latest technology………………………………….What impression do we get about the speaker?</t>
  </si>
  <si>
    <t>28.   Earthquake resistant buildings………………………………….Which statement is correct according to the extract?</t>
  </si>
  <si>
    <t xml:space="preserve">29.   Defining Genius.                                                               …………………………………. What does the speaker say regarding genius?                                                                             </t>
  </si>
  <si>
    <t>30.   Interview with a doctor………………………………….Which statement is correct according to what you have heard?</t>
  </si>
  <si>
    <t>31.   A good business………………………………….Which statement is true according to what you have heard?</t>
  </si>
  <si>
    <t>32.   Going around Tokyo………………………………….Why does the speaker like to cycle round Tokyo?</t>
  </si>
  <si>
    <t>33.   Children and money………………………………….What do children learn by receiving an allowance?</t>
  </si>
  <si>
    <t>34.   Dreaming of space………………………………….Which statement is true about Anton Creel?</t>
  </si>
  <si>
    <t>35.   Troops in Afghanistan………………………………….What is President Obama going to do?</t>
  </si>
  <si>
    <t xml:space="preserve">36.   Football Management What inspired Paul, the interviewee, to become a football manager? </t>
  </si>
  <si>
    <t>37.   A new hobby What is David Kirk famous for?</t>
  </si>
  <si>
    <t>38.   Not-for-profit organizations.                What is said about the non-profit organization in the report?</t>
  </si>
  <si>
    <t xml:space="preserve">39.   Helen Mirren    How could we best describe Helen Mirren’s opinion of the Mossad agents?                       </t>
  </si>
  <si>
    <t>40.  Cecil B DeMille What can be said about Cecil B DeMille?</t>
  </si>
  <si>
    <t>1</t>
  </si>
  <si>
    <t>2</t>
  </si>
  <si>
    <t>3</t>
  </si>
  <si>
    <t>4</t>
  </si>
  <si>
    <t>5</t>
  </si>
  <si>
    <t>6</t>
  </si>
  <si>
    <t>7</t>
  </si>
  <si>
    <t>8</t>
  </si>
  <si>
    <t>9</t>
  </si>
  <si>
    <t>EXAMEN 107/MP3/Q-1.mp3</t>
  </si>
  <si>
    <t>EXAMEN 107/MP3/Q-2.mp3</t>
  </si>
  <si>
    <t>EXAMEN 107/MP3/Q-3.mp3</t>
  </si>
  <si>
    <t>EXAMEN 107/MP3/Q-4.mp3</t>
  </si>
  <si>
    <t>EXAMEN 107/MP3/Q-5.mp3</t>
  </si>
  <si>
    <t>EXAMEN 107/MP3/Q-6.mp3</t>
  </si>
  <si>
    <t>EXAMEN 107/MP3/Q-7.mp3</t>
  </si>
  <si>
    <t>EXAMEN 107/MP3/Q-8.mp3</t>
  </si>
  <si>
    <t>EXAMEN 107/MP3/Q-9.mp3</t>
  </si>
  <si>
    <t>EXAMEN 107/MP3/Q-10.mp3</t>
  </si>
  <si>
    <t>EXAMEN 107/MP3/Q-11.mp3</t>
  </si>
  <si>
    <t>EXAMEN 107/MP3/Q-12.mp3</t>
  </si>
  <si>
    <t>EXAMEN 107/MP3/Q-13.mp3</t>
  </si>
  <si>
    <t>EXAMEN 107/MP3/Q-14.mp3</t>
  </si>
  <si>
    <t>EXAMEN 107/MP3/Q-15.mp3</t>
  </si>
  <si>
    <t>EXAMEN 107/MP3/Q-16.mp3</t>
  </si>
  <si>
    <t>EXAMEN 107/MP3/Q-17.mp3</t>
  </si>
  <si>
    <t>EXAMEN 107/MP3/Q-18.mp3</t>
  </si>
  <si>
    <t>EXAMEN 107/MP3/Q-19.mp3</t>
  </si>
  <si>
    <t>EXAMEN 107/MP3/Q-20.mp3</t>
  </si>
  <si>
    <t>EXAMEN 107/MP3/Q-21.mp3</t>
  </si>
  <si>
    <t>EXAMEN 107/MP3/Q-22.mp3</t>
  </si>
  <si>
    <t>EXAMEN 107/MP3/Q-23.mp3</t>
  </si>
  <si>
    <t>EXAMEN 107/MP3/Q-24.mp3</t>
  </si>
  <si>
    <t>EXAMEN 107/MP3/Q-25.mp3</t>
  </si>
  <si>
    <t>EXAMEN 107/MP3/Q-26.mp3</t>
  </si>
  <si>
    <t>EXAMEN 107/MP3/Q-27.mp3</t>
  </si>
  <si>
    <t>EXAMEN 107/MP3/Q-28.mp3</t>
  </si>
  <si>
    <t>EXAMEN 107/MP3/Q-29.mp3</t>
  </si>
  <si>
    <t>EXAMEN 107/MP3/Q-30.mp3</t>
  </si>
  <si>
    <t>EXAMEN 107/MP3/Q-31.mp3</t>
  </si>
  <si>
    <t>EXAMEN 107/MP3/Q-32.mp3</t>
  </si>
  <si>
    <t>EXAMEN 107/MP3/Q-33.mp3</t>
  </si>
  <si>
    <t>EXAMEN 107/MP3/Q-34.mp3</t>
  </si>
  <si>
    <t>EXAMEN 107/MP3/Q-35.mp3</t>
  </si>
  <si>
    <t>EXAMEN 107/MP3/Q-36.mp3</t>
  </si>
  <si>
    <t>EXAMEN 107/MP3/Q-37.mp3</t>
  </si>
  <si>
    <t>EXAMEN 107/MP3/Q-38.mp3</t>
  </si>
  <si>
    <t>EXAMEN 107/MP3/Q-39.mp3</t>
  </si>
  <si>
    <t>EXAMEN 107/MP3/Q-40.mp3</t>
  </si>
  <si>
    <t xml:space="preserve">NIVEL FUNCIONAL  2013 </t>
  </si>
  <si>
    <t>1.        Asking for directions………………Which statement is correct about the occupants of the car?</t>
  </si>
  <si>
    <t xml:space="preserve">2.       Complaining ………………Why did the man have a bad journey? </t>
  </si>
  <si>
    <t>3.       A grand house ………………Which statement is correct according to what you have heard?</t>
  </si>
  <si>
    <t>4.       What’s the problem?………………Where does this conversation take place?</t>
  </si>
  <si>
    <t>5.       An incident……………… What is the extract about?</t>
  </si>
  <si>
    <t>6.       About Rafa………………What does Rafa do?</t>
  </si>
  <si>
    <t>7.       Learning to speak………………What impression do we get about learning to speak from the study?</t>
  </si>
  <si>
    <t>8.       A briefing………………What is the woman talking about?</t>
  </si>
  <si>
    <t>9.       Politeness………………Which statement is correct according to the dialogue?</t>
  </si>
  <si>
    <t>10.   A  foreigner in New Zealand………………What can we say about Sang Jin?</t>
  </si>
  <si>
    <t>11.   Henry Ford………………Which of the following statements is true about Henry Ford?</t>
  </si>
  <si>
    <t>12.   Living abroad……………… What does Rajab say about living in York?</t>
  </si>
  <si>
    <t>13.   Things you may talk about at dinner………………Which statement is correct?</t>
  </si>
  <si>
    <t>14.   Holiday romance ………………Where did the woman’s holiday romance take place?</t>
  </si>
  <si>
    <t xml:space="preserve">15.   Alexander McCall Smith.                                                     ………………What is said about Alexander McCall Smith? </t>
  </si>
  <si>
    <t>16.   Bob Marley………………Which statement corresponds to what you have heard?</t>
  </si>
  <si>
    <t xml:space="preserve">17.   Raoul Island                      ………………What is said about Raoul Island?                                                                                                     </t>
  </si>
  <si>
    <t>18.   Family………………Which statement is correct about the speaker?</t>
  </si>
  <si>
    <t>19.   Chocolate………………What can be said about chocolate?</t>
  </si>
  <si>
    <t xml:space="preserve">20.   A man’s job.                                                                                   ………………What is the man’s job? </t>
  </si>
  <si>
    <t xml:space="preserve">21.   British Soldier Canoes Congo River.                                                           ………………What is said about Phil Harwood? </t>
  </si>
  <si>
    <t>22.   Making cars………………Which statement is correct according to what the speaker says?</t>
  </si>
  <si>
    <t>23.   Email vs the phone………………What impression do we get from the extract?</t>
  </si>
  <si>
    <t xml:space="preserve">24.     eBay                                                                                                                                       ………………Which of the following is true about eBay? </t>
  </si>
  <si>
    <t xml:space="preserve">25.   Global Workers       ………………According to the report, what will help students to become ‘global-ready’?                             </t>
  </si>
  <si>
    <t xml:space="preserve">26.   The Battle of Stamford Bridge     ………………What is said about the Battle of Stamford Bridge?                                                                          </t>
  </si>
  <si>
    <t>27.   The War………………Which statement is correct?</t>
  </si>
  <si>
    <t>28.   E- mail and letters………………Which statement is correct about the woman?</t>
  </si>
  <si>
    <t xml:space="preserve">29.   Toby Young ………………Which of the following is true about Toby Young, the speaker?                                           </t>
  </si>
  <si>
    <t xml:space="preserve">30.   Yousou N’Dour                       ………………What is said about Yousou N’Dour? </t>
  </si>
  <si>
    <t>31.   Jack London story “To build a fire”………………What can be said about the man?</t>
  </si>
  <si>
    <t>32.   Apple’s suppliers in China………………Which statement is correct according to the extract?</t>
  </si>
  <si>
    <t>33.   Jackson Pollock………………Which statement is true?</t>
  </si>
  <si>
    <t xml:space="preserve">34.   Meryl Streep     ………………What is true about Meryl Streep?                                                                                               </t>
  </si>
  <si>
    <t>35.   Football………………Which statement is correct about the speaker?</t>
  </si>
  <si>
    <t>36.   The DJ………………Which statement is correct about Steve?</t>
  </si>
  <si>
    <t>37.   Low-cost lighting in Africa………………Which of the statements below is correct?</t>
  </si>
  <si>
    <t>38.   Retirement ………………Choose the correct statement about Simon</t>
  </si>
  <si>
    <t>39.   Antoinette Mazzaglia………………What can be said about Antoinette Mazzaglia?</t>
  </si>
  <si>
    <t>40.   Prison art………………Which statement is correct?</t>
  </si>
  <si>
    <t>EXAMEN 105R-4</t>
  </si>
  <si>
    <t>20 JUN 2013</t>
  </si>
  <si>
    <t xml:space="preserve">&lt;b&gt;&lt;/b&gt;&lt;br&gt;Helen and her sister like each other very much but they are very different. Helen’s sister is five years older and she works in a bank. Helen is still at school. Helen’s sister likes her job and she earns a lot of money so she can go out and enjoy herself. She is very kind and often invites Helen to go out with her. </t>
  </si>
  <si>
    <t>&lt;b&gt; &lt;/b&gt;&lt;br&gt;French President Nicolas Sarkozy 15-year-old son has been in trouble for hurting a police officer with tomatoes. The female officer was on duty at the Elysee Palace, guarding the president when she was hit on the cheek. Louis Sarkozy is President Sarkozy’s son from his first marriage. He lives in America but often comes to France to stay with his father. The president apologized to the officer.</t>
  </si>
  <si>
    <t>&lt;b&gt; &lt;/b&gt;&lt;br&gt;Bill Richards gets up at 6am every day. He is never late for work. However, on Monday, he forgot to set his alarm clock. He woke up at 7am and arrived at the office an hour late. His boss was angry and warned him never to be late again.</t>
  </si>
  <si>
    <t>&lt;b&gt;&lt;/b&gt;&lt;br&gt;A national park in South Africa is hiring 150 extra rangers to try to stop people illegally hunting rhinos. Some people think rhino horns can cure illnesses but they are made of the same material as our hair and nails. It’s hoped the extra rangers will catch the hunters and reduce the number of rhinos being killed. Kruger National Park needs the extra help because more than half of all the rhinos that were found dead in the whole of South Africa last year were killed in Kruger. A 95-mile electric barrier will also be built between South Africa and Mozambique because officials believe many of the poachers come across that border.</t>
  </si>
  <si>
    <t xml:space="preserve">&lt;b&gt;&lt;/b&gt;&lt;br&gt;Scientists have done a test to see if old violins worth millions of pounds are better than newer, cheaper ones. Violins made by Stradivari and Guarneri around 300 years ago are the most expensive in the world. At a violin competition in America, researchers assembled a group of top violinists. They got them all to play three old violins worth millions and three newer ones. All of the violinists played in a darkened room, so that they couldn’t tell which violin they were playing. When they were asked which violin they preferred, the top choice was one of the new instruments. The most unpopular one was a Stradivarius. </t>
  </si>
  <si>
    <t>&lt;b&gt;&lt;/b&gt;&lt;br&gt;TV presenter, Helen Skelton, has just completed a 500-mile expedition across Antarctica. Helen completed the incredible trek using a specially made bicycle, as well as kite skiing and cross country skiing. She made it to the finish in just 18 days! As well as breaking the record for the first person to cycle to the South Pole, the 28-year-old has also broken the kite ski record, covering a distance of 100km in 7 hours 28 minutes. Helen said, “It’s only now looking back on it that it’s really beginning to sink in what I’ve done and how big an achievement it is.” The expedition was completed in aid of Sport Relief.</t>
  </si>
  <si>
    <t>&lt;b&gt;&lt;/b&gt;&lt;br&gt;Clowns from El Salvador are campaigning for the right to free travel so that they can entertain people on buses and trains. Clowns, singers, dancers and other entertainers staged a protest outside the Salvadorean Congress in San Salvador, the capital of El Salvador to ask for free travel on public transport. The union- the Cultural and Entertainment Workers Union, want the clowns to be able to travel for free so that they can entertain passengers and collect donations.</t>
  </si>
  <si>
    <t>&lt;b&gt;&lt;/b&gt;&lt;br&gt;A mid-winter survey in Wales has discovered that the mild weather has caused lots of wild flowers to bloom early. The National Museum of Wales has discovered 63 species of flower have already bloomed this year. Vegetables are also reportedly ahead of schedule due to the lack of autumn frosts in 2011.</t>
  </si>
  <si>
    <t>&lt;b&gt; &lt;/b&gt;&lt;br&gt;A British designer has invented a new kind of tent that can hang between trees. Alex Shirley-Smith has designed the tent to be attached to three trees. Alex hopes it could be used around the world when disasters happen, such as floods or earthquakes. It can hold up to 5 tons –that means it could hold an elephant. The ‘Tentsile’ can sleep up to eight people and is reached by a rope ladder. It only takes half an hour to put up –but you do need three strong trees! Alex first had the idea seven years ago.</t>
  </si>
  <si>
    <t>&lt;b&gt;&lt;/b&gt;&lt;br&gt;You might think life as a penguin is all about keeping warm in freezing cold temperatures, but cooling down in the sunshine is just as important. A group of king penguin chicks have been caught bathing in a load of mud to do just that. Summer temperatures in St. Andrews Bay, South Georgia, can reach 17C so the birds use streams and thick, cooling mud to stop their large, fluffy bodies from overheating. They were filmed for the Frozen Planet series. The crew said that although they were expecting to see the chicks paddling in rivers and streams, their mud-bathing display was “unexpected.”</t>
  </si>
  <si>
    <t>&lt;b&gt;&lt;/b&gt;&lt;br&gt;Results released by Empire Cinemas say that film fans ate more than two and a half billion pieces of popcorn. Of the millions of boxes of popcorn sold at Empire Cinemas, 80% were sweet and only 20% salty. This year looks set to be an even bigger year for filmgoers, with big releases from all of the major film studios.</t>
  </si>
  <si>
    <t>&lt;b&gt;&lt;/b&gt;&lt;br&gt;This year’s Oscar nominations have been announced and it looks like Uggie, the dog, will need his bow tie again! This silent black and white movie ‘The Artist’ is up for 10 awards. It is also up for the top prize of Best Picture,  alongside 3D action adventure ‘Hugo’ and Steven Spielberg’s ‘War Horse’. ‘Hugo’, which is set in 1930’s Paris, got the most nominations overall, with a total of 11. The red carpet will be rolled out once again to welcome the movie stars to the Kodak Theatre in Hollywood.</t>
  </si>
  <si>
    <t>&lt;b&gt;&lt;/b&gt;&lt;br&gt;A television with face and voice recognition has been made for the first time. The “smart” internet-connected television can also be upgraded constantly so it never goes out of date, according to the company Samsung which has invented it. A built-in camera allows users to browse the internet or change channel with just a wave of their hand. The TV can be spoken to in more than 20 different languages. The technology has been shown off at the Consumer Electronics Show (CES) in Las Vegas in America.</t>
  </si>
  <si>
    <t>&lt;b&gt;&lt;/b&gt;&lt;br&gt;A report has warned that more and more people are dying in traffic accidents because they are wearing headphones and can’t hear warnings from trains or cars. Serious injuries to pedestrians wearing headphones have more than tripled in 6 years. Over 70% of accidents have resulted in death for the pedestrian. The distraction caused by iPods and smartphones is known as ‘inattentional blindness’. As well as being distracted visually by the gadget, your hearing is also reduced and you can’t hear car or train horns.</t>
  </si>
  <si>
    <t>&lt;b&gt;&lt;/b&gt;&lt;br&gt;The famous Pinewood Studios in Buckinghamshire will be staying in the U.K, even though they can’t expand. The film studio submitted plans to build more studios next to their current set, but the plans have been refused. The studios have been making films for more than 70 years, including the James Bond films and Mamma Mia.</t>
  </si>
  <si>
    <t>&lt;b&gt;&lt;/b&gt;&lt;br&gt;A powerful earthquake has destroyed lots of homes and killed 15 people in the Philippines. The 6.8 magnitude earthquake struck the central Philippines during the morning. Rescuers dug through rubble with their bare hands and shovels after the powerful earthquake triggered landslides, collapsed homes and killed dozens of people. Earthquake survivors begged rescuers to keep searching for dozens of people buried in landslides, but officials didn’t believe there was much hope of finding them alive.</t>
  </si>
  <si>
    <t>&lt;b&gt;&lt;/b&gt;&lt;br&gt;Barn owl numbers are going down in Britain, but a new project has been launched to try to stop that happening. It’s encouraging farmers to create habitats for the birds alongside their crops and to put up nest boxes on their farms. They hope it could increase owl numbers by a quarter. Barn owls are really useful for farmers as they eat animals and insects which can damage their crops.</t>
  </si>
  <si>
    <t>&lt;b&gt;&lt;/b&gt;&lt;br&gt;There have been no new reported cases of polio in India for a year. At one time, hundreds of thousands of people in the country were suffering from the disease, which can cause disability and even death. Even as recently as 2009, there were 741 cases of polio in India, which was more than any other country in the world. However, over the past ten years, health officials have spent millions making sure every child is immunized from the disease. Although there have been no new cases of polio since January 2011, India won’t be declared polio-free until tests confirm that the disease isn’t found in sewerage. Polio is still a big problem in Pakistan, Afghanistan and Nigeria. The World Health Organization has warned that until polio is wiped out throughout the world, there is always the danger that it may be brought back into India. However, to have no new cases of the disease for the past year is a major achievement.</t>
  </si>
  <si>
    <t>&lt;b&gt;&lt;/b&gt;&lt;br&gt;Edinburgh Zoo in Scotland is going to start growing bamboo to help feed two giant pandas who’ll be setting up home there in the next few weeks. Tian Tian and Yang Guang should arrive from China before the end of 2011. Keepers will need to find a belly-busting 18,000kg of bamboo to feed them EVERY Year –that’s about the same weight as 3.5 African elephants! As the zoo won’t be able to grow quite that much, lots will still be imported from Amsterdam in the Netherlands.</t>
  </si>
  <si>
    <t>&lt;b&gt;&lt;/b&gt;&lt;br&gt;Electronic editions of Harry Potter books have gone on sale for the very first time. They’re available to buy on J.K. Rowling’s website and are cheaper than the traditional book versions. Ebooks have to be bought online and then downloaded to a reading device. They’ll be advertised on websites like Amazon but can only be bought directly from the Pottermore website. The ebooks cost 4 pounds, 99 pence or six pounds, 99 pence. These are only a couple of pounds cheaper than the book versions and Pottermore says this is so people don’t stop buying paper books. The Harry Potter ebooks are also different from others as you can download them to several devices, whereas other ebooks only work on one device.</t>
  </si>
  <si>
    <t>&lt;b&gt; &lt;/b&gt;&lt;br&gt;Dozens of scientists and explorers have joined the Norwegian prime minister to mark 100 years since Roald Amundsen led the first expedition to the South Pole. At the pole, PM Jens Stoltenberg paid tribute to “one of the most outstanding achievements of mankind.” But bad weather has obstructed several explorers who had hoped to reach the pole in time for Wednesday’s events. Homage is also being paid to Robert Scott, the UK explorer who Amundsen beat to the pole. Scott and four companions died on the return expedition after being caught in a blizzard. Mr. Stoltenberg said the commemorations aimed “to highlight the importance of the cold continent in our efforts to understand the warming of the globe”. He said Amundsen’s polar expedition “helped to form our new national identity”. Amundsen’s arrival at the pole on 14 December 1911 came only six years after Norway had declared independence after a long union with Sweden.</t>
  </si>
  <si>
    <t>&lt;b&gt;&lt;/b&gt;&lt;br&gt;An airline is set to investigate reports that it asked passengers to pay 20,000 pounds towards the cost of fuel to complete their journey to the UK. Passengers said they were asked for the money when a flight with Austrian airline Comtel Air from Amristar in India stopped in Vienna to refuel. Other passengers have been stuck in India after flights were cancelled. The airline said it would investigate the claims and hoped to swiftly return people to the UK from India. Reena Rindi who was on the plane said: “We wanted to go home. We’d been stranded for about three or four days.” She said passengers agreed to pay in order to fly to Birmingham. Birmingham Airport, which said the airline had been operating successfully to Amristar, expressed concern and added that it had started an investigation.</t>
  </si>
  <si>
    <t>&lt;b&gt;&lt;/b&gt;&lt;br&gt;Egypt closed the Great Pyramid outside Cairo after rumors that groups would try to hold special rituals on 11 November at 11:11. The rumors sparked an internet campaign to stop any ceremonies. However, the head of Egypt’s antiquities authority said the pyramid had been closed for “necessary maintenance” only. The Great Pyramid houses the ancient tomb of the Pharaoh Khufu. Two nearby pyramids and the Sphinx remained open. Security was tightened across the entire complex with dozens of police officers and armed soldiers on patrol. After 11:11, the director of the pyramid complex, Ali-al-Asfar, said nothing unusual had happened. “The only thing different is the closure of the Khufu pyramid. Reports of planned ceremonies at the site were “completely lacking in truth.” The pyramid is the biggest and most famous of the Giza monuments and is the last of the seven wonders of the ancient world still standing.</t>
  </si>
  <si>
    <t xml:space="preserve">&lt;b&gt;&lt;/b&gt;&lt;br&gt;According to Government education boss, Michael Gove, GCSE and A-level exams should be made more difficult. Pass rates and the number of students getting A and A+ grades go up every year, but Mr. Gove says this is giving a false impression of standards in schools. In 2009, England had fallen from 17th to 25th place in an international league table for reading and had also fallen in math and science too. Mr. Gove thinks that exams should be harder, even if it means that fewer students pass and grades go down. He argues that this would be worth it if the grades had real value. Mr. Gove also announced plans to improve discipline in schools. </t>
  </si>
  <si>
    <t xml:space="preserve">&lt;b&gt;&lt;/b&gt;&lt;br&gt;Australian air safety officials have launched an investigation after an airline passenger’s Apple iphone apparently caught fire during a flight. Local airline Regional Express said the phone began glowing red and emitting dense smoke after the plane landed in Sydney on Friday. Flight attendants had to douse the phone, which has since been handed to investigators. Officials said they would be consulting Apple as part of their inquiry. “We have no previous records of iPhones undergoing spontaneous self-ignition,” a spokesman for the Australian Transport and Safety Bureau told AFP news agency. “We do have the phone, it’s in our custody, and we will be undertaking a technical examination of it.” Apple said it was looking forward to working with the investigators. </t>
  </si>
  <si>
    <t>&lt;b&gt;&lt;/b&gt;&lt;br&gt;A night-flowering orchid, the first of its kind known to science, has been described by a team of botanists. Experts say the ‘remarkable’ species is the only orchid known to consistently flower at night, but why it has adopted this behavior remains a mystery. The plant was discovered by a Dutch researcher during an expedition to New Britain, an island near Papua New Guinea. “It was so unexpected because there are so many species of orchids and not one was known to be pollinated at night,” said Andre Schuiteman, an orchid expert at the Royal Botanic Gardens, Kew. While there are a number of orchids that do attract night-time pollinators, this is the first known species that exclusively flowers at night. Mr. Schuiteman said; “We think related species are pollinated by tiny flies that think they are visiting fungi,” he explained. “The flowers mimic fungi and the flies are looking for somewhere to lay eggs. They are probably a species that forages at night.”</t>
  </si>
  <si>
    <t>&lt;b&gt; &lt;/b&gt;&lt;br&gt;Laws banning brand labels on cigarette packaging have been passed by the Australian Senate, their last key hurdle before coming into effect. The move removes brand colors and logos from cigarette packaging. Instead, cigarette will be sold in olive green cartons with graphic images warning of the consequences of smoking. Tobacco companies have said that they will challenge the law, but the Australian government said it would not be deterred. “We’re not going to be bullied into not taking this action just because tobacco companies say they might fight us in the courts,” Health Minister Nicola Roxon said. Australia is the first country to introduce these kind of laws. “It will give our country the best chance of having the lowest smoking rates, and, of course, that will mean many lives are being saved and many families that don’t go through the grief and pain of seeing someone die because of a tobacco-related illness,” Ms Roxon said.</t>
  </si>
  <si>
    <t>&lt;b&gt;&lt;/b&gt;&lt;br&gt;Facebook creator, Mark Zuckerberg, has been left red-faced after photos from his account were hacked and put online. Hackers used it to highlight a bug in the social networking site. They posted 14 pics with the message: “It’s time to fix those security flaws Facebook.” They included shots of him cooking with his girlfriend, holding a chicken and meeting US President, Barack Obama. Facebook said the glitch had been fixed. The social networking site said in a statement: “Upon discovering the bug, we immediately disabled the system, and will only return functionality once we can confirm the bug has been fixed.” The bug related to tools allowing users to report inappropriate images.</t>
  </si>
  <si>
    <t>&lt;b&gt;&lt;/b&gt;&lt;br&gt;Poverty in Latin America is at its lowest level for 20 years, the UN’s regional economic body, Eclac, says. From 1990 to 2010, the rate fell from 48.4% to 31.4%, which means 177 million people currently live in poverty. Eclac says the main reason for the reduction in poverty and inequality is the rise in household incomes. But progress is hindered by the big gaps between productive and better paid sectors and work that is poorly paid and of low productivity, Eclac says. Among the countries that saw the biggest drops in poverty are Peru, Ecuador, Argentina, Uruguay and Colombia. Poverty increased only in Honduras and Mexico. Eclac welcome the increase in social spending by governments but said more was needed to achieve a more balanced distribution of income. Eclac’s report for the first time includes a chapter devoted to the Caribbean. Among the major risks it notes are high unemployment and HIV rates among young people.</t>
  </si>
  <si>
    <t>1.       What is said about Helen?</t>
  </si>
  <si>
    <t>a)       She works in a bank</t>
  </si>
  <si>
    <t>b)       She doesn’t get on with her sister</t>
  </si>
  <si>
    <t>c)       She has a younger sister</t>
  </si>
  <si>
    <t>d)       She is a student</t>
  </si>
  <si>
    <t xml:space="preserve">2.       What is said about President Sarkozy’s son? </t>
  </si>
  <si>
    <t>a)       He was hit by tomatoes</t>
  </si>
  <si>
    <t>b)       The police officer arrested him</t>
  </si>
  <si>
    <t>c)       He apologized to the police officer</t>
  </si>
  <si>
    <t xml:space="preserve">d)       He was throwing tomatoes                                                                                                     </t>
  </si>
  <si>
    <t xml:space="preserve">3.       What is said about Bill Richards? </t>
  </si>
  <si>
    <t>a)       He lost his job</t>
  </si>
  <si>
    <t>b)       He is usually late for work</t>
  </si>
  <si>
    <t>c)       He is forgetful</t>
  </si>
  <si>
    <t xml:space="preserve">d)       He was late on one occasion </t>
  </si>
  <si>
    <t xml:space="preserve">4.       According to the report;                                                                                                                      </t>
  </si>
  <si>
    <t>a)       Rhino horns have cured illnesses.</t>
  </si>
  <si>
    <t>b)       The majority of the rhinos died in Kruger.</t>
  </si>
  <si>
    <t>c)       Most of the Rhinos were killed in Mozambique.</t>
  </si>
  <si>
    <t xml:space="preserve">d)       The park rangers have been illegally hunting rhinos.                                                       </t>
  </si>
  <si>
    <t xml:space="preserve">5.       What is said about the violinists?                                                                                               </t>
  </si>
  <si>
    <t>a)       They knew which instrument they were playing.</t>
  </si>
  <si>
    <t>b)       They enjoyed the Stradivarius the most.</t>
  </si>
  <si>
    <t>c)       They enjoyed the modern violin the most.</t>
  </si>
  <si>
    <t xml:space="preserve">d)       They had no preference.                                                                                                 </t>
  </si>
  <si>
    <t xml:space="preserve">6.       What is said about Helen Skelton?                                                                                                   </t>
  </si>
  <si>
    <t>a)       She was participating in a competition.</t>
  </si>
  <si>
    <t>b)       She has set new records.</t>
  </si>
  <si>
    <t>c)       She cycled for 18 days.</t>
  </si>
  <si>
    <t xml:space="preserve">d)       She was supported by Sport Relief.                                                                                     </t>
  </si>
  <si>
    <t xml:space="preserve">7.       What is said about the clowns? </t>
  </si>
  <si>
    <t>a)       They are not permitted to travel free</t>
  </si>
  <si>
    <t>b)       They don’t have the support of the union</t>
  </si>
  <si>
    <t>c)       They hope to receive money for their efforts</t>
  </si>
  <si>
    <t xml:space="preserve">d)       They are forbidden to entertain on public transport                                                       </t>
  </si>
  <si>
    <t xml:space="preserve">8.       The report states that;                                                                                                               </t>
  </si>
  <si>
    <t>a)       The frosts affected the vegetables.</t>
  </si>
  <si>
    <t>b)       The weather has been colder than usual.</t>
  </si>
  <si>
    <t>c)       Wild flowers have appeared earlier than usual.</t>
  </si>
  <si>
    <t xml:space="preserve">d)       The frosts will destroy the flowers.                                                                               </t>
  </si>
  <si>
    <t xml:space="preserve">9.       What is said about the tent? </t>
  </si>
  <si>
    <t>a)       It is time consuming to put up</t>
  </si>
  <si>
    <t>b)       A dozen people can sleep in it</t>
  </si>
  <si>
    <t>c)       It can support a heavy weight</t>
  </si>
  <si>
    <t xml:space="preserve">d)       It was not designed for disasters                                                                                              </t>
  </si>
  <si>
    <t xml:space="preserve">10.    What is said in the report?                                                                                                       </t>
  </si>
  <si>
    <t>a)       Penguins usually avoid mud.</t>
  </si>
  <si>
    <t>b)       The film crew was surprised by the penguins’ mud-bathing.</t>
  </si>
  <si>
    <t>c)       The film crew anticipated the penguins’ mud-bathing.</t>
  </si>
  <si>
    <t xml:space="preserve">d)       It is difficult for penguins to maintain warmth in cold temperatures.                </t>
  </si>
  <si>
    <t xml:space="preserve">11.    What is said about cinemagoers in 2011?                                                                                          </t>
  </si>
  <si>
    <t>a)       They preferred salty to sweet popcorn.</t>
  </si>
  <si>
    <t>b)       They made use of double-decker buses.</t>
  </si>
  <si>
    <t>c)       They preferred sweet to salty popcorn.</t>
  </si>
  <si>
    <t xml:space="preserve">d)       They ate more popcorn than ever in 2011.                                                                         </t>
  </si>
  <si>
    <t xml:space="preserve">12.    Which of the following is true?                                                                                                      </t>
  </si>
  <si>
    <t>a)       ‘Hugo’ won 11 awards.</t>
  </si>
  <si>
    <t>b)       ‘The Artist’ won 10 awards.</t>
  </si>
  <si>
    <t>c)       ‘War Horse’ could win best film.</t>
  </si>
  <si>
    <t xml:space="preserve">d)       The nominees will be broadcast soon.                                                                             </t>
  </si>
  <si>
    <t xml:space="preserve">13.    What is said about the new TV?                                                                                                     </t>
  </si>
  <si>
    <t>a)       It responds to a variety of languages.</t>
  </si>
  <si>
    <t>b)       It has restricted internet access.</t>
  </si>
  <si>
    <t>c)       It has not been revealed to the public.</t>
  </si>
  <si>
    <t xml:space="preserve">d)       It is not the first of its kind.                                                                                                </t>
  </si>
  <si>
    <t xml:space="preserve">14.    According to the report;                                                                                                                        </t>
  </si>
  <si>
    <t>a)       Reduced hearing is more dangerous than reduced sight.</t>
  </si>
  <si>
    <t>b)       Most of the pedestrian accident victims have died.</t>
  </si>
  <si>
    <t>c)       Pedestrian accidents have increased by 50%.</t>
  </si>
  <si>
    <t xml:space="preserve">d)       ‘Inattentional blindness’ refers only to reduced sight.                                                       </t>
  </si>
  <si>
    <t xml:space="preserve">15.    What is said about Pinewood Studios? </t>
  </si>
  <si>
    <t>a)       They are building a new studio</t>
  </si>
  <si>
    <t>b)       They are expanding internationally</t>
  </si>
  <si>
    <t>c)       They have made well-known films</t>
  </si>
  <si>
    <t xml:space="preserve">d)       They are almost 70 years old                                                                                                 </t>
  </si>
  <si>
    <t xml:space="preserve">16.    Which of the following statements is true? </t>
  </si>
  <si>
    <t>a)       Officials expect to find more survivors</t>
  </si>
  <si>
    <t>b)       Rescuers didn’t have many tools</t>
  </si>
  <si>
    <t>c)       The earthquake was not serious</t>
  </si>
  <si>
    <t xml:space="preserve">d)        People returned quickly to their homes                                                                        </t>
  </si>
  <si>
    <t xml:space="preserve">17.    Which of the following statements is true? </t>
  </si>
  <si>
    <t xml:space="preserve">18.    What is said about barn owls?                                                                                                             </t>
  </si>
  <si>
    <t>a)       Farmers can benefit from them.</t>
  </si>
  <si>
    <t>b)       There are too many of them in Britain.</t>
  </si>
  <si>
    <t>c)       Farmers are trying to reduce barn owl numbers.</t>
  </si>
  <si>
    <t xml:space="preserve">d)       They have become a threat to crops.                                                                                      </t>
  </si>
  <si>
    <t xml:space="preserve">19.    What is said about polio in India? </t>
  </si>
  <si>
    <t>a)       India is officially free of polio</t>
  </si>
  <si>
    <t>b)       A polio vaccination program is now in place</t>
  </si>
  <si>
    <t>c)       There were only a few polio cases in 2011</t>
  </si>
  <si>
    <t xml:space="preserve">20.    What is said about the giant pandas?                                                                                            </t>
  </si>
  <si>
    <t>a)       They weigh as much as an African elephant.</t>
  </si>
  <si>
    <t xml:space="preserve">b)       They will only eat imported bamboo. </t>
  </si>
  <si>
    <t>c)       They will eat local and imported bamboo.</t>
  </si>
  <si>
    <t xml:space="preserve">d)       They will only stay at Edinburgh zoo for a few weeks.                                                 </t>
  </si>
  <si>
    <t xml:space="preserve">21.    What is said about Harry Potter Books? </t>
  </si>
  <si>
    <t>a)       They can be read on different gadgets</t>
  </si>
  <si>
    <t>b)       They can be purchased through Amazon</t>
  </si>
  <si>
    <t>c)       They are more expensive than ordinary books</t>
  </si>
  <si>
    <t>d)       They can only be downloaded to one device</t>
  </si>
  <si>
    <t xml:space="preserve">22.    According to the report;                                                                                                                  </t>
  </si>
  <si>
    <t>a)        Robert Scott was the first explorer to successfully reach the South Pole.</t>
  </si>
  <si>
    <t>b)       The celebrations will help to create a new national identity for Norway.</t>
  </si>
  <si>
    <t>c)       It is believed that the South Pole could provide insights into climate change.</t>
  </si>
  <si>
    <t xml:space="preserve">d)       The celebrations are being held six years after Norway separated from Sweden.      </t>
  </si>
  <si>
    <t xml:space="preserve">23.    According to the report;                                                                                                                           </t>
  </si>
  <si>
    <t>a)       The passengers were in transit when asked for fuel money.</t>
  </si>
  <si>
    <t>b)       The passengers refused to a pay the money for fuel.</t>
  </si>
  <si>
    <t>c)       The airline had a previously unfavorable record.</t>
  </si>
  <si>
    <t xml:space="preserve">a)       Birmingham Airport declined to take action regarding the situation.                                    </t>
  </si>
  <si>
    <t xml:space="preserve">24.    Which of the following is true?                                                                                                           </t>
  </si>
  <si>
    <t>a)       There was an internet campaign to stop the closing of the pyramid.</t>
  </si>
  <si>
    <t>b)       The internet campaign triggered rumors.</t>
  </si>
  <si>
    <t>c)       There was a lack of security in the pyramid complex.</t>
  </si>
  <si>
    <t xml:space="preserve">d)       The rumors proved to be unfounded.                                                                                  </t>
  </si>
  <si>
    <t xml:space="preserve">25.    What does education boss, Michael Gove believe? </t>
  </si>
  <si>
    <t>a)       Exams are too difficult</t>
  </si>
  <si>
    <t>b)       Performance levels are now higher</t>
  </si>
  <si>
    <t>c)       Current grades don’t reflect ability</t>
  </si>
  <si>
    <t xml:space="preserve">d)       School discipline is too strict                                                                                                </t>
  </si>
  <si>
    <t xml:space="preserve">26.    Which of the following is true?                                                                                                               </t>
  </si>
  <si>
    <t>a)       Water was poured onto the iPhone.</t>
  </si>
  <si>
    <t>b)       iPhones have been known to catch fire before.</t>
  </si>
  <si>
    <t>c)       Apple has declined to assist in the investigation.</t>
  </si>
  <si>
    <t xml:space="preserve">d)       The iPhone caught fire while the plane was airborne.                                                            </t>
  </si>
  <si>
    <t xml:space="preserve">27.    What is said about the orchid?                                                                                                          </t>
  </si>
  <si>
    <t>a)       It is the only kind of orchid to be visited by night-time pollinators.</t>
  </si>
  <si>
    <t>b)       It is believed that its pollinators could be mistaken about its identity.</t>
  </si>
  <si>
    <t>c)       It flowers at night as well as during the day.</t>
  </si>
  <si>
    <t xml:space="preserve">d)       Scientists have discovered the reasons for its behavior.                                                       </t>
  </si>
  <si>
    <t xml:space="preserve">28.    According to the report;                                                                                                              </t>
  </si>
  <si>
    <t>a)       The Australian government will defer to the tobacco companies.</t>
  </si>
  <si>
    <t>b)       The law banning brand labels has been approved.</t>
  </si>
  <si>
    <t>c)       The law banning brand labels is now in effect.</t>
  </si>
  <si>
    <t xml:space="preserve">d)       Australia is the country with the lowest smoking rates.                                               </t>
  </si>
  <si>
    <t xml:space="preserve">29.    What is said in the article?                                                                                                              </t>
  </si>
  <si>
    <t>a)       Mark Zuckerberg enjoys cooking.</t>
  </si>
  <si>
    <t>b)       Mark Zuckerberg’s girlfriend has met the US President.</t>
  </si>
  <si>
    <t>c)       Facebook has yet to rectify the problem.</t>
  </si>
  <si>
    <t xml:space="preserve">d)       Facebook reacted quickly to the problem.  </t>
  </si>
  <si>
    <t xml:space="preserve">30.    What was said in Eclac’s report on Latin America?                                                                        </t>
  </si>
  <si>
    <t>a)       There is a substantial difference in work standards and conditions.</t>
  </si>
  <si>
    <t>b)       Inequality in Latin America has risen due to changing incomes.</t>
  </si>
  <si>
    <t>c)       Eclac has condemned government spending in most countries.</t>
  </si>
  <si>
    <t xml:space="preserve">d)       Colombia is experiencing and increase in poverty.                                                             </t>
  </si>
  <si>
    <t xml:space="preserve">d)       India has been free of polio since 2009                                                                                                                                                            </t>
  </si>
  <si>
    <t>EXAMEN 202</t>
  </si>
  <si>
    <t>&lt;b&gt;Baby Elephant Was Saved. &lt;/b&gt;&lt;br&gt;A baby elephant fell into a hole and it could not get out. After the other elephants unsuccessful help, local residents came to help. People reacted quickly. They used ropes to pull the elephant out of the hole. The exhausted elephant was taken for a medical examination and then it was fed. It is fine now.</t>
  </si>
  <si>
    <t>1.       What is said about the elephant?</t>
  </si>
  <si>
    <t>a)      It is old</t>
  </si>
  <si>
    <t>b)      It was injured</t>
  </si>
  <si>
    <t>c)       It wouldn't eat</t>
  </si>
  <si>
    <t>d)      It was tired</t>
  </si>
  <si>
    <t>EXAMEN COMPRENSION TEXTOS JUNIO II 2013</t>
  </si>
  <si>
    <t>&lt;b&gt;Nurse Saved a Man. &lt;/b&gt;&lt;br&gt;A trainee nurse saved a man who fell onto the railway tracks at a Brisbane station. A security camera recorded the whole incident. It shows how the man lost his balance on the platform. Then he fell down onto the tracks. A young nurse went down and she helped the man. A rail employee quickly stopped the coming trains. This was helpful but it was the trainee nurse who risked her life to get the man to safety.</t>
  </si>
  <si>
    <t>2.       Which statement is true?</t>
  </si>
  <si>
    <t>a)      A rail employee filmed the incident</t>
  </si>
  <si>
    <t>b)      A nurse fell onto the tracks</t>
  </si>
  <si>
    <t>c)       The man stopped the trains</t>
  </si>
  <si>
    <t>d)      A nurse rescued the man</t>
  </si>
  <si>
    <t>&lt;b&gt;Living in Okinawa.&lt;/b&gt;&lt;br&gt;People in Okinawa, Japan, do not have big meals. They usually just have vegetables and fish. They are very active and usually work until they are 80 years old. But they also relax every day, meet their friends and meditate. They are very healthy, happy and they are never in a hurry.</t>
  </si>
  <si>
    <t>3.       What is said about people from Okinawa, Japan?</t>
  </si>
  <si>
    <t>a)      They are stressed</t>
  </si>
  <si>
    <t>b)      They are lazy</t>
  </si>
  <si>
    <t>c)       They are contented</t>
  </si>
  <si>
    <t>d)      They are vegetarians</t>
  </si>
  <si>
    <t>&lt;b&gt;‘Bionic’ Woman Finishes London Marathon After 16 Days.&lt;/b&gt;&lt;br&gt;A paralyzed woman has completed the London Marathon after 16 days with the help of a ‘bionic’ suit. Claire Lomas was paralyzed from the chest down in a horse-riding accident in 2007 and did the marathon to raise money for charity. So far, she has raised about 80,000 pounds for Spinal Research, a charity which helps to find treatments for people with back and neck injuries. Claire didn’t get an official medal for finishing. Organizers say that only those who finish on the same day can get one. But she will go down in history as the first person to complete the marathon in a ‘bionic’ suit.</t>
  </si>
  <si>
    <t xml:space="preserve">4.       What is said about the ‘bionic’ woman, Claire Lomas and the marathon? </t>
  </si>
  <si>
    <t>a)      She had an accident during the marathon</t>
  </si>
  <si>
    <t>b)      She participated for a cause</t>
  </si>
  <si>
    <t>c)       She won the marathon</t>
  </si>
  <si>
    <t>d)      She was disqualified</t>
  </si>
  <si>
    <t>&lt;b&gt;40,000-Year-Old Baby Mammoth Goes on Display. &lt;/b&gt;&lt;br&gt;The body of the world’s most well-preserved baby mammoth is being exhibited in Asia. The 40,000-year-old baby mammoth was discovered in 2007 by a reindeer herder in northwestern Siberia. It’s thought that the calf probably drowned while having a mud bath, and the mud preserved her body. Experts named her Lyuba and consider her the best-preserved mammoth ever discovered. Lyuba is a very important scientific discovery.  Lyuba will be exhibited at IFC Mall in Hong Kong before being sent to China, Indonesia, Singapore and Taiwan.</t>
  </si>
  <si>
    <t xml:space="preserve">5.       What is said about the baby mammoth? </t>
  </si>
  <si>
    <t>a)      It is in good condition</t>
  </si>
  <si>
    <t>b)      It is now on display in China</t>
  </si>
  <si>
    <t>c)       It is not genuine</t>
  </si>
  <si>
    <t>d)      It was damaged by mud</t>
  </si>
  <si>
    <t>&lt;b&gt;Heavy School Bags Danger for Kids. &lt;/b&gt;&lt;br&gt;Heavy school bags are ‘dangerous’ for children and lead to back problems in later life, a health charity has warned. Backcare say 120,000 kids could need treatment, with the problem worst among 11 and 12-year-olds. They recommend carrying no more than 10 percent of your bodyweight on your back but found some kids carry as much as 60 percent. The charity wants schools to give more advice to pupils. A spokesman for Backcare said: “More than 120,000 school children will see a doctor before the age of 16 for back pain. And yet, Backcare has discovered that schools receive no advice at all on the impact of heavy school bags on back health.</t>
  </si>
  <si>
    <t xml:space="preserve">6.       What is said about heavy school bags? </t>
  </si>
  <si>
    <t>a)      Schools are telling children not to carry them</t>
  </si>
  <si>
    <t>b)      Health charities are concerned  about their effects</t>
  </si>
  <si>
    <t>c)       16-year-olds carry the heaviest bags</t>
  </si>
  <si>
    <t>d)      It is safe for them to be up to 60% of one’s bodyweight</t>
  </si>
  <si>
    <t>&lt;b&gt;Karen Saunders’ Holidays.   &lt;/b&gt;&lt;br&gt;Karen Saunders has her own travel agency in London. She travels a lot for her work. She explains that her ideal holiday has a bit of everything. She likes relaxing on the beach with a pile of books. She likes exploring new places and visiting churches, shops, museums and restaurants. She also enjoys cooking and so she loves going to markets and food stores. But she confesses that he favorite holiday destination is home.</t>
  </si>
  <si>
    <t xml:space="preserve">7.       What is said about Karen Saunders? </t>
  </si>
  <si>
    <t>a)      She dislikes travelling for work</t>
  </si>
  <si>
    <t>b)      Her work involves cooking</t>
  </si>
  <si>
    <t>c)       She prefers spending her holidays at home</t>
  </si>
  <si>
    <t>d)      She would like to travel more often</t>
  </si>
  <si>
    <t>&lt;b&gt;Alfred Bernhard Nobel.            &lt;/b&gt;&lt;br&gt;Alfred Bernhard Nobel is the man behind the Nobel prizes. He was an engineer, inventor and poet. He was born in Stockholm in 1833 and left at the age of nine when his family moved to Russia. He was educated by private tutors and later studied in the U.S.A. and France. He went on to invent dynamite and he died a very wealthy man.</t>
  </si>
  <si>
    <t xml:space="preserve">8.       What is said about Alfred Bernhard Nobel? </t>
  </si>
  <si>
    <t>a)      He attended public school</t>
  </si>
  <si>
    <t>b)      He migrated from Russia</t>
  </si>
  <si>
    <t>c)       He was educated abroad</t>
  </si>
  <si>
    <t>d)      He died poor</t>
  </si>
  <si>
    <t>&lt;b&gt;A Tree Destroys A House.     &lt;/b&gt;&lt;br&gt;Yesterday afternoon a 35-year-old housewife narrowly escaped death when a tree was blown over by the wind and fell on her house. The tree completely destroyed the house. The woman said that it was very windy and she heard a strange noise coming from the tree. Suddenly the wind blew harder and she saw the tree crash onto the roof. The woman and her family are now staying with friends while their house is rebuilt.</t>
  </si>
  <si>
    <t xml:space="preserve">9.       Which statement is true? </t>
  </si>
  <si>
    <t>a)      The woman was killed by the tree</t>
  </si>
  <si>
    <t>b)      The house has been rebuilt</t>
  </si>
  <si>
    <t>c)       A car crashed into the tree</t>
  </si>
  <si>
    <t>d)      The woman witnessed the tree falling</t>
  </si>
  <si>
    <t xml:space="preserve">&lt;b&gt;African Elephant Poaching On the Rise. &lt;/b&gt;&lt;br&gt;Elephant poaching in Africa is on the rise because more and more people want to get hold of their tusks. Even though there’s been an international ban on trading ivory for nearly 25 years, there’s still a big demand from Asia. China is becoming richer and it means more people can afford to buy ivory, mainly as carved decorations. Tusks can sell for thousands of pounds and that’s what drives the poachers to kill the elephants. Conservation experts face a harder and harder challenge to protect them. One Kenyan district called Samburu has lost more than an quarter of its elephants over the past three years. </t>
  </si>
  <si>
    <t xml:space="preserve">10.   Which statement is true? </t>
  </si>
  <si>
    <t>a)      Selling ivory is officially forbidden</t>
  </si>
  <si>
    <t>b)      Elephant poaching is now under control</t>
  </si>
  <si>
    <t>c)       Ivory sales are declining in China</t>
  </si>
  <si>
    <t>d)      Elephants in Kenya are now better protected</t>
  </si>
  <si>
    <t>&lt;b&gt;Insect Bite Relief Cream Doesn’t Work, Say Experts. &lt;/b&gt;&lt;br&gt;When you are bitten by an insect, many of us would reach for some cream to rub on the bite and stop the pain. But a new study has found that most insect bite treatments don’t really work and some hadn’t even been tested for helping bites. Researchers for the Drug and Therapeutics Bulletin say people might be better off using a cold, wet cloth to treat bites instead. They also said that most bite reactions just get better by themselves. Researchers did point out that if serious symptoms- such as infections-develop from bites, people should seek medical help. The National Health Service still suggest that treatments such as creams should be used.</t>
  </si>
  <si>
    <t xml:space="preserve">11.   What is said about insect bites? </t>
  </si>
  <si>
    <t>a)      Cream is effective against them</t>
  </si>
  <si>
    <t>b)      Applying a warm cloth can heal them</t>
  </si>
  <si>
    <t>c)       They usually cause serious symptoms</t>
  </si>
  <si>
    <t>d)      It is not necessary to treat them</t>
  </si>
  <si>
    <t>&lt;b&gt;Forest Fires Started By Squatters Destroy Mexico’s Parks. &lt;/b&gt;&lt;br&gt;A forest park in Mexico has been seriously damaged by a fire started by squatters. More than 700 firefighters have tackled a massive fire in La Primavera forest, Mexico. The fire was started by squatters and has raged uncontrolled for several days. More than 500 hectares have already been destroyed by the blaze. Firefighters have been prevented from  putting out the fire by gangs of squatters who have threatened them and blocked their way. Many schools and businesses have been forced to close because of smoke and ash. La Primavera forest is an ‘urban forest’. This means that it is a forest/park in a city which is open for the public to enjoy.</t>
  </si>
  <si>
    <t>12.   What is said about the forest fire?</t>
  </si>
  <si>
    <t>a)      It has been extinguished</t>
  </si>
  <si>
    <t>b)      It has destroyed schools</t>
  </si>
  <si>
    <t>c)       It has stopped businesses operating</t>
  </si>
  <si>
    <t>d)      Squatters are trying to put it out</t>
  </si>
  <si>
    <t>&lt;b&gt;Scientists Test New Ways to Make Earthquake Proof Buildings. &lt;/b&gt;&lt;br&gt;Scientists have just finished this new five-storey building, complete with intensive care unit and operating theatre, air conditioning and a lift. Now that it’s finished, they’re going to put it through an earthquake and set fire to it. The project has been designed to test new ways of making a building cope with a massive earthquake. The whole building sits on top of a giant ‘shake table’, which can copy the violent movement of the ground during an earthquake. More than 500 sensors and 70 cameras will monitor the building during the tests. One of the aims of this three-million-pound project is to see if new techniques can stop this happening. Sophisticated fire prevention systems have also been built into the structure, as electrical faults and gas leaks caused by earth quakes can often lead to fires.</t>
  </si>
  <si>
    <t xml:space="preserve">13.   What is said about the new building? </t>
  </si>
  <si>
    <t>a)      It was created for test purposes</t>
  </si>
  <si>
    <t>b)      It was destroyed in an earthquake</t>
  </si>
  <si>
    <t>c)       It will be used as a hospital</t>
  </si>
  <si>
    <t>d)      It is still under construction</t>
  </si>
  <si>
    <t>&lt;b&gt;Scientists Discover More about Asteroid Vesta.&lt;/b&gt;&lt;br&gt;Results from the Dawn space probe have given scientists much more information about the asteroid Vesta, which has fascinated astronomers for hundreds of years. Vesta is a giant asteroid that was first discovered in 1807. NASA’s Dawn spacecraft set off on its journey to Vesta in 2007 and reached its destination in the middle of 2011. At a recent meeting in Austria, mission scientists revealed the latest visible and infrared images of Vesta. They feature details on the surface and in craters that show layers of rock and minerals. Some of these older layers help scientists to look further back into Vesta’s history and learn more about how it formed. Temperatures on Vesta range from  -100 C to just  - 23 C, not an ideal holiday destination!</t>
  </si>
  <si>
    <t xml:space="preserve">14.   What is said about the asteroid Vesta? </t>
  </si>
  <si>
    <t>a)      Scientists can now study its past</t>
  </si>
  <si>
    <t>b)      It was discovered in 2007</t>
  </si>
  <si>
    <t>c)       It is excessively hot</t>
  </si>
  <si>
    <t>d)      Information about it is unavailable</t>
  </si>
  <si>
    <t>&lt;b&gt;Mysterious Blue Sheep Appear in Germany. &lt;/b&gt;&lt;br&gt;A flock of blue sheep have appeared outside a castle in Germany. Locals were puzzled after a flock of blue plastic sheep mysteriously appeared in front of Schwerin Castle. The sheep, created German Rainer Bonk and Bertamaria Reetz, are part of an art project that has been touring Europe for three years. According to the artists, the blue sheep represent the message that all are equal and everyone is important. The sheep will visit more than 50 European cities and one sheep will be left behind in each place as a peace ambassador.</t>
  </si>
  <si>
    <t>15.   What is said about the sheep?</t>
  </si>
  <si>
    <t>a)      No-one knows where they came from</t>
  </si>
  <si>
    <t>b)      They will remain at Schwerin Castle</t>
  </si>
  <si>
    <t>c)       They stand for equality</t>
  </si>
  <si>
    <t>d)      The artists lost them</t>
  </si>
  <si>
    <t>&lt;b&gt;Boy’s Football Lost in Tsunami Found in Alaska.         &lt;/b&gt;&lt;br&gt;A football swept away by last year’s tsunami and found on a remote Alaskan island is to be returned after it teenage Japanese owner was identified. Sixteen-year-old Misaki Murakami’s name was written on the ball that was swept out to sea in March 2011.David Baxter from the U.S.  found it more than a year later on Alaska’s Middleton Island, 70 miles from the mainland. Mr. Murakami told Japanese media he was sure the ball was his and would be happy to have it back. It was given to him by his classmates in 2005 when he changed schools. Mr. Baxter’s Japanese wife translated the writing on the ball, which included a school name and a ‘good luck’ message.</t>
  </si>
  <si>
    <t xml:space="preserve">16.   What is said about the football? </t>
  </si>
  <si>
    <t>a)      Its owner can’t be located</t>
  </si>
  <si>
    <t>b)      It was found by its owner’s classmates</t>
  </si>
  <si>
    <t>c)       No-one can interpret the message written on it</t>
  </si>
  <si>
    <t>d)      The owner originally received it from classmates</t>
  </si>
  <si>
    <t>&lt;b&gt;Car Drivers Told to Top Up on Fuel Before Strike. &lt;/b&gt;&lt;br&gt;The government is warning car drivers to top up their petrol tanks to prepare for a strike by tanker drivers. Drivers are unhappy with pay and working conditions and are threatening to stop delivering fuel which could lead to shortages. The government has said storing fuel would be a sensible thing to do but also that there is no need to queue up to get it. Some petrol stations are already experiencing shortages though. Officials are working on an emergency plan to get fuel delivered if the strike goes ahead. Royal Air Force drivers might be used to make some deliveries. The tanker drivers haven’t decided when the strikes will take place. The last time a major strike happened was in 2000 when many petrol stations ran out of fuel.</t>
  </si>
  <si>
    <t xml:space="preserve">17.   Which of the following is true? </t>
  </si>
  <si>
    <t>a)      The tanker drivers are now on strike</t>
  </si>
  <si>
    <t>b)      Car drivers are queuing for fuel</t>
  </si>
  <si>
    <t>c)       Car drivers are advised to reserve fuel</t>
  </si>
  <si>
    <t>d)      Petrol stations are running out of fuel</t>
  </si>
  <si>
    <t>&lt;b&gt;London Turns Seawater into Drinking Water. &lt;/b&gt;&lt;br&gt;A new water desalination plant in Beckton, East London, is helping to ease the current drought by turning seawater into drinking water. The plant takes seawater from the Thames Estuary at low tide, filters it and pumps it through a membrane. The process makes the water so clean that essential minerals have to be put back in it. Around 150 million liters of water will be produced in this way each day, supplying 1.4 million people with water. With summer fast approaching, the project has been developed to help the widespread drought across the U.K. Seven water companies have announced water restrictions and hosepipe bans are likely to be announced. The ban could affect one in three homes and people caught breaking the rules could face a fine of up to 1,000 pounds. As the desalination process is expensive to run and uses a lot of energy, it will only be used in times of drought.</t>
  </si>
  <si>
    <t>a)      The desalination plant is energy efficient</t>
  </si>
  <si>
    <t>b)      Many people are breaking the hosepipe ban</t>
  </si>
  <si>
    <t>c)       The desalination process retains essential minerals</t>
  </si>
  <si>
    <t>d)      The plant is only for use when water is scarce</t>
  </si>
  <si>
    <t xml:space="preserve">&lt;b&gt;Rare Final Letter From Captain Scott to be Sold at Auction.&lt;/b&gt;&lt;br&gt;The final letter written by Captain Robert Falcon Scott before his death is being sold at a famous auction house in London. The letter was written by Captain Scott to Sir Edgar Speyer. It is important because it contains the line: ‘We have seen the Pole and we shall die like gentlemen’. One hundred years ago, on January 17 1912, Captain Scott and his team of explorers famously reached the South Pole. Unfortunately, the whole team died on the return journey. The letter was found eight months later by a search party. Scott also left behind a letter to his wife, in which he talked about his two-year-old son, Peter: ‘Make the boy interested in natural history if you can. It is better than games.” Peter Scott grew up to become a famous conservationist and ornithologist. </t>
  </si>
  <si>
    <t xml:space="preserve">19.   What is said about Captain Scott? </t>
  </si>
  <si>
    <t>a)      His team didn’t reach the South Pole</t>
  </si>
  <si>
    <t>b)      He didn’t want his son to be an explorer</t>
  </si>
  <si>
    <t>c)       He didn’t return from the expedition</t>
  </si>
  <si>
    <t>d)      His letter was found by Sir Edgar Speyer</t>
  </si>
  <si>
    <t>&lt;b&gt;Pizzas Are Saltier Than the Sea. First News. &lt;/b&gt;&lt;br&gt;A survey has warned that takeaway pizzas often contain as much salt as seawater. The survey by Consensus Action on Salt and Health compared 199 margherita and pepperoni pizzas. It found that pizzas from chains and fast-food restaurants can contain up to two-and-a-half times more salt than supermarket pizzas. The recommended intake of salt is six grams per day for anyone over 11 years old and five grams per day for seven to ten-year-olds and even less for young children and babies. However, the average person in the U.K. consumes eight grams of salt each day. Unlike most supermarket pizzas, takeaway pizzas do not usually have ingredients listed on packaging. The British Dietetic Association says: ‘A lot of everyday foods are not obviously salty, but do contain high amounts of hidden salt. Reducing your intake of salty foods is an important part of a health diet.’</t>
  </si>
  <si>
    <t xml:space="preserve">20.   Which statement is true? </t>
  </si>
  <si>
    <t>a)      Takeaway pizzas often don’t display their ingredients</t>
  </si>
  <si>
    <t>b)      Supermarket pizzas contain the most salt</t>
  </si>
  <si>
    <t>c)       People in the U.K. need to consume more salt</t>
  </si>
  <si>
    <t>d)      Takeaway pizzas are more popular than supermarket ones</t>
  </si>
  <si>
    <t>&lt;b&gt;Australia’s PM Visits Wildfire-Hit Parts of Tasmania. &lt;/b&gt;&lt;br&gt;Australia’s Prime Minister Julia Gillard is visiting parts of the country hit by big wildfires. More than 100 buildings have been destroyed and whole communities cut off by the fires, which broke out on the island of Tasmania. Ms Gillard said help would be given to those in need. There are warnings of more hot weather across Australia that could lead to further wildfires. Ms Gillard pointed out that fires were still being fought in some areas.  A total ban on the lighting of fires is to be put into place in New South Wales as well as the Canberra region. Australia’s by wildfires every year as temperatures climb, drying out the land and making it easier for fires to start. In February 2009, 173 people were killed in fires in the state of Victoria. So far, no deaths have been reported in the latest wildfires.</t>
  </si>
  <si>
    <t xml:space="preserve">21.   What is said in the report?                              </t>
  </si>
  <si>
    <t>a)      The fires are now under control</t>
  </si>
  <si>
    <t>b)      People will be forbidden from lighting fires</t>
  </si>
  <si>
    <t>c)       Wildfires are unusual in Australia</t>
  </si>
  <si>
    <t>d)      173 people have been killed in the recent fires</t>
  </si>
  <si>
    <t>&lt;b&gt;Hamlet: The Play Stalin Hated. &lt;/b&gt;&lt;br&gt;Behind the iron curtain, Shakespeare’s plays were a way to send secret messages about Soviet society to theater audiences. Now a Lithuanian staging of Hamlet- designed to make Stalin, who hated the play, turn in his grave- will be performed in the UK. Why do these 400-year-old plays resonate in the former Eastern Bloc? In Soviet-era Lithuania, there were productions of Shakespeare for which people queued through the night for tickets. Shakespeare was culture with official approval, but as one of the few alternatives to tales about earnest Soviet heroes, it was also a way for theatre directors to symbolically address forbidden issues. Another appeal of Shakespeare was its soundtrack. Rock music was sometimes smuggled into productions in an era when many western acts were banned.</t>
  </si>
  <si>
    <t xml:space="preserve">22.   What is said about the play, ‘Hamlet’ in the Soviet Union? </t>
  </si>
  <si>
    <t>a)      Tickets could only be obtained illegally</t>
  </si>
  <si>
    <t>b)      It never held great appeal in the Soviet Union</t>
  </si>
  <si>
    <t>c)       Productions of it were forbidden in the Soviet Union</t>
  </si>
  <si>
    <t>d)      It provided a means to express prohibited matters</t>
  </si>
  <si>
    <t>&lt;b&gt;Nicolas Sarkozy Says France has too many Foreigners.  &lt;/b&gt;&lt;br&gt;French President Nicolas Sarkozy has said there are too many foreigners in France and the system for integrating them is “working more and more badly”. In a TV debate, Mr. Sarkozy defended his plan to almost halve the number of new arrivals if re-elected next month. Mr. Sarkozy is trailing in the opinion polls behind the Socialist candidate Francois Hollande. He is also competing for conservative voters with the far-right National Front party led by Marine le Pen. The president said while immigration is a boon for France, it needed to be controlled more tightly through tougher qualification rules for residency. Mr. Sarkozy, whose father was a Hungarian immigrant, also said he wanted to restrict some benefit payments to immigrants who had been in the country for 10 years.</t>
  </si>
  <si>
    <t xml:space="preserve">23.   What is said about President Sarkozy? </t>
  </si>
  <si>
    <t>a)      He is ahead of the Socialist candidate in the opinion polls</t>
  </si>
  <si>
    <t>b)      He believes most immigrants are well-integrated</t>
  </si>
  <si>
    <t>c)       He stated that immigration is generally positive</t>
  </si>
  <si>
    <t xml:space="preserve">d)      He will increase benefit payments to immigrants  </t>
  </si>
  <si>
    <t>&lt;b&gt;Signs of Ice Found on Mercury. &lt;/b&gt;&lt;br&gt;A NASA spacecraft has found signs that there may be ice on Mercury. The planet is the nearest to the Sun and its surface temperature can be very hot- over 400C. But there are craters at Mercury’s poles that are always in shadow, turning them into what’s known as cold traps. Some areas on the planet reflect radar – which is a sign that ice could be there. And now NASA has found that these areas are in the same places as the shadowed craters –giving more signs that there may be ice on Mercury.</t>
  </si>
  <si>
    <t xml:space="preserve">24.   What is said about Mercury? </t>
  </si>
  <si>
    <t>a)      It has been found to have ice</t>
  </si>
  <si>
    <t>b)      It is distant from the sun</t>
  </si>
  <si>
    <t>c)       Its poles are is the shade</t>
  </si>
  <si>
    <t xml:space="preserve">d)      It shows no evidence of ice   </t>
  </si>
  <si>
    <t>&lt;b&gt;First World Cornish Pasty Championship Held. &lt;/b&gt;&lt;br&gt;The World Cornish Pasty  Championships have been held at The Eden Project in St. Austell, England. More than 100 cooks from around the world flew into Cornwall to celebrate the popular local delicacy, the Cornish pasty, at the first World Cornish Pasty Championships. While judges were looking for the best traditional recipe, there were some rather unusual recipes on offer, such as pasties made with squirrel meat. The championship was won by a chef, Graham Cornish with his traditional beef and smoked fish pasties. Cornish pasties were given protected status under EU law in 2011 and are said to date back as far as the 1300s.</t>
  </si>
  <si>
    <t>25.   What is said about the Cornish Pasty Championships?</t>
  </si>
  <si>
    <t>a)      The winner used an unusual recipe</t>
  </si>
  <si>
    <t>b)      The Championship was first held in the 1300s</t>
  </si>
  <si>
    <t>c)       It was open to international entrants</t>
  </si>
  <si>
    <t xml:space="preserve">d)      Almost 100 cooks entered the competition        </t>
  </si>
  <si>
    <t>&lt;b&gt;Nicaragua Bids to Stem Deforestation With Eco-Soldiers. &lt;/b&gt;&lt;br&gt;Deep inside the verdant vegetation of Nicaragua’s Mosquito Coast, a specially trained army unit is waging a new kind of war against a new type of enemy. Operation Green Gold is the inaugural mission of Nicaragua’s newly formed Ecological Battalion. The Green Guard, a unit of 580 environmental soldiers, recently won its first ‘battlefield victory’ by netting  3,165 cubic meters of illegal lumber felled by loggers. The trees were chopped down in a nature reserve that is being plundered to supply the black market for construction materials. The eco-battalion, working in conjunction with state prosecutors and forestry officials, discovered the lumber contraband hidden under netting and brush to avoid detection from the air. The troops are now reportedly on the trail of the criminal organization that was extracting the wood from the jungle on riverboats. “There are unscrupulous people who are taking advantage of the economic limitations of the people in this region. And in the end, it’s the outsiders who benefit,” says Colonel Nestor Lopez.</t>
  </si>
  <si>
    <t xml:space="preserve">26.   What is said about the Green Guard? </t>
  </si>
  <si>
    <t>a)      They are involved in illegal activities</t>
  </si>
  <si>
    <t>b)      They are battling against forestry officials</t>
  </si>
  <si>
    <t>c)       They operate mainly in riverboats</t>
  </si>
  <si>
    <t xml:space="preserve">d)      They are fighting illicit ventures     </t>
  </si>
  <si>
    <t>&lt;b&gt;The Evolution of the Cuban Cigar. &lt;/b&gt;&lt;br&gt;Cuban cigars, long a sign of luxury are increasing their sales even as the global economy struggles. Havana’s Palacio de Convenciones normally plays host to Communist Party congresses. This week it has been converted into an exclusive emporium. Milling around the display stands are hundreds of visitors to the island’s annual international cigar festival. Western Europe is still the key market for the cigars but the economic crisis and the spread of anti-smoking laws are creating changes. Distributor Habanos opened the festival by announcing a 9% increase in sales generally. The firm says emerging markets like China are now making up for others in decline. Sales to China rose by 39% last year even as sales to Habanos’ biggest buyer, Spain, plunged 20%. There is also a busload of Russians. “There is no smoking ban in Russia,” says Riad Bou Karam who runs the Casa de Habanos outlet in Moscow where he says sales are strong.</t>
  </si>
  <si>
    <t xml:space="preserve">27.   What is said about the Cuban cigar market? </t>
  </si>
  <si>
    <t>a)      Sales are generally declining</t>
  </si>
  <si>
    <t>b)      China is now a key customer</t>
  </si>
  <si>
    <t>c)       Sales continue to increase in Spain</t>
  </si>
  <si>
    <t xml:space="preserve">d)      Russia is the biggest buyer    </t>
  </si>
  <si>
    <t>&lt;b&gt;Google Admits Profiting From Illegal Olympic Ticket Ads.&lt;/b&gt;&lt;br&gt;Google is profiting from ads for illegal products generated by its flagship automated advertising system, the BBC has found. The ads include unofficial London 2012 Olympic ticket resellers, as well as cannabis and fake ID card sellers. These ads were promptly removed by Google after the BBC brought them to the company’s attention. Google has also taken down links to illegal Olympic ticket resellers following requests from the police. But the search giant told ‘5 Live Investigates’ that the company keeps any money it might make from companies advertising illegal services before such adverts are removed. Selling tickets on the open market without permission from the Olympic authorities is a criminal offence n the UK under the London Olympic and Paralympic Games Act 2006.</t>
  </si>
  <si>
    <t xml:space="preserve">28.   The report states that;                                                                                                                    </t>
  </si>
  <si>
    <t>a)      Google has been charged with false advertising.</t>
  </si>
  <si>
    <t>b)      Google reported the false adverts to the police.</t>
  </si>
  <si>
    <t>c)       Google remains in possession of earnings from false adverts.</t>
  </si>
  <si>
    <t xml:space="preserve">d)      Google has given the revenue from false adverts to the authorities.                            </t>
  </si>
  <si>
    <t>&lt;b&gt;Orange Juice Prices Hit Record. &lt;/b&gt;&lt;br&gt;The price of orange juice on the global markets has hit a record high, after surging over the past few days. Traders say the main reasons are safety concerns about juice from Brazil, the world’s largest producer of orange juice, and cold weather in Florida. The US Food and Drug Administration said carbendazim,  a fungicide, has been found in shipments from Brazil. Orange juice has risen by about 25% since the beginning of the year, to $2.12 as pound. Carbendazim is banned in the US, but is used legally in Brazil to treat black spot, a type of mould that grows on trees. The FDA said any orange juice which could be a risk to the public would be removed from supermarket shelves. The FDA said it would “deny entry to shipments that test positive fro carbendazim.” This is what has spooked the market. The US is the second-largest producer of orange juice, with production mainly concentrated in Florida. A few days of cold weather in Florida has led to ice being found in some fruit and damage to tree leaves.</t>
  </si>
  <si>
    <t xml:space="preserve">29.   According to the report;                                                                                                                  </t>
  </si>
  <si>
    <t>a)      Orange juice can be legally treated with carbendazim in Florida.</t>
  </si>
  <si>
    <t>b)      Orange juice prices have been rising steadily for some time.</t>
  </si>
  <si>
    <t>c)       Orange juice shipments from Brazil will be denied entry into the U.S.A.</t>
  </si>
  <si>
    <t xml:space="preserve">d)      Orange juice prices have recently risen sharply.                                                                </t>
  </si>
  <si>
    <t>&lt;b&gt;Honduras Bans Motorcycle Passengers in Anti-Crime Move. &lt;/b&gt;&lt;br&gt;The Honduran Congress has voted to ban motorcyclists from riding with passengers in a bid to curb a spate of drive-by killings. The move follows two high-profile murders this week, both blamed on gunmen on motorbikes. Honduras has the world’s highest murder rate: 82 per 100,000 people a year. During a session held in private because of security fears, legislators approved a decree limiting the number of people allowed on a motorbike to just one. The measure, which will last for six months, was requested by President Porfirio Lobo, whose government is facing rising crime. Motorcycles have been used in several high-profile murders. Honduras is a key transit country for cocaine smuggled from South America and on to the US market. In November the Honduran authorities began deploying troops to carry out policing duties. The police force itself is undergoing a purge amid efforts to root out officers with links to organized crime.</t>
  </si>
  <si>
    <t xml:space="preserve">30.   Which of the following is true?                                                                                                      </t>
  </si>
  <si>
    <t>a)      The Honduran Congress is moving to protect privacy.</t>
  </si>
  <si>
    <t>b)      Efforts are being made to eliminate corruption in the military.</t>
  </si>
  <si>
    <t>c)       The military is now active in tackling crime problems in Honduras.</t>
  </si>
  <si>
    <t xml:space="preserve">d)      Motorbike riding will be banned for six months in Honduras.                                         </t>
  </si>
  <si>
    <t xml:space="preserve">NIVEL FUNCIONAL JUN ACA 2013 </t>
  </si>
  <si>
    <t>a)      She’s going with her Dad</t>
  </si>
  <si>
    <t>b)      She has to get up very early</t>
  </si>
  <si>
    <t>c)       She’ll be in France for a couple of days</t>
  </si>
  <si>
    <t>d)      She has to attend class first</t>
  </si>
  <si>
    <t>a)      It is difficult  to find a  good job</t>
  </si>
  <si>
    <t xml:space="preserve">b)      She loses  jobs easily </t>
  </si>
  <si>
    <t>c)       She has a good job in education</t>
  </si>
  <si>
    <t>d)      She is extremely confident</t>
  </si>
  <si>
    <t>a)      He formed an association</t>
  </si>
  <si>
    <t>b)      He made English friends immediately</t>
  </si>
  <si>
    <t>c)       His situation was very difficult</t>
  </si>
  <si>
    <t>d)       Socializing was easy</t>
  </si>
  <si>
    <t>a)      She socialized mainly with immigrants</t>
  </si>
  <si>
    <t>b)      The Church provided social activities</t>
  </si>
  <si>
    <t>c)       Life was pretty bad socially</t>
  </si>
  <si>
    <t>d)      She socialized with other Guyanese</t>
  </si>
  <si>
    <t>a)      The man and the woman are good friends</t>
  </si>
  <si>
    <t>b)      The man and the woman have never met before</t>
  </si>
  <si>
    <t>c)       The man and the woman have met previously</t>
  </si>
  <si>
    <t>d)      The man lives in Birmingham</t>
  </si>
  <si>
    <t>a)      She feels cold</t>
  </si>
  <si>
    <t>b)      She feels anxious</t>
  </si>
  <si>
    <t>c)       She feels lonely</t>
  </si>
  <si>
    <t>d)      She feels relaxed</t>
  </si>
  <si>
    <t>a)      At a meeting</t>
  </si>
  <si>
    <t>b)      In a classroom</t>
  </si>
  <si>
    <t>c)       In a kindergarten</t>
  </si>
  <si>
    <t>d)      At the doctor’s</t>
  </si>
  <si>
    <t>b)      He gets  bored in his Mum’s village</t>
  </si>
  <si>
    <t>d)      He commutes to college every day</t>
  </si>
  <si>
    <t>a)      He studied ballet in Russia</t>
  </si>
  <si>
    <t>b)      His father wanted him to be an architect</t>
  </si>
  <si>
    <t>c)       He convinced his mother to allow him to dance</t>
  </si>
  <si>
    <t>d)      He escaped to a school in London</t>
  </si>
  <si>
    <t>a)      She wants  to have a lot of power</t>
  </si>
  <si>
    <t xml:space="preserve">b)      She demonstrated  in the streets </t>
  </si>
  <si>
    <t>c)       She wanted to be a radical feminist</t>
  </si>
  <si>
    <t>d)      She is proud to be an immigrant</t>
  </si>
  <si>
    <t>a)      He has the flu</t>
  </si>
  <si>
    <t>b)      He has a terrible cold and fever</t>
  </si>
  <si>
    <t>c)       Food can help some diseases</t>
  </si>
  <si>
    <t>d)      He’s ill and he can’t stop  to sneeze</t>
  </si>
  <si>
    <t>a)      He teaches overseas</t>
  </si>
  <si>
    <t>b)      A lot of his pupils are foreigners</t>
  </si>
  <si>
    <t>c)       He teaches in a primary school</t>
  </si>
  <si>
    <t>d)      He is a private teacher</t>
  </si>
  <si>
    <t>a)      He drinks a lot of beer</t>
  </si>
  <si>
    <t>b)      He keeps the cans in his house</t>
  </si>
  <si>
    <t>c)       His collection is valuable</t>
  </si>
  <si>
    <t>d)      He began collecting only recently</t>
  </si>
  <si>
    <t>a)      His appearance</t>
  </si>
  <si>
    <t>b)      Everything</t>
  </si>
  <si>
    <t>c)       Nothing really</t>
  </si>
  <si>
    <t>d)      His ability at football</t>
  </si>
  <si>
    <t>a)      She has become more disciplined</t>
  </si>
  <si>
    <t>b)      She has become more self-assured</t>
  </si>
  <si>
    <t>c)       She has become more reserved</t>
  </si>
  <si>
    <t>d)      She has become less communicative</t>
  </si>
  <si>
    <t xml:space="preserve">a)      It is generally informal </t>
  </si>
  <si>
    <t>b)      New immigrants don’t understand it</t>
  </si>
  <si>
    <t>c)       It is very strict</t>
  </si>
  <si>
    <t>d)      It changes in every workplace</t>
  </si>
  <si>
    <t>a)      It is under discussion</t>
  </si>
  <si>
    <t xml:space="preserve">b)      It is not a priority </t>
  </si>
  <si>
    <t>c)       It is very controversial</t>
  </si>
  <si>
    <t>d)      There is a lack of interest in it</t>
  </si>
  <si>
    <t>a)      Moving to new locations</t>
  </si>
  <si>
    <t>b)      The risks and dangers</t>
  </si>
  <si>
    <t>c)       Long hours of work</t>
  </si>
  <si>
    <t>d)      The high level of fitness required</t>
  </si>
  <si>
    <t>a)      Very wealthy</t>
  </si>
  <si>
    <t>b)      Tall</t>
  </si>
  <si>
    <t>c)       A traveller</t>
  </si>
  <si>
    <t>d)      A child prodigy</t>
  </si>
  <si>
    <t>a)      A boring person</t>
  </si>
  <si>
    <t>b)      Getting older</t>
  </si>
  <si>
    <t>c)       Having no money</t>
  </si>
  <si>
    <t>d)      Interests</t>
  </si>
  <si>
    <t>a)      She is very motivated</t>
  </si>
  <si>
    <t>b)      She and her sister will buy a flat in Tuscany</t>
  </si>
  <si>
    <t>c)       She has bought a flat with her sister</t>
  </si>
  <si>
    <t>d)      She’s going to work in the BBC</t>
  </si>
  <si>
    <t>a)      There are more courses available now</t>
  </si>
  <si>
    <t>b)      Too many people apply for university</t>
  </si>
  <si>
    <t>c)       Education went on for 17 years In the past</t>
  </si>
  <si>
    <t>d)      Young people don’t want to go to college</t>
  </si>
  <si>
    <t>a)      They are much happier than fifty years ago</t>
  </si>
  <si>
    <t>b)      They are now hungry and homeless</t>
  </si>
  <si>
    <t>c)       Money does not greatly increase their happiness</t>
  </si>
  <si>
    <t>d)      They are miserable</t>
  </si>
  <si>
    <t>a)      He  does not have a mobile phone</t>
  </si>
  <si>
    <t>b)      He only speaks on his mobile in quiet places</t>
  </si>
  <si>
    <t xml:space="preserve">c)       He had to take three calls at the doctor’s </t>
  </si>
  <si>
    <t>d)      He  detests people talking loudly on the phone</t>
  </si>
  <si>
    <t>a)      It was very uncomfortable</t>
  </si>
  <si>
    <t xml:space="preserve">b)      The roof was permanently open </t>
  </si>
  <si>
    <t>c)       There was a car seat in the open air</t>
  </si>
  <si>
    <t>d)      It was a light model</t>
  </si>
  <si>
    <t>a)      Child  would like it as a Christmas presents.</t>
  </si>
  <si>
    <t>b)      Nobody drives the vehicle in the planet.</t>
  </si>
  <si>
    <t>c)       We should go to Mars by a special vehicle.</t>
  </si>
  <si>
    <t>d)      The vehicle is driven from Mars.</t>
  </si>
  <si>
    <t>a)      He prefers to work alone</t>
  </si>
  <si>
    <t>b)      He can inspire people</t>
  </si>
  <si>
    <t>c)       He can work long hours</t>
  </si>
  <si>
    <t>d)      He believes in himself</t>
  </si>
  <si>
    <t>a)      makes them much richer</t>
  </si>
  <si>
    <t>b)      Makes them a little  richer</t>
  </si>
  <si>
    <t>c)       Makes them discontent</t>
  </si>
  <si>
    <t>d)      Takes away good jobs</t>
  </si>
  <si>
    <t>a)      She had to do people’s hair</t>
  </si>
  <si>
    <t>b)      She did everything herself</t>
  </si>
  <si>
    <t>c)       She had a team to help her</t>
  </si>
  <si>
    <t>d)      She had someone to look after her</t>
  </si>
  <si>
    <t>a)      It was invented in the twentieth century</t>
  </si>
  <si>
    <t>b)      The US Army helped to make gum popular</t>
  </si>
  <si>
    <t>c)       Astronauts  popularised it in space</t>
  </si>
  <si>
    <t>d)      William Wrigley relaxed while chewing gum</t>
  </si>
  <si>
    <t>a)      He received the wrong products</t>
  </si>
  <si>
    <t>b)      He wasn’t connected to the correct department</t>
  </si>
  <si>
    <t>c)       He hasn’t received his order yet</t>
  </si>
  <si>
    <t>d)      His order was sent to the wrong address</t>
  </si>
  <si>
    <t>a)      People dress formally</t>
  </si>
  <si>
    <t>b)      People are relaxed but efficient</t>
  </si>
  <si>
    <t>c)       No one in the company wears a suit</t>
  </si>
  <si>
    <t>d)      The coffee lounge is always packed</t>
  </si>
  <si>
    <t>a)      The purpose of the seminar</t>
  </si>
  <si>
    <t>b)      Instructions for the seminar activities</t>
  </si>
  <si>
    <t>c)       Social activities for the participants</t>
  </si>
  <si>
    <t>d)      General organizational details of the seminar</t>
  </si>
  <si>
    <t>a)      Because the course was very difficult</t>
  </si>
  <si>
    <t>b)      Because of her family situation</t>
  </si>
  <si>
    <t>c)       Because the college was very far from where she lived</t>
  </si>
  <si>
    <t>d)      Because the course was very expensive</t>
  </si>
  <si>
    <t>a)      Restaurant tables are high and beds too short</t>
  </si>
  <si>
    <t>b)      She has to bend down to hear people</t>
  </si>
  <si>
    <t>c)       Buying clothes is not really a problem</t>
  </si>
  <si>
    <t>d)      She doesn’t know any other tall people</t>
  </si>
  <si>
    <t>a)      Mike teaches Arabic</t>
  </si>
  <si>
    <t>b)      Karen has a job in a language school</t>
  </si>
  <si>
    <t>c)       Their children needed  a change</t>
  </si>
  <si>
    <t xml:space="preserve">d)      Karen has stopped teaching for a year </t>
  </si>
  <si>
    <t>a)      To make their parents angry</t>
  </si>
  <si>
    <t>b)      To convince parents to buy</t>
  </si>
  <si>
    <t>c)       To advertise new toys</t>
  </si>
  <si>
    <t>d)      To make trick adverts</t>
  </si>
  <si>
    <t>a)      It lasted for two months.</t>
  </si>
  <si>
    <t>b)      It was financed by the local university research group.</t>
  </si>
  <si>
    <t>c)       The professors were not very supportive.</t>
  </si>
  <si>
    <t>a)      His expedition got lost.</t>
  </si>
  <si>
    <t>b)      He had a military background.</t>
  </si>
  <si>
    <t>c)       He had previous experience in Antarctica.</t>
  </si>
  <si>
    <t xml:space="preserve">d)      He was asked to lead the expedition.                                                                                                 </t>
  </si>
  <si>
    <t>a)      It will make life easier for everyone</t>
  </si>
  <si>
    <t>b)      It will provide health care</t>
  </si>
  <si>
    <t>c)       Ethnicity will be a problem</t>
  </si>
  <si>
    <t>d)      Afghans have more serious problems</t>
  </si>
  <si>
    <t>EXAMEN 202/MP3/Q-1.mp3</t>
  </si>
  <si>
    <t>EXAMEN 202/MP3/Q-2.mp3</t>
  </si>
  <si>
    <t>EXAMEN 202/MP3/Q-3.mp3</t>
  </si>
  <si>
    <t>EXAMEN 202/MP3/Q-4.mp3</t>
  </si>
  <si>
    <t>EXAMEN 202/MP3/Q-5.mp3</t>
  </si>
  <si>
    <t>EXAMEN 202/MP3/Q-6.mp3</t>
  </si>
  <si>
    <t>EXAMEN 202/MP3/Q-7.mp3</t>
  </si>
  <si>
    <t>EXAMEN 202/MP3/Q-8.mp3</t>
  </si>
  <si>
    <t>EXAMEN 202/MP3/Q-9.mp3</t>
  </si>
  <si>
    <t>EXAMEN 202/MP3/Q-10.mp3</t>
  </si>
  <si>
    <t>EXAMEN 202/MP3/Q-11.mp3</t>
  </si>
  <si>
    <t>EXAMEN 202/MP3/Q-12.mp3</t>
  </si>
  <si>
    <t>EXAMEN 202/MP3/Q-13.mp3</t>
  </si>
  <si>
    <t>EXAMEN 202/MP3/Q-14.mp3</t>
  </si>
  <si>
    <t>EXAMEN 202/MP3/Q-15.mp3</t>
  </si>
  <si>
    <t>EXAMEN 202/MP3/Q-16.mp3</t>
  </si>
  <si>
    <t>EXAMEN 202/MP3/Q-17.mp3</t>
  </si>
  <si>
    <t>EXAMEN 202/MP3/Q-18.mp3</t>
  </si>
  <si>
    <t>EXAMEN 202/MP3/Q-19.mp3</t>
  </si>
  <si>
    <t>EXAMEN 202/MP3/Q-20.mp3</t>
  </si>
  <si>
    <t>EXAMEN 202/MP3/Q-21.mp3</t>
  </si>
  <si>
    <t>EXAMEN 202/MP3/Q-22.mp3</t>
  </si>
  <si>
    <t>EXAMEN 202/MP3/Q-23.mp3</t>
  </si>
  <si>
    <t>EXAMEN 202/MP3/Q-24.mp3</t>
  </si>
  <si>
    <t>EXAMEN 202/MP3/Q-25.mp3</t>
  </si>
  <si>
    <t>EXAMEN 202/MP3/Q-26.mp3</t>
  </si>
  <si>
    <t>EXAMEN 202/MP3/Q-27.mp3</t>
  </si>
  <si>
    <t>EXAMEN 202/MP3/Q-28.mp3</t>
  </si>
  <si>
    <t>EXAMEN 202/MP3/Q-29.mp3</t>
  </si>
  <si>
    <t>EXAMEN 202/MP3/Q-30.mp3</t>
  </si>
  <si>
    <t>EXAMEN 202/MP3/Q-31.mp3</t>
  </si>
  <si>
    <t>EXAMEN 202/MP3/Q-32.mp3</t>
  </si>
  <si>
    <t>EXAMEN 202/MP3/Q-33.mp3</t>
  </si>
  <si>
    <t>EXAMEN 202/MP3/Q-34.mp3</t>
  </si>
  <si>
    <t>EXAMEN 202/MP3/Q-35.mp3</t>
  </si>
  <si>
    <t>EXAMEN 202/MP3/Q-36.mp3</t>
  </si>
  <si>
    <t>EXAMEN 202/MP3/Q-37.mp3</t>
  </si>
  <si>
    <t>EXAMEN 202/MP3/Q-38.mp3</t>
  </si>
  <si>
    <t>EXAMEN 202/MP3/Q-39.mp3</t>
  </si>
  <si>
    <t>EXAMEN 202/MP3/Q-40.mp3</t>
  </si>
  <si>
    <t>1.     A  trip……Listen to a girl describe a trip she’s going on……Which statement is correct about the girl’s trip?</t>
  </si>
  <si>
    <t>2.     Looking for work……Listen to a Mexican woman describe her work situation in England……What does the speaker say about living in England?</t>
  </si>
  <si>
    <t>3.     Socializing…… Listen to an immigrant from Portugal talk about when he first arrived in London……Which statement is correct about the speaker when he arrived?</t>
  </si>
  <si>
    <t>4.     Leisure time……Listen to an immigrant from Guyana describe her leisure time in Britain……What does the woman say?</t>
  </si>
  <si>
    <t xml:space="preserve">5.     Socializing.……Listen to the following dialogue which takes place at a business breakfast meeting.……What is stated in the dialogue?                                                                                                                     </t>
  </si>
  <si>
    <t xml:space="preserve">6.      The House.……Listen to the following dialogue.……How does the woman feel in the house?                                                                                 </t>
  </si>
  <si>
    <t>7.     Giving instructions………Listen to a woman giving instructions……Where is the woman speaking?</t>
  </si>
  <si>
    <t>8.     Family………Listen to a young man talk about his family ……Which statement is correct about the speaker?</t>
  </si>
  <si>
    <t>9.     A ballet dancer………A ballet dancer speaks……Which statement is correct about the speaker?</t>
  </si>
  <si>
    <t>10.  Achievements………Listen to an immigrant in Leeds, England speak about her proudest achievement……Which statement is correct about the speaker?</t>
  </si>
  <si>
    <t>11.  Allergy………Listen to Neil describing his allergy………What is said?</t>
  </si>
  <si>
    <t>12.  The teacher………Listen to an extract from a conversation with Matt………What can we say about Matt?</t>
  </si>
  <si>
    <t>13.  An unusual hobby………You are now going to hear about an unusual hobby………What impression do we get about Jeff?</t>
  </si>
  <si>
    <t>14.  I’d like to ………A man talks about what he would like to be ………What would the man like to improve?</t>
  </si>
  <si>
    <t xml:space="preserve">15.  A Police Officer.  ………Angela Simpson talks about the effect of her job as a police officer on her character.………What effect has Angela Simpson’s job had on her character?                                                 </t>
  </si>
  <si>
    <t xml:space="preserve">16.  Collectivist and Indvidualist Cultures ………Listen to an extract from a report on expected conduct in the Canadian workplace………What is said about expected conduct in the Canadian workplace?                                            </t>
  </si>
  <si>
    <t xml:space="preserve">17.  Insight Plus. Drugs ………Listen to Eric Sterling, President of the Criminal Justice Policy Foundation in Washington, talking about the drug issue.………What is said about the drug issue in the USA?                                                                    </t>
  </si>
  <si>
    <t xml:space="preserve">18.    Lawerence Kerr, An Army Officer ………Listen to army sergeant, Lawerence Kerr, talking about how his army life affects his personal life.……… Which difficult aspect of life in the army is discussed in the report?                                          </t>
  </si>
  <si>
    <t>19.  Google co-founder………Listen to this extract about the co-founder of GoogleAccording to what you have heard……… which of the following describes Sergei Brin?</t>
  </si>
  <si>
    <t>20.  Life………Listen to an extract about life………What is the extract about?</t>
  </si>
  <si>
    <t>21.  Making plans ………Listen to a woman talk about things she hopes to do ………What can be said about the woman?</t>
  </si>
  <si>
    <t>22.  University education………The following is an extract about Universities in the UK.………Which statement is correct?</t>
  </si>
  <si>
    <t>23.  Happiness…………Listen to a man speak about happiness………What is said about most people in the developed world?</t>
  </si>
  <si>
    <t>24.  Talking on mobile phones………You are going to hear a man complain about people talking on mobile phones……… What can be said about the speaker?</t>
  </si>
  <si>
    <t>25.  My father’s first car………A  man remembers his father’s first car………Which statement is correct about his father’s car?</t>
  </si>
  <si>
    <t>26.  Driving………Listen to an extract about Driving on Mars………According to the text….</t>
  </si>
  <si>
    <t xml:space="preserve">27.  Job Interviews.………Listen to an extract from a job interview in which an interviewee talks about his strengths.……… What does the interviewee claim is one of his characteristics?                                                    </t>
  </si>
  <si>
    <t>28.  Immigration………Listen to an extract about immigration and the average American… For the average American,  immigration ..?</t>
  </si>
  <si>
    <t>29.  Grace Coddington ………You are going to hear a woman talk about being a model in the nineteen fifties………What does Grace say about being a model when she started?</t>
  </si>
  <si>
    <t>30.  Chewing gum……You are now going to hear about how chewing gum became popular……Which statement is correct about chewing gum?</t>
  </si>
  <si>
    <t xml:space="preserve">31.  Difficult Clients on the Phone ……Listen to the following phone conversation between a company employee and a clienT……Why is the client complaining?                                                                                                      </t>
  </si>
  <si>
    <t>32.  Lyn’s job……Listen to a woman being interviewed about her job……What can be said about Lyn’s working environment?</t>
  </si>
  <si>
    <t xml:space="preserve">33.  Training and Away Days ……Listen to an extract from an introduction to a training seminar……What is the main topic of the extract from the introduction?                                                   </t>
  </si>
  <si>
    <t xml:space="preserve">34.  Debbie Davis, a Journalist ………Debbie Davis, a journalist, talks about studying to become a journalist……Why was it very challenging for Debbie Davis to study journalism?                                     </t>
  </si>
  <si>
    <t>35.  Being tall……Listen to this extract about the difficulties of being very tall……Which of the following statements apply to Jackie?</t>
  </si>
  <si>
    <t>36.  A move to Beirut……Listen to a woman, Karen, talk about her move to Beirut……Which statement is correct according to what you have heard?</t>
  </si>
  <si>
    <t>37.  Advertising through children……A marketing executive talks about using children in advertising…… According to the speaker, in what way can children be used in advertising?</t>
  </si>
  <si>
    <t xml:space="preserve">39.  Scott of the Antarctic ……The following is an extract about explorer Robert Scott……What is said about Robert Scott?                                                                                                  </t>
  </si>
  <si>
    <t>40.  An Identity card……Listen to this extract about an identity  (ID) card in Afghanistan……From this extract what impression do we get of the proposed ID card?</t>
  </si>
  <si>
    <t>d)     Participants had to pay their own expenses</t>
  </si>
  <si>
    <t xml:space="preserve">38. A trip to Europe…Listen to a woman talking about her field trip to Eastern Europe…What is said about the field trip to Eastern Europe? </t>
  </si>
  <si>
    <t>33. One Day on Earth Tomorrow is October 10, 2010: 10/10/10. Many people around the world have scheduled special events for the day, including weddings - be kind of hard to forget that anniversary. The Michigan Sovereignty Tea Party will hold a rally in Lansing. Protesters against the death penalty are going to gather in front of the Supreme Court in Washington D.C.. And marathons are set for Melbourne and Buenos Aires. Whatever transpires on 10/10/10, anything and everything is of interest to a project called -One Day on Earth.- Videographers, amateur and professional, from around the globe are free to participate and capture moments large and small, extraordinary and mundane.Which statement is correct according to the extract?</t>
  </si>
  <si>
    <t xml:space="preserve"> 18 JUNIO 2013 </t>
  </si>
  <si>
    <t xml:space="preserve">B. Marathons will take place in Australia and Argentina </t>
  </si>
  <si>
    <t xml:space="preserve"> CTE. D. PEDRO LUIS GUTIERREZ ALCALA</t>
  </si>
  <si>
    <t>CAP. D. EMILIO HIDALGO MAQUEDA</t>
  </si>
  <si>
    <t>CAP. D. JUAN PERALES BALLESTEROS</t>
  </si>
  <si>
    <t>TTE. D. VICENTE JOSE PEREZ NAVARRO</t>
  </si>
  <si>
    <t>TTE. D. LUIS PEÑA LOPEZ</t>
  </si>
  <si>
    <t>CTE. D. JAVIER PLACER SANTOS</t>
  </si>
  <si>
    <t>TCOL. D. VICENTE  HUERTA RUIZ</t>
  </si>
  <si>
    <t>TTE. D. JOAQUIN RIVERA CHAMORRO</t>
  </si>
  <si>
    <t>TCOL. D. JOSE DAMIAN GOMEZ GUTIERREZ</t>
  </si>
  <si>
    <t>CAP. D. LUIS REIG TORRES</t>
  </si>
  <si>
    <t>CAP. D. CARLOS A. FERNANDEZ MOLINA</t>
  </si>
  <si>
    <t>TTE. D. DANIEL RODRIGUEZ RODRIGUEZ</t>
  </si>
  <si>
    <t>TTE. D. SANTIAGO MARTINEZ ECHEVARRIA</t>
  </si>
  <si>
    <t>CTE. D. GONZALO JOSE DE JUAN NOVOA</t>
  </si>
  <si>
    <t>CAP. D. LUIS EMILIO BELLO SANTANA</t>
  </si>
  <si>
    <t>CAP. D. JAVIER  OLMEDO CHECA</t>
  </si>
  <si>
    <t>CAP. D. ROBERTO MORENO SANCHEZ DEL AGUILA</t>
  </si>
  <si>
    <t>CAP. D. CARLOS ARRIBAS ARAGUAS</t>
  </si>
  <si>
    <t>CAP. D. OSCAR ANTONIO MUÑOZ ARCOS</t>
  </si>
  <si>
    <t>CAP. D. DAVID GARCIA  SEDANO</t>
  </si>
  <si>
    <t>52547742</t>
  </si>
  <si>
    <t>28481712</t>
  </si>
  <si>
    <t>45633196</t>
  </si>
  <si>
    <t>75264290</t>
  </si>
  <si>
    <t>50127639</t>
  </si>
  <si>
    <t>20195219</t>
  </si>
  <si>
    <t>52102782</t>
  </si>
  <si>
    <t>17151172</t>
  </si>
  <si>
    <t>44287468</t>
  </si>
  <si>
    <t>71130634</t>
  </si>
  <si>
    <t>17453262</t>
  </si>
  <si>
    <t>34992687</t>
  </si>
  <si>
    <t>42068430</t>
  </si>
  <si>
    <t>25079222</t>
  </si>
  <si>
    <t>51089709</t>
  </si>
  <si>
    <t>18169459</t>
  </si>
  <si>
    <t>28959402</t>
  </si>
  <si>
    <t>25183884</t>
  </si>
  <si>
    <t>05240361</t>
  </si>
  <si>
    <t>09171300</t>
  </si>
  <si>
    <t>5.  Living in Colleta di Castelbianco ……In the following extract, a speaker talks about the place in which she livesFor the interviewee, what is the most important thing about Colleta?</t>
  </si>
  <si>
    <t>6.  Sporting event ……Listen to this commentator at a sporting eventWhich sentence is correct according to what you have heard?</t>
  </si>
  <si>
    <t xml:space="preserve">7.  Palm Springs.   ……Listen to an extract from a report about the American city, Palm Springs.What is said about Palm Springs? </t>
  </si>
  <si>
    <t xml:space="preserve">8.  Titanic.        ……The following is an extract from a report about the Titanic.What is said about Titanic’s passengers? </t>
  </si>
  <si>
    <t>12.  Discussing a film  ……Listen to the following conversationWhere can be said about the speakers?</t>
  </si>
  <si>
    <t>13.  The colour of  food  ……Listen to the following extract about the colour of foodWhich statement is correct according to what you have heard?</t>
  </si>
  <si>
    <t xml:space="preserve">14. In the Office.         ……Listen to the following dialogue between office workers.What doesn’t Anna want to do? </t>
  </si>
  <si>
    <t>15.  Being on TV  ……Listen to a man talk about being on tvWhat does the man say about being on TV?</t>
  </si>
  <si>
    <t>16.  Commentary ……Listen to this commentary from a football stadiumWhich statement is correct?</t>
  </si>
  <si>
    <t>18.  Barbara Martinsons  ……Listen to an extract about Barbara Martinsons  What can we say about Barbara Martinsons?</t>
  </si>
  <si>
    <t>19.  Bio-gas systems  ……You are going to hear a woman talk about building bio-gas systems in IndiaWhich statement is correct about the project?</t>
  </si>
  <si>
    <t xml:space="preserve">20.  Scottish Military History.……The following is a report on Scottish military history.What is said about the military in Scotland? </t>
  </si>
  <si>
    <t xml:space="preserve">21.  Dull and Boring. ……The following is a report about a Scottish village called ‘Dull’.What is said about the village ‘Dull’ ? </t>
  </si>
  <si>
    <t>22.  US Army specialist  ……Listen to a US Army specialist  Which statement is correct about the man interviewed?</t>
  </si>
  <si>
    <t>23.  China’s population……The following is an extract about ChinaWhat can we say about China?</t>
  </si>
  <si>
    <t>24.  First career 1+/-2 B……Listen to a woman describe her first careerWhy did the speaker want to be interpreter?</t>
  </si>
  <si>
    <t xml:space="preserve">25.  Immunization in New Zealand                                                              ……Listen to an extract about Immunization in New Zealand What is said about immunization in New Zealand?                                                               </t>
  </si>
  <si>
    <t>26.  Teaching science to teenagers ……Listen to an passage about Teaching teenagers scienceWhat impression do we get from the extract?</t>
  </si>
  <si>
    <t>27.  Jerome Kerviel  ……The following is an extract about banker Jerome KervielWhich statement is correct about Jerome Kerviel?</t>
  </si>
  <si>
    <t>28.  Skydiving ……Listen to the following conversationWhat is the conversation about?</t>
  </si>
  <si>
    <t xml:space="preserve">29.  Oil.                               ……Listen to an extract from a report on oil.Which aspect of oil is the report concerned with?                                                                      </t>
  </si>
  <si>
    <t>30.  Fainting  ……You will now hear a  woman speak about faintingWhich statement is correct?</t>
  </si>
  <si>
    <t>31.  Wind Turbines  ……The following is an extract about Wind TurbinesWhat can be said about the speaker’s wind turbines?</t>
  </si>
  <si>
    <t>32.  Minimalist house  ……Listen to an extract about the home of architect, Gary Chang According to the speaker:</t>
  </si>
  <si>
    <t>33.  Iraq ten years on……The following is an extract from a report on IrakWhat can be understood from the text?</t>
  </si>
  <si>
    <t>34.  Aviation ……Listen to this extract about aviation after the Second World WarWhat impression do we get about aviation after WW II ?</t>
  </si>
  <si>
    <t>35.  Hair implants ……The following is an extract from a report on tourism in TurkeyWhich sentence is correct about Turkey?</t>
  </si>
  <si>
    <t>36.  Flying  ……Listen to this extract about Felix BaumgartnerWhat is inferred about Felix?</t>
  </si>
  <si>
    <t>37.  The internet ……Listen to two people discuss the InternetWhat do the speakers say?</t>
  </si>
  <si>
    <t>38.  A train journey  ……Sirou told Matthew Bannister about the fateful night he boarded a train with his brother.Which statement is correct?</t>
  </si>
  <si>
    <t>39.  US clothing trends  ……Listen to an extract about clothing trendsWhich statement is correct according to the extract?</t>
  </si>
  <si>
    <t>40.  Being a student in Japan ……Listen to part of an interview with a student from JapanWhat can be said about students in Japan?</t>
  </si>
  <si>
    <t xml:space="preserve">2.  The Weekend.      ……Listen to a dialogue betweem two friends about the weekendWhat did Bill, the second speaker, do on the weekend? </t>
  </si>
  <si>
    <t>3.  A motivated worker ……Listen to a woman talking about her jobWhich statement is correct about the speaker?</t>
  </si>
  <si>
    <t xml:space="preserve">4.  The Jumper. ……Listen to a conversation about a jumper.How does the woman feel about the jumper?  </t>
  </si>
  <si>
    <t xml:space="preserve">9.   Paul Stewart and Chris Riddell.      ……The following is an extract from an interview with a writer.Which activity did the speaker enjoy when he was young? </t>
  </si>
  <si>
    <t>17.  Psychic powers  ……The following is an extract about psychic powersWhat is said about psychic powers?</t>
  </si>
  <si>
    <t>11.  A black family in Coventry……In the following extract, the speaker talks about being black in CoventryWhich statement is correct according to what you have heard?</t>
  </si>
  <si>
    <t xml:space="preserve">10. Team Meeting.          ……The following dialogue takes place at an office team meeting.What happened to the man? </t>
  </si>
  <si>
    <t>d)       It is a good place to work in</t>
  </si>
  <si>
    <t>a)      To  learn more languages</t>
  </si>
  <si>
    <t>c)       To  get a superficial  notion of things</t>
  </si>
  <si>
    <t>d)      To be able to express opinions</t>
  </si>
  <si>
    <t xml:space="preserve">d)      NZ has a 95% immunization rate.                                                                                    </t>
  </si>
  <si>
    <t>a)      The iraquis laugh at their problems</t>
  </si>
  <si>
    <t>b)      A positive view of the Iraqui people</t>
  </si>
  <si>
    <t>c)       There is lasting peace in Iraq now</t>
  </si>
  <si>
    <t>d)      There has been an Arab Spring</t>
  </si>
  <si>
    <t>a)      Jet technology was very advanced</t>
  </si>
  <si>
    <t>b)      Many  passenger planes crashed</t>
  </si>
  <si>
    <t>c)       Fatal  accidents were not very common</t>
  </si>
  <si>
    <t>d)      Accidents were usual in military training</t>
  </si>
  <si>
    <t>a)      It is difficult  to sell holidays there</t>
  </si>
  <si>
    <t>b)      Plastics surgery is cheap there</t>
  </si>
  <si>
    <t>c)       Plastic  surgery and holidays are combined</t>
  </si>
  <si>
    <t>d)      Tourists  shop for the cheapest operation</t>
  </si>
  <si>
    <t>a)      He parachuted as a child</t>
  </si>
  <si>
    <t xml:space="preserve">b)      He did his first jump at twelve </t>
  </si>
  <si>
    <t>c)       He dreamed of skydiving as a child</t>
  </si>
  <si>
    <t>d)      His Mum drew a picture of his first jump</t>
  </si>
  <si>
    <t>a)      They had computers when they were at school</t>
  </si>
  <si>
    <t>b)      They had internet in university</t>
  </si>
  <si>
    <t>c)       They are too old to use computers</t>
  </si>
  <si>
    <t>d)      They remember when there was no internet</t>
  </si>
  <si>
    <t>b)       To  learn a lot about different subjects</t>
  </si>
  <si>
    <t>b)      Mr. Chang has bought wheels to decorate his house</t>
  </si>
  <si>
    <t xml:space="preserve">c)       He has just painted his apartment walls. </t>
  </si>
  <si>
    <t>d)      Renovating his apartment took a long time.</t>
  </si>
  <si>
    <t xml:space="preserve">a)      Mr. Chang has modified his apartment. </t>
  </si>
  <si>
    <t>107R1</t>
  </si>
  <si>
    <t>EXAMEN 107R-1</t>
  </si>
  <si>
    <t>EXAMEN 107R-4</t>
  </si>
  <si>
    <t>107R-4</t>
  </si>
  <si>
    <t>107R-3</t>
  </si>
  <si>
    <t>EXAMEN 107R-3</t>
  </si>
  <si>
    <t>107R-2</t>
  </si>
  <si>
    <t>EXAMEN 107R-2</t>
  </si>
  <si>
    <t>&lt;b&gt;Crocodiles Escaped from a Farm.&lt;/b&gt;&lt;br&gt;Farmers in South Africa are trying to catch crocodiles. 15,000 crocodiles ran away from a farm after a big flood. Only half of the crocodiles are back. The other crocodiles are still at liberty. One of the animals ran away 75 miles from the farm. People saw it on a rugby field.</t>
  </si>
  <si>
    <t xml:space="preserve">&lt;b&gt;Baby Was Thrown From a Car. &lt;/b&gt;&lt;br&gt;A small baby girl fell out of a car. The baby fell onto the road.The baby was o.k. This happened in Russia. The baby’s father jumped out of the car and saved her. The baby wasn’t in a special car seat. She was lying in the back of the car. </t>
  </si>
  <si>
    <t>&lt;b&gt;Junk Food Tax to Stop Obesity.&lt;/b&gt;&lt;br&gt;The way to stop the U.K. from getting fatter is to make junk food much more expensive, experts say. Researchers say putting a special tax on things like burgers, sweets and fizzy drinks will put people off buying them. More than 10 million people in the U.K. are obese and 30,000 die each year from problems caused by their weight. A similar plan in America led to a big drop in sales of sugary drinks.</t>
  </si>
  <si>
    <t>&lt;b&gt;Solar Plane Completes Trip From  Switzerland To Morocco.&lt;/b&gt;&lt;br&gt;A plane powered just by the sun’s rays has flown from Switzerland to Morocco. It is the first time a plane has been able to fly across continents without using any fuel. The flying machine’s wings are covered in solar panels which turn the sun’s rays into electricity to power the plane’s propellers. The plane’s engineers are hoping that by 2014 they will be able to use it to fly all around the world.</t>
  </si>
  <si>
    <t>&lt;b&gt;Too Many Children Can’t Swim Properly. &lt;/b&gt;&lt;br&gt;Too many children are leaving school without being able to swim properly, say swimming campaigners. A report by the Amateur Swimming Association (ASA) says all primary school children should have swimming lessons. They are worried because four out of ten children have never been offered lessons at school. Swimming should be compulsory at school for seven to eleven-year-olds, the campaigners claim. Children should be able to swim unaided for at least 25 meters. They want more parents to take their children swimming, more local pools to be kept open, and more help for swimmers at secondary schools.</t>
  </si>
  <si>
    <t>&lt;b&gt;Water Buffalo Rescued From Well in China.&lt;/b&gt;&lt;br&gt;You would expect to find water at the bottom of a well but not a water buffalo! But that’s what villagers in Yulin, South China found. Firefighters arrived at the scene to find the water buffalo’s head sticking out of the water’s surface. They tried to fill the well with water so the buffalo would rise to the top but the animal got stuck. In the end, two wooden logs were used to lift the animal out by its back legs. According to the water buffalo’s owner, it had accidentally slipped into the well while grazing outside the house.</t>
  </si>
  <si>
    <t>&lt;b&gt;Billionaire Brothers Build Noah’s Ark Theme Park. First News. May 25 2012.  1/1+ B       &lt;/b&gt;&lt;br&gt;Billionaire brothers have built the world’s only full-scale Noah’s Ark. The boat is exactly the same size as it says in the Bible. The ark project was brought to life by three property billionaire brothers who had it built in Hong Kong. Inside the Ark, real-life exotic animals can be found. Now, the Noah’s Ark Park Theme Park is being run by Christian organisations, who are using it to promote peace and unity. Although this is the only Noah’s Ark built to scale, it is just one of a number of real-life Noah’s Arks, including one built by a Dutchman that contains pairs of living animals.</t>
  </si>
  <si>
    <t>&lt;b&gt;Police Charge Ex-Sun Boss Over Phone Hacking. &lt;/b&gt;&lt;br&gt;The former boss of ‘The Sun’ has been charged by police over phone-hacking. Rebekah Brooks and her husband are accused of hiding important documents and computers from police. It’s all part of a big investigation into newspaper journalists illegally listening to people’s voicemail. Mrs. Brooks, who used to run two newspapers, says she knew nothing about phone-hacking going on. They will appear in court with four others also charged with the offence. Two people were jailed in 2007 for hacking into Prince William’s phone. These new charges are the first since the police launched a new investigation in January 2011.</t>
  </si>
  <si>
    <t>&lt;b&gt;Earthquake Rocks English Town. &lt;/b&gt;&lt;br&gt;An earthquake has hit the small market town of Ludlow in Shropshire. It was a 2.5 magnitude quake and happened about nine miles below the ground. No one was injured. As the earthquake was small lots of people in the area didn’t notice it and only found out about it on the news.</t>
  </si>
  <si>
    <t>&lt;b&gt;More People Dying in Traffic Accidents Due to Headphones. &lt;/b&gt;&lt;br&gt;A report has warned that more and more people are dying in traffic accidents because they are wearing headphones and can’t hear warnings from trains or cars. Serious injuries to pedestrians wearing headphones have more than tripled in 6 years. Over 70% of accidents have resulted in death for the pedestrian. The distraction caused by iPods and smartphones is known as ‘inattentional blindness’. As well as being distracted visually by the gadget, your hearing is also reduced and you can’t hear car or train horns.</t>
  </si>
  <si>
    <t>&lt;b&gt;Old Christmas Trees Help Protect Sand Dunes. &lt;/b&gt;&lt;br&gt;The National Trust is using more than 5,000 recycled Christmas trees for an important project at the Formby Point Sand Dunes in England. These sand dunes are the largest in the U.K. but they are slowly eroding because of wind and waves. The project involves placing the trees in rows in areas where the dunes are most at risk. The trees will then catch the sand as it blows across the beach. Very slowly, the sand will build up around the trees until they are buried.</t>
  </si>
  <si>
    <t>&lt;b&gt;Papier Machè Rhino ‘Escapes’ from Japanese Zoo.&lt;/b&gt;&lt;br&gt;Ever wondered how a zoo prepares for an animal escape? Using two men in a papier machè rhino of course! Over 100 staff took part in this bizarre drill, which tries to recreate what would happen if a rhino escaped after an earthquake. Once keepers had surrounded the ‘rhino’ with a net, it was tranquillized and captured, before the two staff inside the suit were allowed to return to their normal duties.</t>
  </si>
  <si>
    <t xml:space="preserve">&lt;b&gt;James Cameron Completes his Dive to Deepest Point on Earth. &lt;/b&gt;&lt;br&gt;Hollywood movie director, James Cameron, has completed his challenge to dive to the deepest point on the planet. He reached the bottom of the Mariana Trench in the Pacific Ocean in a specially designed one-man submarine, the Deepsea Challenger. The trench is a massive seven miles deep and is 120 times bigger than the Grand Canyon. The ‘Avatar’ director is the first person to go there in over 50 years. Cameron stayed down in the trench for three hours. He collected samples to see what scientists can learn about life in the deepest part of the ocean. The whole expedition was filmed and there are plans to make the footage into an epic 3D film. </t>
  </si>
  <si>
    <t xml:space="preserve">&lt;b&gt;Director had Doubts over Daniel Craig as Bond. &lt;/b&gt;&lt;br&gt;The director of the new James Bond film has admitted he wasn’t sure Daniel Craig was the right man for the job when he was first chosen to play 007. Oscar-winning director, Sam Mendes made the comments at the media launch of the 23rd Bond movie, ‘Skyfall’. “I was one of the people who said I didn’t think he was right for the casting,” he said. But Mendes has since admitted he was wrong, saying Craig has passed the test of playing Bond “with flying colors”. ‘Skyfall’ will be Craig’s third Bond film. The story will not be connected to the previous two films and there are reports the plot involves a rift between Bond and M, his boss played by Dame Judi Dench. </t>
  </si>
  <si>
    <t>&lt;b&gt;Europe’s Oldest Intact Book Bought For 9 Million Pounds. &lt;/b&gt;&lt;br&gt;The Saint Cuthbert Gospel, the oldest book to survive intact in Europe, has been bought by the British Library. The Library- in London- raised nine million pounds to buy it. The Gospel is in amazing condition for a book that is over 1,300 years old. It was found in a saint’s coffin in Durham, in the North East of England, more than 900 years ago. The St. Cuthbert Gospel is currently on display in the British Library. It will be shared with Durham Cathedral and will go on show in the city next year. The Dean of Durham Cathedral said: “It is the best possible news to know that the Cuthbert Gospel has been saved for the nation. For the people of Durham and North East England, this is a most treasured book.”</t>
  </si>
  <si>
    <t>&lt;b&gt;Africa’s World Bank Hopes Dashed as Okonjo-Iweala Loses.&lt;/b&gt;&lt;br&gt;African nations have had their hopes dashed with the selection of Jim Yong Kim to head the World Bank, side-stepping the chance to put and African woman with 20 years’ financial experience into the top job. Much of African had supported the Nigerian Finance Minister, Ngozi Okonjo-Iweala, for the role. But the decision has not come as surprise, not even for Ms. Okonjo-Iweala. “You know this thing is not really being decided on merit,” she said before the announcement. Dr. Kime, an American public health professor, was the candidate favored by the US despite the fact that Mrs. Oknonjo-Iweala cut her teeth as managing director of the World Bank in 2007 and has a formidable track record as an economist.</t>
  </si>
  <si>
    <t>&lt;b&gt;Praying for Rain in Paraguay. &lt;/b&gt;&lt;br&gt;A severe drought is threatening the livelihood of thousands of small farmers across Paraguay. Rosa is hoping for a miracle. She has barely seen rain since October and has lost almost all of her crops. She and her husband, Gregorio, earn some cash and feed themselves from their field of six hectares. Their plight is typical of the critical situation facing thousands of small farmers in Paraguay as the country endures one of the worst droughts in history. Several countries in Latin America have been feeling the lack of rain. But Paraguay is the worst-affected country. Unlike Brazil and Argentina, its main income comes from agriculture and cattle farming, both severely damaged by the drought. Paraguay is still not in recession although the longer the drought lasts, the quicker the country could slip into the red.</t>
  </si>
  <si>
    <t xml:space="preserve">&lt;b&gt;Oetzi the Iceman’s Nuclear Genome Gives New Insights.&lt;/b&gt;&lt;br&gt;New clues have emerged in what could be described as the world’s oldest murder case: that of Oetzi the “Iceman”, whose 5,300-year-old body was discovered frozen in the Italian Alps in 1991. Oetzi’s full genome has now been reported in ‘Nature Communications’. It reveals that he had brown eyes, ‘0’ blood type, was lactose intolerant, and was predisposed to heart disease. It also shows him to be the first documented case of infection by a Lyme disease bacterium. Analysis of a series on anomalies in the Iceman’s DNA also revealed him to be more closely related to modern inhabitants of Corsica and Sardinia than to populations in the Alps,  where he was unearthed. </t>
  </si>
  <si>
    <t>&lt;b&gt;Electric Car Check-in Points Introduced in Northern Ireland. &lt;/b&gt;&lt;br&gt;Driving an electric car in Northern Ireland is now more convenient, as more than 40 charging points are now in place. The new stations can take between one and six hours to fully charge each vehicle, but soon drivers will also be able to stop at rapid charge points, which will be dotted around the country’s major motorways and will charge a car in about 25 minutes. The Department for Regional Development hopes that the project will prepare Northern Ireland for the future. Resident Mojav Abdulah said: “I think it’s better for the environment, for safety and everything.” However some people think that the scheme is being planned too far ahead, as electric vehicles are still very expensive and not many people own one. Over 100 electric car stations are planned to be in place by March 2013.</t>
  </si>
  <si>
    <t xml:space="preserve">&lt;b&gt;School Kids in Norway are not as Fit as Previous Generations.&lt;/b&gt;&lt;br&gt;School kids in Norway are not as fit as previous generations, according to a new study. Researchers looked at times taken to run 3km for boys and girls between 1969 and 2009. On average, boys take 80 seconds longer and girls take 60 seconds longer than they used to. </t>
  </si>
  <si>
    <t>&lt;b&gt;Elephants Flee Mount Kenya Fires.&lt;/b&gt;&lt;br&gt;Experts are worried that forest fires on Mount Kenya in East Africa many have been started on purpose. Wildlife officials think poachers might have set the fires to draw attention away from them as they hunt elephants for the ivory in their tusks. Lots of elephants other animals live on the mountain and they’ve been moving lower down to escape the fire. It’s not unusual for fires to start here but experts think areas where the fires have started are suspicious. Lightning can sometimes cause fires to start but there haven’t been any storms there recently.</t>
  </si>
  <si>
    <t>&lt;b&gt;Leeds City Council Bans Dogs From Certain Areas. &lt;/b&gt;&lt;br&gt;Leeds City Council is trying to cut down on unruly dog behavior by banning dogs from certain areas. School grounds, remembrance sites and wildlife areas have all been marked as dog-free zones since New Year’s Day. The new ruling also states that dogs must always be kept on a lead on footpaths, roads and grass verges around the cities and members of the public can only walk four dogs at a time.</t>
  </si>
  <si>
    <t>&lt;b&gt;Indian Couple Have Children Taken Away for Feeding them by Hand. &lt;/b&gt;&lt;br&gt;An Indian couple living in Norway have had their children taken away from them by social services for feeding them with their hands. Anurup and Sagarika Bhattacharya had their two children taken away by Norwegian social services. The couple were accused of inappropriate behavior. Anrup Bhattacharya said, “Feeding a child with the hands is normal in Indian tradition.” Although the Indian Government has tried to help, Norway’s Child Protection Service is refusing to back down. The children will now only be allowed to see their parents twice a year until they’re 18. Lots of people say that Norway’s Child Protection Services are too strict. A Un report in 2005 criticized Norway for taking too many children into public care.</t>
  </si>
  <si>
    <t>&lt;b&gt;Roald Dahl and CS Lewis Rejected Queen’s Honors. &lt;/b&gt;&lt;br&gt;Authors Roald Dahl and CS Lewis both turned down honors from the Queen, according to official government records just released. The man behind ‘The BFG’, ‘Witches’ and ‘The Twits’, Dahl, rejected an OBE in 1986, and C.S. Lewis, who wrote the ‘Narnia’ books, turned down a CBE in 1952. The list only includes people who declined and honor between 1951 and 1999 and who have since died. In total, 277 people are on the list. The information is so secret that it’s only been published after a BBC Freedom of Information request.</t>
  </si>
  <si>
    <t>&lt;b&gt;Two Lost ‘Doctor Who’ Episodes are Found. &lt;/b&gt;&lt;br&gt;Two long lost episodes of ‘Doctor Who’ have been found in a fan’s collection. Terry Burnett bought the films at a village fete near Southampton in the early 1980s – and didn’t realize how important they were. The black and white programs were first broadcast in the 1960s. The BBC didn’t always keep episodes and they would wipe tapes because they didn’t think anyone would want to see the grainy films again. A total of 106 episodes of the Time Lord’s adventures are still missing from the BBC archive.</t>
  </si>
  <si>
    <t>&lt;b&gt;First Ever Christmas Card on Display. &lt;/b&gt;&lt;br&gt;The world’s first Christmas card was sent in 1843 by a British man, Henry Cole. He loved writing letters, but to write to all his friends would have taken him weeks, so he decided to have 1,000 cards printed and posted these instead. Henry was a civil servant by day but he was also a clever businessman and the ones he didn’t use, he sold for a profit. He charged 6 pence, which put them out of the reach of ordinary people. But they became more and more popular and now we send cards to our friends and family every year. There are very few of Henry’s original cards around now, but you can still see one on display at the British Postal Museum and Archive in London.</t>
  </si>
  <si>
    <t>&lt;b&gt;Indonesia’s Tiger Habitat Pulped for Paper, Investigation Shows. &lt;/b&gt;&lt;br&gt;The habitat of the endangered Sumatran tiger is being rapidly destroyed in order to make tissues and paper packaging for consumer products in the west, new research from Greenpeace shows. A year-long investigation has uncovered clear evidence that appears to show that ramin trees from the Indonesian rainforest have been chopped down and sent to factories to be pulped and turned into paper. Chopping down these trees is illegal under Indonesian law dating back to 2001, because of their status as an endangered plant species. But Greenpeace alleges that its researchers found ramin logs being prepared to be transported for pulping. The company tested logs in lumber yards belonging to the paper giant Asian Pulp and Paper. Out of 59 samples, 46 tested positive as ramin logs. Asian Pulp and Paper denied any wrongdoing and claims to maintain a strict zero-tolerance policy for illegal wood entering its pulp-mill operations.</t>
  </si>
  <si>
    <t xml:space="preserve">&lt;b&gt;Tobacco Firms Celebrate as Judge Rules Against Graphic Images on Packets. &lt;/b&gt;&lt;br&gt;A judge has blocked a federal requirement that would have forced US tobacco companies to put large graphic images on their cigarette packets later this year to show the dangers of smoking. U.S. District Judge Richard Leon in Washington ruled that the mandate to put the images, which include the corpse of a smoker and diseased lungs, on cigarette packets violated the free speech amendment of the constitution. He said it was likely cigarette makers would succeed in a lawsuit which could take years to resolve. That decision is already being appealed by the government. In his ruling, Leon wrote that the graphic images “were neither designed to protect the consumer from confusion or deception, nor to increase consumer  awareness of smoking risks; rather they were crafted to evoke a strong emotional response calculated to provoke the viewer to quit or never start smoking.” </t>
  </si>
  <si>
    <t>&lt;b&gt;Roman Helmet Shows Britons Fighting For the Romans.&lt;/b&gt;&lt;br&gt;It’s taken 10 years to restore but a Roman helmet from Britain’s Iron Age is going on display to the public. The decorated Roman cavalry helmet was discovered at the site of Hallaton in Leicestershire. Experts said it dates from close to the Roman invasion of 43 AD, which could mean that Celtic tribes were serving with the Roman army. The helmet was discovered in tiny bits and has now been completely rebuilt by a team at the British Museum. They think it was designed to be used in special ceremonies,  rather than in battle. “It’s a really important find,” says Dr Jeremy Hill, from the museum. “Hallaton transforms our understanding of the Roman conquest of Britain. We normally think of the Roman Conquest as ‘Romans versus us’. Here you probably have a situation where local Britons are fighting on the Roman side.</t>
  </si>
  <si>
    <t>&lt;b&gt;Shipping: EU Tightens Sulfur Limit in Marine Fuels. &lt;/b&gt;&lt;br&gt;A new EU directive has come into effect to cut sulfur emissions from shipping and thereby reduce air pollution. Airborne sulfur is a major cause of acid rain that harms crops and buildings. The pollution also contributes to human health problems. The EU member states have until April 17 2014 to amend their laws on marine fuels. The maximum sulfur content in marine fuels will be cut from 3.5% to 0.5% and to 0.1% in very fragile ecosystems. The 0.1% limit is being set for the Baltic Sea and North Sea, including the English Channel. The 0.5% limit will be phased in before January 2020. Environment analysts say the new rules will particularly benefit people living near ports, where pollution from shipping frequently breaches EU air quality standards.</t>
  </si>
  <si>
    <t xml:space="preserve">1.       What is said about the crocodiles?              </t>
  </si>
  <si>
    <t>a)       They have all been caught</t>
  </si>
  <si>
    <t>b)       Many were seen on a Rugby field</t>
  </si>
  <si>
    <t>c)       They attacked the farmers</t>
  </si>
  <si>
    <t>d)       Some are still free</t>
  </si>
  <si>
    <t xml:space="preserve">2.       What is said about the baby?                   </t>
  </si>
  <si>
    <t>a)       She was injured</t>
  </si>
  <si>
    <t>b)       Her father rescued her</t>
  </si>
  <si>
    <t>c)       She was travelling in a special seat</t>
  </si>
  <si>
    <t>d)       Her father was in the back of the car</t>
  </si>
  <si>
    <t xml:space="preserve">3.       What is stated in the report? </t>
  </si>
  <si>
    <t>a)       A tax has been put on junk food in the U.K.</t>
  </si>
  <si>
    <t>b)       Americans are generally slimmer than Britons</t>
  </si>
  <si>
    <t>c)       Millions of Britons are overweight</t>
  </si>
  <si>
    <t>d)       People are buying fewer sugary drinks in the U.K.</t>
  </si>
  <si>
    <t xml:space="preserve">4.       What is said about the plane? </t>
  </si>
  <si>
    <t>a)       It used alot of fuel</t>
  </si>
  <si>
    <t>b)       It only needs the sun to fly</t>
  </si>
  <si>
    <t>c)       It has flown around the world</t>
  </si>
  <si>
    <t>d)       Its journey began in Morocco</t>
  </si>
  <si>
    <t xml:space="preserve">5.       What is said about children and swimming? </t>
  </si>
  <si>
    <t>a)       Their parents are encouraging them to swim</t>
  </si>
  <si>
    <t>b)       Some children don’t have  school swimming lessons</t>
  </si>
  <si>
    <t>c)       Children stop having swimming lessons at high school</t>
  </si>
  <si>
    <t>d)       Swimming lessons are compulsory for school children</t>
  </si>
  <si>
    <t>6.       What is said about the water buffalo in the well?</t>
  </si>
  <si>
    <t>a)       It cannot be removed</t>
  </si>
  <si>
    <t>b)       It was discovered by villagers</t>
  </si>
  <si>
    <t>c)       It was rescued by its owner</t>
  </si>
  <si>
    <t>d)       It was found by firefighters</t>
  </si>
  <si>
    <t xml:space="preserve">7.       What is said about the Noah’s Ark Theme Park? </t>
  </si>
  <si>
    <t>a)       It was funded by Christian organisations</t>
  </si>
  <si>
    <t>b)       It houses living animals</t>
  </si>
  <si>
    <t>c)       There is another that is the same size</t>
  </si>
  <si>
    <t>d)       It was built by a Dutchman</t>
  </si>
  <si>
    <t xml:space="preserve">8.       What is said about Rebekah Brooks? </t>
  </si>
  <si>
    <t>a)       She says she is ignorant of the phone-hacking</t>
  </si>
  <si>
    <t>b)       He husband has accused her of phone-hacking</t>
  </si>
  <si>
    <t>c)       She hacked into Prince William’s phone</t>
  </si>
  <si>
    <t>d)       She has admitted to the phone-hacking</t>
  </si>
  <si>
    <t xml:space="preserve">9.       What is said about the earthquake? </t>
  </si>
  <si>
    <t>a)       Many people were hurt</t>
  </si>
  <si>
    <t>b)       It damaged buildings</t>
  </si>
  <si>
    <t>c)       Many people didn’t know it occurred</t>
  </si>
  <si>
    <t>d)       It happened in a large town</t>
  </si>
  <si>
    <t xml:space="preserve">10.    According to the report;                                                                                                                 </t>
  </si>
  <si>
    <t xml:space="preserve">d)       ‘Inattentional blindness’ refers only to reduced sight.                                                    </t>
  </si>
  <si>
    <t xml:space="preserve">11.    What is said about the Christmas trees?                                                                              </t>
  </si>
  <si>
    <t>a)       They are now buried.</t>
  </si>
  <si>
    <t>b)       They are a threat to sand dunes.</t>
  </si>
  <si>
    <t>c)       They are at risk from wind and waves.</t>
  </si>
  <si>
    <t xml:space="preserve">d)       They will help maintain the sand dunes.                                                                          </t>
  </si>
  <si>
    <t>12.    What took place at the zoo?</t>
  </si>
  <si>
    <t>a)       A rhino escaped</t>
  </si>
  <si>
    <t>b)       A rhino was tranquillized</t>
  </si>
  <si>
    <t>c)       A practice drill</t>
  </si>
  <si>
    <t xml:space="preserve">d)       An earthquake                                                                                                                   </t>
  </si>
  <si>
    <t xml:space="preserve">13.    Which statement is true? </t>
  </si>
  <si>
    <t>a)       The trench is almost as big as the Grand Canyon</t>
  </si>
  <si>
    <t>b)       Cameron is the first person ever to go to the trench</t>
  </si>
  <si>
    <t>c)       Cameron visited the trench unaccompanied</t>
  </si>
  <si>
    <t>d)       Cameron remained in the trench for a couple of hours</t>
  </si>
  <si>
    <t xml:space="preserve">14.    Which statement is true? </t>
  </si>
  <si>
    <t>a)       Sam Mendes realized he was mistaken about Craig</t>
  </si>
  <si>
    <t>b)       Daniel Craig has never been in a Bond film</t>
  </si>
  <si>
    <t>c)       Sam Mendes was proved right about Craig</t>
  </si>
  <si>
    <t>d)       Dame Judi Dench is in conflict with Craig</t>
  </si>
  <si>
    <t>15.    What is said about the book of St Cuthbert’s Gospel?</t>
  </si>
  <si>
    <t>a)       It has suffered a lot of damage</t>
  </si>
  <si>
    <t>b)       It is owned by the British Library</t>
  </si>
  <si>
    <t>c)       Durham Cathedral plans to purchase it</t>
  </si>
  <si>
    <t>d)       It was discovered in London</t>
  </si>
  <si>
    <t xml:space="preserve">16.    Which of the following is true? </t>
  </si>
  <si>
    <t>a)       The decision was completely unexpected</t>
  </si>
  <si>
    <t>b)       Ms. Okonjo-Iweala is new to the World Bank</t>
  </si>
  <si>
    <t>c)       Ms. Okonjo-Iweala has an impressive reputation</t>
  </si>
  <si>
    <t>d)       Dr. Kime was the candidate favored by Africa</t>
  </si>
  <si>
    <t xml:space="preserve">17.    What is said about Paraguay? </t>
  </si>
  <si>
    <t>a)       It is recovering from a drought</t>
  </si>
  <si>
    <t>b)       It depends heavily on agriculture</t>
  </si>
  <si>
    <t>c)       It has had a lot of rain since October</t>
  </si>
  <si>
    <t xml:space="preserve">d)       It has entered into a recession    </t>
  </si>
  <si>
    <t xml:space="preserve">18.    What is said about Oetzi the Iceman? </t>
  </si>
  <si>
    <t>a)       He was closely related to inhabitants in the Alps</t>
  </si>
  <si>
    <t>b)       He struggled with heart disease</t>
  </si>
  <si>
    <t>c)       He died of a bacterium infection</t>
  </si>
  <si>
    <t xml:space="preserve">d)       He was unable to digest milk                                                                                             </t>
  </si>
  <si>
    <t xml:space="preserve">19.    What statement is true? </t>
  </si>
  <si>
    <t>a)       Electric cars can now be charged more quickly</t>
  </si>
  <si>
    <t>b)       There are more than 100 electric car stations in place</t>
  </si>
  <si>
    <t>c)       There are some doubts about the planned car stations</t>
  </si>
  <si>
    <t xml:space="preserve">d)       Northern Ireland has the greatest number of electric car users    </t>
  </si>
  <si>
    <t xml:space="preserve">20.    What is said about school kids in Norway? </t>
  </si>
  <si>
    <t>a)       They are fitter than previously</t>
  </si>
  <si>
    <t>b)       Boys show a greater drop in fitness levels</t>
  </si>
  <si>
    <t>c)       Girls can outrun boys</t>
  </si>
  <si>
    <t xml:space="preserve">d)       Girls show a greater drop in fitness levels                                                                   </t>
  </si>
  <si>
    <t>21.    Which statement is true?</t>
  </si>
  <si>
    <t>a)       It is thought the fire was deliberately lit</t>
  </si>
  <si>
    <t>b)       Lightening is believed to have caused the fire</t>
  </si>
  <si>
    <t>c)       The elephants are moving to the mountain peak</t>
  </si>
  <si>
    <t xml:space="preserve">d)       Poachers have tried to put out the fire     </t>
  </si>
  <si>
    <t>a)       Dogs are prohibited on footpaths and roads.</t>
  </si>
  <si>
    <t>b)       Dogs can enter school grounds if they are controlled.</t>
  </si>
  <si>
    <t>c)       Dogs must be restrained on grass verges.</t>
  </si>
  <si>
    <t xml:space="preserve">d)       People can walk an unlimited number of dogs.                                                            </t>
  </si>
  <si>
    <t xml:space="preserve">23.    The report states that;                                                                                                                  </t>
  </si>
  <si>
    <t>a)       The Indian couple was arrested.</t>
  </si>
  <si>
    <t>b)       The Indian couple violated Indian tradition.</t>
  </si>
  <si>
    <t>c)       Norway’s Child Protection  Service has faced criticism.</t>
  </si>
  <si>
    <t xml:space="preserve">d)       Norway’s Child Protection Service was influenced by public opinion.                        </t>
  </si>
  <si>
    <t xml:space="preserve">24.    According to the report;                                                                                                                </t>
  </si>
  <si>
    <t>a)       Roald Dahl and C.S. refused to accept accolades from the Queen.</t>
  </si>
  <si>
    <t>b)       277 people are on the list of those honored by the Queen.</t>
  </si>
  <si>
    <t>c)       The people on the list demanded its publication.</t>
  </si>
  <si>
    <t xml:space="preserve">d)       No-one rejected honors from the Queen prior to 1951.                                                   </t>
  </si>
  <si>
    <t xml:space="preserve">25.    What is said about the rediscovered ‘Doctor Who’ episodes?                                                  </t>
  </si>
  <si>
    <t>a)       They were created in the 1980s.</t>
  </si>
  <si>
    <t>b)       The BBC had preserved them.</t>
  </si>
  <si>
    <t>c)       They had been purchased by an enthusiast.</t>
  </si>
  <si>
    <t xml:space="preserve">d)       They complete a total of 106 rediscovered episodes.                                                   </t>
  </si>
  <si>
    <t xml:space="preserve">26.    What is said about Henry Cole?                                                                                                          </t>
  </si>
  <si>
    <t>a)       He made Christmas cards available to ordinary people.</t>
  </si>
  <si>
    <t>b)       He created Christmas cards specifically to be sold.</t>
  </si>
  <si>
    <t>c)       His early cards are now rare.</t>
  </si>
  <si>
    <t>d)       His Christmas cards lost popularity.                                                                                      C</t>
  </si>
  <si>
    <t xml:space="preserve">27.    What is said about ramin trees? </t>
  </si>
  <si>
    <t>a)       Asian Pulp and Paper confessed to using them</t>
  </si>
  <si>
    <t>b)       Most of the logs tested were from ramin trees</t>
  </si>
  <si>
    <t>c)       Greenpeace cannot prove they were being used</t>
  </si>
  <si>
    <t xml:space="preserve">d)       They are no longer protected in Indonesia       </t>
  </si>
  <si>
    <t xml:space="preserve">28.    Which statement is true?                                                                                                                </t>
  </si>
  <si>
    <t>a)       U.S. Tobacco companies have to display warning images</t>
  </si>
  <si>
    <t>b)       The judge said the requirement interfered with free speech</t>
  </si>
  <si>
    <t>c)       The judge stated that graphic images will protect the consumer</t>
  </si>
  <si>
    <t>d)       Cigarette makers are now involved in a complicated law suit</t>
  </si>
  <si>
    <t xml:space="preserve">29.    What is said about the Roman helmet?                                                                                       </t>
  </si>
  <si>
    <t>a)       It proves that Celtic tribes fought alongside the Romans.</t>
  </si>
  <si>
    <t>b)       It was found in its complete form.</t>
  </si>
  <si>
    <t>c)       It was believed to have been used in combat.</t>
  </si>
  <si>
    <t xml:space="preserve">d)       It could influence knowledge of Roman domination of Britain.                                     </t>
  </si>
  <si>
    <t xml:space="preserve">30.    Which statement is true?                                      </t>
  </si>
  <si>
    <t>a)       Sulfur emissions have not been known to harm humans</t>
  </si>
  <si>
    <t>b)       Sulfur emissions from shipping now exceed those from land-based sources</t>
  </si>
  <si>
    <t>c)       The sulfur content permitted in fuel will vary according to the region</t>
  </si>
  <si>
    <t>d)       People living inland are expected to benefit from the new regulations</t>
  </si>
  <si>
    <t>&lt;b&gt;Woman Fell Down at the Station.&lt;/b&gt;&lt;br&gt;A woman fell down onto the railway at Madrid’s metro station. The woman was fifty-two years old. She was lucky. A policeman was at the station. He came to her very quickly. He jumped down and helped the woman. There was also a doctor at the station. The doctor checked the woman. She was fine. She was not injured.</t>
  </si>
  <si>
    <t>&lt;b&gt;Big Floods in Indonesia. &lt;/b&gt;&lt;br&gt;People in Indonesia had to walk through high water which was caused by floods. Heavy rains made 60,000 people leave their homes. Two people have died. It started to rain one week ago. High waters affect (come to) Indonesia every year.</t>
  </si>
  <si>
    <t xml:space="preserve">&lt;b&gt;American Family Rescue and Free a Dolphin. &lt;/b&gt;&lt;br&gt;An American family have rescued a stranded dolphin from shallow water and set it free. Without their help, the dolphin could have died after the tide went out. But by chance they have seen a TV show about dolphins, so they knew what to do. “She was very heavy and very strong,” said Kerry Ware. “If it had been any later, we wouldn’t have been able t pull her out on sand alone.” </t>
  </si>
  <si>
    <t xml:space="preserve">&lt;b&gt;Sun to Keep Atacama Desert’s Grapes Growing. &lt;/b&gt;&lt;br&gt;One thing not lacking in Chile’s Atacama Desert is sunshine. Being the driest desert on Earth, it boasts some of the highest levels of sunshine in the world. Here in the north of Chile, clouds appear on about 30 days a year at most. Such weather conditions, combined with huge stretches of empty land along the Pacific coast, should make it an ideal place to tap the sun for energy. But solar panels are almost nowhere to be seen. So a small solar park in Copiapo Valley seems strangely lost among the orange-red hills and mountains of the Atacama. </t>
  </si>
  <si>
    <t xml:space="preserve">&lt;b&gt;World’s Oldest Musical Instruments Found in German Cave. &lt;/b&gt;&lt;br&gt;Researchers have identified what they say are the oldest musical instruments in the world. The flutes made from bird bone and mammoth ivory were found in a cave in southern Germany. Scientists used a technique called carbon dating to prove that the flutes were between 42,000 and 43,000 years old. The musical instruments were used for religious rituals. </t>
  </si>
  <si>
    <t>&lt;b&gt;Living With Alzheimer’s. &lt;/b&gt;&lt;br&gt;Four out of ten people in the UK know someone who suffers from Alzheimer’s disease. The problem affects the brain causing sufferers to lose their memories and become easily confused. Around 800,000 people in Britain have the disease and it is now affecting more and more people. There isn’t a cure for it but the government has said it will give more money to help sufferers and their families.</t>
  </si>
  <si>
    <t>&lt;b&gt;Jubilee Pageant Breaks World Record. &lt;/b&gt;&lt;br&gt;A million people turned out in the rain to watch The Diamond Jubilee Pageant on the River Thames on Sunday. The once-in-a-lifetime, record-breaking event took place on Sunday afternoon. A thousand boats sailed, rowed, or motored down the river, breaking the record for the largest parade of boats. Nothing like this has happened for around 300 years, and not even the typical British weather could dampen anyone’s spirits.</t>
  </si>
  <si>
    <t>&lt;b&gt;Our Galaxy is Heading for a Big Collision. &lt;/b&gt;&lt;br&gt;Here’s the bad news – our galaxy is on a collision course and is set to crash into a neighbouring one. The good news is that it won’t happen for four billion years. Astronomers have used the Hubble Space Telescope to work out when our Milky Way galaxy and the Andromeda galaxy will smash into each other. They are being pulled together by gravity, and two billion years after colliding they will exist as one single galaxy. They are 2.5 million light years apart at the moment and travelling together at 250,000 miles-per-hour. Scientists believe it’s unlikely the Earth will be destroyed when it finally happens.</t>
  </si>
  <si>
    <t>&lt;b&gt;British Adventurer Rescued from Pacific Ocean. &lt;/b&gt;&lt;br&gt;British adventurer Sarah Outen has been rescued after getting caught in a storm in the Pacific Ocean. She’d been trying to be the first woman to row alone from Japan to Canada. The 26-year-old had been rowing for 24 days when the storm hit and her boat rolled over and was damaged. She was rescued by the Japanese coastguards but had to leave her boat Gulliver in the ocean. The row was just one part of an epic 20,000-mile around-the-world solo expedition that Sarah started earlier this year.</t>
  </si>
  <si>
    <t>&lt;b&gt;Massive Boulder Crushes U.S. House.&lt;/b&gt;&lt;br&gt;A large boulder has crushed a house and two cars in the U.S. state of Ohio. Luckily the people who live there were in another part of the house when it happened, so no-one was hurt. The massive boulder broke off a hillside and hit electricity poles as it rolled towards the house. Rescuers say it could take up to a week to remove the rock. It’s thought heavy rain caused the huge rock to become loose. Neighbors say it sounded like thunder.</t>
  </si>
  <si>
    <t xml:space="preserve">&lt;b&gt;Sea Lion House at Knowsley Safari Park gets Solar Panels. &lt;/b&gt;&lt;br&gt;Knowsley Safari Park’s sea lions have gone eco-friendly. The energy for their house is being supplied by solar panels. The sea lion house used to be very expensive to run, as it needs constant light and heat. It is hoped that the solar panels will help to reduce both the park’s electricity bills and its carbon footprint. This isn’t the only way the park has become eco-friendly. They have also installed environmentally –friendly heating in their antelope house.  The park plans to install a digital display inside the sea lion house so that visitors can see just how much electricity the solar panels are generating each day. Any spare energy generated by the panels will be used to power the children’s fairground rides next to the sea lion house. </t>
  </si>
  <si>
    <t>&lt;b&gt;Panama Castaway Teen Adrian Vasquez Returns Home.               &lt;/b&gt;&lt;br&gt;A Panamanian teenager has returned home after spending 28 days stranded on a boat in the Pacific Ocean. Adrian Vazquez, 18, headed out on the fishing vessel with two friends. The boat’s motor failed and the boat then drifted away from the shore. Mr. Vazquez’s two friends died but he survived by drinking rainwater. He was rescued when his boat was found 1,000km off the mainland, near the Galapagos Islands. He was given medical attention by the Ecuadorean navy before being flown back to Panama. Mr. Vazquez was met by relatives at Panama City airport. He told reporters he had never given up hope of being rescued and he told Ecuadorean authorities he owed his survival to a sudden rainstorm that replenished his water supply.</t>
  </si>
  <si>
    <t>&lt;b&gt;The Two-Ton Elephant That Said ‘Goodbye’ to the Circus.&lt;/b&gt;&lt;br&gt;Off he went with a trumpety-trump, narrowly avoiding disaster as he stormed through a car park. It was a case of life imitating art when a 2.5-ton elephant named Baby escaped from a circus in southern Ireland. The 40-year-old elephant bolted away from his handlers and galloped through a retail park, towards a café full of stunned customers. No-one was injured, but a video filmed from a nearby office showed that keepers had trouble keeping up with Baby as he stormed around the car park. The manager of Costa Coffee said: “The elephant wasn’t happy. I’d say he was scared as there were a lot of cars and a lot of people around.”Baby’s handlers claimed he ran away from the circus because he didn’t want to take a shower, but insisted that no one was in danger during the incident. Residents might count themselves lucky, however, as runaway elephants have often caused death and serious injury.</t>
  </si>
  <si>
    <t>&lt;b&gt;Munch’s ‘Scream Most Expensive Art Ever Sold at Auction. &lt;/b&gt;&lt;br&gt;Edvard Munch’s ‘The Scream’ has sold for $119.9 million in New York, making it the most expensive art work ever to be auctioned. Seven people were bidding for the world famous artwork at Sotherby’s auction house but it was finally snapped up by a bidder over the phone. The crowd was so impressed, they clapped after the sale. Munch made three other versions but this pastel is special as he wrote a poem on the frame, explaining his inspiration for the piece. Art expert Michael Frahm said: “Together with the Mona Lisa, it’s the most famous and recognized image in art history.” Two of the other versions of ‘The Scream’ were stolen in 1994 and 2004. Both were later found and put back on exhibition.</t>
  </si>
  <si>
    <t xml:space="preserve">&lt;b&gt;French Village Pince to Hand Out Chickens to Cut Waste. &lt;/b&gt;&lt;br&gt;A French village has proposed giving two chickens to each household to order to cut down on organic waste. Officials in the village of Pince in north-western France say the chickens should each consume 150kg of rubbish per year. It is hoped that as well as reducing waste, the chickens will help families save money by providing eggs. Those who express an interest will receive their chickens in September, officials say. “It will reinforce community links, just as people look after their neighbours’ cats and dogs while they’re away, they’ll also look after the chickens,” said the community mayor. Between 15 and 20 households are believed to have shown an interest in the scheme so far. </t>
  </si>
  <si>
    <t>&lt;b&gt;Shanghai to Open First All-Male School. &lt;/b&gt;&lt;br&gt;Applications have just closed for the first all-male school in Shanghai. The experiment has been started to try to solve a crisis in schooling, which has seen girls perform much better than boys. Some parents are worried that boys will not be able to talk to girls normally if they don’t attend mixed schools.</t>
  </si>
  <si>
    <t>&lt;b&gt;Prince Harry Gives Charity Award in America. &lt;/b&gt;&lt;br&gt;Prince Harry has been given a prize in America for his charity work with wounded servicemen and women. He is a supporter of charities which help the armed forces, and in 2008 he worked in Afghanistan with the British army. The prince gave a speech at Monday night’s ceremony in Washington. He paid tribute to ‘selfless’ wounded veterans, saying: “They have paid a terrible price to keep us safe and free.” He was given the special award by American politician Colin Powell, who used to be in charge of U.S. armed forces. Prince Harry also accepted the award on behalf of his brother Prince William, who does similar charity work.</t>
  </si>
  <si>
    <t xml:space="preserve">&lt;b&gt;Does Sleep Quality Improve with Age? &lt;/b&gt;&lt;br&gt;The belief that older people tend to suffer worse sleep may be false – in fact the reverse may be true, according to U.S. researchers. A telephone survey of more than 150,000 adults suggested that, apart from a blip in your 40s, sleep quality gets better with age. Those in their 80s reported the best sleep. While poor health can affect sleep, it is a ‘myth’ that age alone is a factor. Although being depressed or having health problems is linked to poor sleep quality, once the researchers adjusted the results to compensate for this, a distinct pattern emerged. They found that complaints about poor sleep quality fell as age rose, with the lowest number of complaints coming from the over-70s. The only exception to this trend was middle age, where sleep quality was poorer. </t>
  </si>
  <si>
    <t>&lt;b&gt;Is This Taking Advantage of Homeless People? &lt;/b&gt;&lt;br&gt;A marketing company has caused a huge fuss by getting homeless people to act as Wi-Fi routers. The men and women were paid twelve pounds a day to be a ‘homeless hotspot’ and also received any money that people paid to use Wi-Fi. Some say it helped the homeless to earn money, while others think that the scheme just took advantage of vulnerable people.</t>
  </si>
  <si>
    <t>&lt;b&gt;Tokyo Search for Young Penguin Escapee.&lt;/b&gt;&lt;br&gt;An aquarium in Tokyo is trying to locate an escaped penguin seen heading for Tokyo Bay. The escapee, a one-year-old Humboldt penguin, was spotted swimming in a river mouth in the Japanese capital. An official from the harbor-front aquarium said the bird appeared to have scaled a wall in its bid for freedom. The Humboldt penguin hatched last January and lives with 134 penguins in an enclosure at Tokyo Sea Life Park. “We first noticed the penguin might have fled when the director of a neighboring zoo e-mailed us with a photo,” a park official told the news agency. He said officials were struggling to recapture it because it swam “at a tremendous speed”. The 60-centimeter long penguin was snapped bathing in the mouth of the Kyu-Edo River, which runs into Tokyo Bay.</t>
  </si>
  <si>
    <t>&lt;b&gt;Poor, Lonely and Cold: Life in Britain for the Over 60s. &lt;/b&gt;&lt;br&gt;The future for many of Britain’s older people is bleak according to an ‘Age U.K.’ report. 1.8 million people over state pension age are living in poverty, 3.3 million are unable to warm their homes and 800,000 are not receiving the care they need. “The older population is the fastest-growing, with 14.1 million people over 60. This number is greater than the under -16s,” said Mrs. Mitchell, Age UK’s charity director.  She added that inequality among the older population has increased with the gap in average life expectancy between the best and worst areas now standing at almost nine years. An estimated one million over -65s are malnourished, according to the report which calls for the coalition to draw up a framework of policies prioritizing older people. It suggests a ‘simpler’ state pension, a fuel poverty strategy, a tightening up of anti-age discrimination laws and wholesale reform of support and care services.</t>
  </si>
  <si>
    <t>&lt;b&gt;Is World Peace Possible? &lt;/b&gt;&lt;br&gt;Psychologist and cognitive scientist Steven Pinker at Harvard University thinks it is completely conceivable that wars between countries might go the way of slave auctions, debtors’ prisons and other barbaric customs. He argues that while there is plenty of violence around the world, and more ways of killing each other, we have witnessed fewer and fewer wars between countries since 1945. Not only is war at an all-time low, rates of homicide are far lower than they were in the Middle Ages, and issues like domestic violence are no longer seen as being acceptable. At a recent summit, he explained how we are predisposed to be violent but we are also predisposed to be peaceful. There are some parts of the brain that impel us to carry out violence, such as the thirst for revenge, feelings of tribalism, or the quest for dominance. But packed into the same skull there are motives that inhibit us from violence, like empathy and reason that allow us to see violence as a problem to be solved instead of a contest to be won.</t>
  </si>
  <si>
    <t>&lt;b&gt;Charity Rowers Finally Get Drinking Water. &lt;/b&gt;&lt;br&gt;Six British soldiers stranded in the Atlantic have finally received drinking water. The soldiers are rowing 3,000 miles for charity and had been waiting for supplies. They had been drinking emergency rations after their desalinator broke down. The crew, four of whom lost limbs war are hoping to raise one million pounds to help wounded soldiers. The crew was re-supplied with fresh water and they all celebrated with chocolate. It’s not all good news though as the lads now have a problem with their rudder –which is used to steer the boat – after it was ruined by the waves as they waited for supplies.</t>
  </si>
  <si>
    <t>&lt;b&gt;GB Gymnasts Qualify For London. &lt;/b&gt;&lt;br&gt;Great Britain’s male gymnast team has fully qualified for the Olympics for the first time in 20 years. The squad needed a top-four finish at London’s O2 Arena to secure their spot. And they beat France to win the event. They had missed their first chance to qualify for London 2012 at the World Championships in Tokyo, finishing 10th in team qualifying. It’s not since the 1992 Barcelona Olympics that a male British gymnastic team has been at the games. The squad said the home crowd gave them an advantage. But now there’s a new battle ahead – seven gymnasts are in the current team, but only five can be chosen for the GB Olympic team this summer.</t>
  </si>
  <si>
    <t>&lt;b&gt;What Makes You Happy With Life. &lt;/b&gt;&lt;br&gt;A big children’s charity has asked 30,000 children what makes them happy and unhappy. Topping the list of unhappiness is ‘not getting on with family’, but moving house and money problems also make children feel sad. The Children’s Society reckons half a million children in the UK could be unhappy. But experts at the charity say they’ve also worked out what will make kids happy. Some of them are things that adults might have more control over. The charity’s six ways to be sure of growing up happy are: The chance to learn, a positive view of yourself, important experiences, positive relationships with family and friends, a safe home life and positive activities.</t>
  </si>
  <si>
    <t>&lt;b&gt;HS2: Phase One of High-Speed Rail Line Gets Go-Ahead. &lt;/b&gt;&lt;br&gt;A controversial new high- speed rail line between London and Birmingham has been given the go-ahead by government. This first phase of High Speed Two (HS2) could be running by 2026, later extending to northern England. Transport Secretary Justine Greening has announced extra tunneling along the 90-mile (140km) first phase in response to environmental concerns. Opponents also dispute government claims the whole project will cost 32 billion pounds and deliver benefits worth 47 billion pounds. Ms Greening called the line “the most significant transport infrastructure project since the building of the motorways. By following in the footsteps of the 19th Century railway pioneers, the government is signaling its commitment to providing 21st Century infrastructure and connections – laying the groundwork for long-term, sustainable economic growth,” she said. The minister pledged a commitment to “developing a network with the lowest feasible impacts on local communities and the natural environment.”</t>
  </si>
  <si>
    <t>&lt;b&gt;Skyscrapers Linked With Impending Financial Crashes. &lt;/b&gt;&lt;br&gt;There is an ‘unhealthy correlation’ between the building of skyscrapers and subsequent financial crashes, according to Barclays Capital. Examples include the Empire State building, built as the Great Depression was under way, and the current world’s tallest, the Burj Khalifa, built just before Dubai almost went bust. China is currently the biggest builder of skyscrapers, the bank said. India also has 14 skyscrapers under construction. “Often the world’s tallest buildings are simply the edifice of a broader skyscraper building boom, reflecting a widespread misallocation of capital and an impending economic correction,” Barclays Capital analysts said. The bank noted that the world’s first skyscraper, the Equitable Life building in New York, was completed in 1873 and coincided with a five-year recession. It was demolished in 1912. Other examples include Chicago’s Willis Tower in 1974 and Malaysia’s Petronas Towers in 1997. The findings might be a concern for Londoners, who are currently seeing the construction of what will be Western Europe’s tallest building, the Shard.</t>
  </si>
  <si>
    <t xml:space="preserve">&lt;b&gt;French Bank Credit Agricole to Cut 2,350 Jobs. &lt;/b&gt;&lt;br&gt;French bank Credit Agricole, one of the most exposed to the eurozone debt crisis, has said it will cut 2,350 jobs worldwide. But the bank said: “Against challenging market conditions the Credit Agricole Group will post a profit for 2011. “About 850 jobs are to be lost in France, it said. Most of the cuts – 1,750 – will come from its corporate and investment bank, Cacib. Credit Agricole employs 160,000 people, a third of them outside of France. Its unit, Cacib, employs about 15,000 people globally, including 4,600 in France. Earlier this month, ratings agency Moody’s downgraded France’s three big banks due to their difficulty borrowing money. </t>
  </si>
  <si>
    <t>&lt;b&gt;Latin America’s Biggest Airline LATAM is approved. &lt;/b&gt;&lt;br&gt;The merger of two major Latin American airlines has been approved, creating the largest carrier in the region. Brazil’s anti-trust authorities said they approved the merger of the Brazilian airline TAM with Chile’s LAN, first proposed in 2010. The new airline, LATAM, is valued at about $14.5bn and will represent 6% of global air transport. The combined airline would fly to 115 destinations in 23 countries, with a 40,000 strong workforce. Chile’s anti-trust authorities had already approved the merger but had set eleven conditions, including fewer flights to the Peruvian capital, Lima. Brazil’s body also set some conditions, including a reduction in the number of flights between Sao Paulo and Santiago and that the two airlines join a single international body. TAM is a member of the Star Alliance group of airlines. Meanwhile, LAN is a member of the Oneworld airline alliance. The airlines have not yet said which one they will join.</t>
  </si>
  <si>
    <t>&lt;b&gt;Fifth Night of Rioting in Belfast. &lt;/b&gt;&lt;br&gt;Protests in Northern Ireland’s capital, Belfast, have turned violent for a fifth night in a row. Police say they fired plastic bullets as weapons were used to attack officers and their vehicles. Four people were arrested, bringing the total since the protests began to 100. Street protests have been held in Belfast since early December when councilors voted that the union flag should only be flown over the City Hall on special occasions. On Monday evening, 400 people attended what police said began as a ‘largely peaceful’ protest outside City Hall. Trouble broke out later on with a number of objects like bottles being thrown at protesters. Police worked to break up the crowd, and officers were attacked with petrol bombs, bricks, stones and bottles. Politicians in Belfast and London have condemned the violence.</t>
  </si>
  <si>
    <t xml:space="preserve">1.       Which statement is true?                                     </t>
  </si>
  <si>
    <t>a)       A doctor rescued the woman</t>
  </si>
  <si>
    <t>b)       A policeman fell onto the railway</t>
  </si>
  <si>
    <t>c)       The woman was hurt in the fall</t>
  </si>
  <si>
    <t>d)       A policeman assisted the woman</t>
  </si>
  <si>
    <t xml:space="preserve">2.       What is stated in the report?                               </t>
  </si>
  <si>
    <t>a)       Hundreds of people died in the flood</t>
  </si>
  <si>
    <t>b)       Floods are unusual in Indonesia</t>
  </si>
  <si>
    <t>c)       Many people have gone from their homes</t>
  </si>
  <si>
    <t>d)       It has now stopped raining</t>
  </si>
  <si>
    <t xml:space="preserve">3.       What is said about the dolphin? </t>
  </si>
  <si>
    <t>a)       The family were able to save it</t>
  </si>
  <si>
    <t>b)       It was on a T.V. show</t>
  </si>
  <si>
    <t>c)       It was stuck on a rock</t>
  </si>
  <si>
    <t>d)       It had become weak</t>
  </si>
  <si>
    <t xml:space="preserve">4.       What is said about the Atacama Desert? </t>
  </si>
  <si>
    <t xml:space="preserve">a)       It is rarely cloudy  </t>
  </si>
  <si>
    <t xml:space="preserve">b)       It has regular rainfall </t>
  </si>
  <si>
    <t>c)       There are many solar panels</t>
  </si>
  <si>
    <t>d)       It is easy to get lost there</t>
  </si>
  <si>
    <t xml:space="preserve">5.       What is said about the musical instruments? </t>
  </si>
  <si>
    <t>a)       They were made of wood</t>
  </si>
  <si>
    <t>b)       They were used for entertainment</t>
  </si>
  <si>
    <t>c)       They could possibly be old</t>
  </si>
  <si>
    <t>d)       They were used in spiritual practises</t>
  </si>
  <si>
    <t>6.       What is said about Alzheimer’s in the UK?</t>
  </si>
  <si>
    <t>a)       It is now rare</t>
  </si>
  <si>
    <t>b)       It can be cured</t>
  </si>
  <si>
    <t>c)       It is now more common</t>
  </si>
  <si>
    <t>d)       It affects four out of ten people</t>
  </si>
  <si>
    <t xml:space="preserve">7.       What is said about the Jubilee Pageant? </t>
  </si>
  <si>
    <t>a)       It place on a fine day</t>
  </si>
  <si>
    <t>b)       A million people saw it on T.V.</t>
  </si>
  <si>
    <t>c)       The boat parade took place in the sea</t>
  </si>
  <si>
    <t>d)       The boat parade was the biggest of its kind</t>
  </si>
  <si>
    <t xml:space="preserve">8.       What is said about our galaxy? </t>
  </si>
  <si>
    <t>a)       It will be destroyed in a crash</t>
  </si>
  <si>
    <t>b)       Scientists believe it will crash this century</t>
  </si>
  <si>
    <t>c)       Scientists can’t work out when the crash will happen</t>
  </si>
  <si>
    <t>d)       It will crash in the distant future</t>
  </si>
  <si>
    <t xml:space="preserve">9.       What is said about Sarah Outen? </t>
  </si>
  <si>
    <t>a)       She rowed to Japan</t>
  </si>
  <si>
    <t>b)       Her  boat could not be saved</t>
  </si>
  <si>
    <t>c)       She was injured in the storm</t>
  </si>
  <si>
    <t>d)       The coastguards couldn’t save her</t>
  </si>
  <si>
    <t xml:space="preserve">10.    What is said about the boulder? </t>
  </si>
  <si>
    <t>a)       It was loosened by thunder</t>
  </si>
  <si>
    <t>b)       It caused injuries</t>
  </si>
  <si>
    <t>c)       It has been removed</t>
  </si>
  <si>
    <t xml:space="preserve">d)       It damaged property                                                                                                             </t>
  </si>
  <si>
    <t xml:space="preserve">11.    What is said about the sea lion house? </t>
  </si>
  <si>
    <t>a)       It uses energy from the children’s fairground</t>
  </si>
  <si>
    <t>b)       It needs both warmth and brightness</t>
  </si>
  <si>
    <t>c)       It will be more expensive with solar panels</t>
  </si>
  <si>
    <t xml:space="preserve">d)       The solar panels fail to generate much electricity                                                              </t>
  </si>
  <si>
    <t xml:space="preserve">12.    What is said about Panamanian teenager, Adrian Vazquez? </t>
  </si>
  <si>
    <t>a)       He went out alone on the boat</t>
  </si>
  <si>
    <t>b)       He thought he would never be rescued</t>
  </si>
  <si>
    <t>c)       He was stuck on the Galapagos Islands</t>
  </si>
  <si>
    <t>d)       He stayed alive by consuming rainwater</t>
  </si>
  <si>
    <t xml:space="preserve">13.    What is said about the elephant? </t>
  </si>
  <si>
    <t>a)       He was frightened by a storm</t>
  </si>
  <si>
    <t xml:space="preserve">b)        He damaged a lot of property </t>
  </si>
  <si>
    <t>c)        He could not be captured</t>
  </si>
  <si>
    <t>d)       He didn’t hurt anyone</t>
  </si>
  <si>
    <t>14.    What is said about the artwork, ‘The Scream’?</t>
  </si>
  <si>
    <t>a)       It was bought by someone in the auction house</t>
  </si>
  <si>
    <t>b)       The auction crowd was angry about the sale</t>
  </si>
  <si>
    <t>c)       It is a little-known work of art</t>
  </si>
  <si>
    <t>d)       The artist made a few versions of it</t>
  </si>
  <si>
    <t xml:space="preserve">15.    Which statement is true? </t>
  </si>
  <si>
    <t>a)       The majority of households are not interested in the idea</t>
  </si>
  <si>
    <t>b)       The chickens are expected to reduce costs</t>
  </si>
  <si>
    <t>c)       All villagers will receive chickens in September</t>
  </si>
  <si>
    <t>d)       The community has become divided over the chickens</t>
  </si>
  <si>
    <t xml:space="preserve">16.    What is said in the report? </t>
  </si>
  <si>
    <t>a)       Boys communicate badly with girls</t>
  </si>
  <si>
    <t>b)       A school for girls only has opened</t>
  </si>
  <si>
    <t>c)       Girls outshine boys at school</t>
  </si>
  <si>
    <t>d)       Parents worry about mixed schools</t>
  </si>
  <si>
    <t xml:space="preserve">17.    What is said about Prince Harry? </t>
  </si>
  <si>
    <t>a)       A charity gave him a prize for his contribution</t>
  </si>
  <si>
    <t>b)       His prize was accepted by his brother</t>
  </si>
  <si>
    <t>c)       He was wounded in Afghanistan</t>
  </si>
  <si>
    <t>d)       He promotes charities which aid the military</t>
  </si>
  <si>
    <t xml:space="preserve">18.    What did the study reveal about sleep? </t>
  </si>
  <si>
    <t>a)       Older people require more sleep</t>
  </si>
  <si>
    <t>b)       Sleep quality declines in middle age</t>
  </si>
  <si>
    <t>c)       Depressed people usually sleep a lot</t>
  </si>
  <si>
    <t xml:space="preserve">d)       Sleep patterns are unaffected by health                                                                             </t>
  </si>
  <si>
    <t xml:space="preserve">19.    Which of the following is true? </t>
  </si>
  <si>
    <t>a)       The marketing company got a lot of support</t>
  </si>
  <si>
    <t>b)       The homeless people refused to cooperate</t>
  </si>
  <si>
    <t>c)       The idea got a mixed reaction from the public</t>
  </si>
  <si>
    <t xml:space="preserve">d)       The marketing company received money for Wi-Fi use     </t>
  </si>
  <si>
    <t xml:space="preserve">20.    What is said about the penguin? </t>
  </si>
  <si>
    <t>a)       It was released from captivity</t>
  </si>
  <si>
    <t>b)       It recaptured without difficulty</t>
  </si>
  <si>
    <t>c)       It is unable to swim quickly</t>
  </si>
  <si>
    <t xml:space="preserve">d)       It was photographed in a river     </t>
  </si>
  <si>
    <t xml:space="preserve">21.    Which statement is true? </t>
  </si>
  <si>
    <t>a)       Life expectancy is similar in all areas</t>
  </si>
  <si>
    <t>b)       The older population is declining</t>
  </si>
  <si>
    <t>c)       Changes to care services have been proposed</t>
  </si>
  <si>
    <t xml:space="preserve">d)       A strategy to help with fuel has been implemented                                                            </t>
  </si>
  <si>
    <t xml:space="preserve">22.    According to the article;                                                                                                             </t>
  </si>
  <si>
    <t>a)       It is believed that wars could increase in the future</t>
  </si>
  <si>
    <t>b)       Humans have as much potential for peace as for violence</t>
  </si>
  <si>
    <t>c)       Incidents of domestic violence are decreasing</t>
  </si>
  <si>
    <t xml:space="preserve">d)       Homicide rates are now almost equal to those of the Middle Ages                         </t>
  </si>
  <si>
    <t xml:space="preserve">23.    What is said about the stranded soldiers?                                                                                </t>
  </si>
  <si>
    <t>a)       They urgently require drinking water.</t>
  </si>
  <si>
    <t>b)       They were rescuing wounded soldiers.</t>
  </si>
  <si>
    <t>c)       Their boat has suffered damage.</t>
  </si>
  <si>
    <t xml:space="preserve">d)       They have now requested chocolate.                                                                            </t>
  </si>
  <si>
    <t xml:space="preserve">24.    What is said about the British gymnasts?                                                                                   </t>
  </si>
  <si>
    <t>a)       They failed to qualify for the upcoming Olympics.</t>
  </si>
  <si>
    <t>b)       They were defeated by French gymnasts.</t>
  </si>
  <si>
    <t xml:space="preserve">c)       Not all of the present team will compete in the Olympics.  </t>
  </si>
  <si>
    <t xml:space="preserve">d)       They were discouraged by the home crowd.                                                                  </t>
  </si>
  <si>
    <t xml:space="preserve">25.    According to the report;                                                                                                                     </t>
  </si>
  <si>
    <t>a)       Children enjoy moving to a new home.</t>
  </si>
  <si>
    <t>b)       Children value getting on well with loved ones.</t>
  </si>
  <si>
    <t>c)       Adults have little influence over a child’s happiness.</t>
  </si>
  <si>
    <t xml:space="preserve">d)       The majority of children in the UK are unhappy.                                                           </t>
  </si>
  <si>
    <t xml:space="preserve">26.    According to the report;                                                                                                                     </t>
  </si>
  <si>
    <t>a)       The high-speed line with extend to northern England by 2026.</t>
  </si>
  <si>
    <t>b)       The proposal to build the line has been met with opposition.</t>
  </si>
  <si>
    <t>c)       The transport ministry has neglected to take the environment into account.</t>
  </si>
  <si>
    <t xml:space="preserve">d)       The government admits the cost of building the line will outweigh the benefits.        </t>
  </si>
  <si>
    <t xml:space="preserve">27.    What is said about skyscrapers?                                                                                                     </t>
  </si>
  <si>
    <t>a)       The majority of them are now found in India.</t>
  </si>
  <si>
    <t>b)       Londoners are opposed more of them being built.</t>
  </si>
  <si>
    <t>c)       Their construction is linked with financial mismanagement.</t>
  </si>
  <si>
    <t xml:space="preserve">d)       Their demolition hinders financial recovery.                                                                   </t>
  </si>
  <si>
    <t xml:space="preserve">28.    Which of the following is true?                                                                                                     </t>
  </si>
  <si>
    <t>a)       Most of Credit Agricole’s employees live outside of France.</t>
  </si>
  <si>
    <t>b)       Credit Agricole’s recent figures were positive.</t>
  </si>
  <si>
    <t>c)       Credit Agricole has remained shielded from the eurozone crisis.</t>
  </si>
  <si>
    <t xml:space="preserve">d)       Frances biggest banks can no longer borrow money.                                                       </t>
  </si>
  <si>
    <t xml:space="preserve">29.    The report states that;                                                                                                                     </t>
  </si>
  <si>
    <t>a)       LATAM will only service Latin America.</t>
  </si>
  <si>
    <t>b)       The merger is expected to be approved.</t>
  </si>
  <si>
    <t>c)       There are stipulations included in the merger.</t>
  </si>
  <si>
    <t xml:space="preserve">d)       There will be an increase in flights to Lima.                                                                       </t>
  </si>
  <si>
    <t xml:space="preserve">30.    Which statement is true?                                                                          </t>
  </si>
  <si>
    <t>a)       A total of four people have now been arrested</t>
  </si>
  <si>
    <t>b)       Councilors  want to fly the Union flag at times</t>
  </si>
  <si>
    <t>c)       Politicians have condemned the Belfast police</t>
  </si>
  <si>
    <t>d)       The protest on Monday occurred peacefully</t>
  </si>
  <si>
    <t>&lt;b&gt;Crocodiles Escaped from a Farm. &lt;/b&gt;&lt;br&gt;Farmers in South Africa are trying to catch crocodiles. 15,000 crocodiles ran away from a farm after a big flood. Only half of the crocodiles are back. The other crocodiles are still at liberty. One of the animals ran away 75 miles from the farm. People saw it on a rugby field.</t>
  </si>
  <si>
    <t>&lt;b&gt;Big Floods in Indonesia. News Texts.&lt;/b&gt;&lt;br&gt;People in Indonesia had to walk through high water which was caused by floods. Heavy rains made 60,000 people leave their homes. Two people have died. It started to rain one week ago. High waters affect (come to) Indonesia every year.</t>
  </si>
  <si>
    <t>&lt;b&gt;Billionaire Brothers Build Noah’s Ark Theme Park. &lt;/b&gt;&lt;br&gt;Billionaire brothers have built the world’s only full-scale Noah’s Ark. The boat is exactly the same size as it says in the Bible. The ark project was brought to life by three property billionaire brothers who had it built in Hong Kong. Inside the Ark, real-life exotic animals can be found. Now, the Noah’s Ark Park Theme Park is being run by Christian organisations, who are using it to promote peace and unity. Although this is the only Noah’s Ark built to scale, it is just one of a number of real-life Noah’s Arks, including one built by a Dutchman that contains pairs of living animals.</t>
  </si>
  <si>
    <t>&lt;b&gt;Massive Boulder Crushes U.S. House. &lt;/b&gt;&lt;br&gt;A large boulder has crushed a house and two cars in the U.S. state of Ohio. Luckily the people who live there were in another part of the house when it happened, so no-one was hurt. The massive boulder broke off a hillside and hit electricity poles as it rolled towards the house. Rescuers say it could take up to a week to remove the rock. It’s thought heavy rain caused the huge rock to become loose. Neighbors say it sounded like thunder.</t>
  </si>
  <si>
    <t>&lt;b&gt;Panama Castaway Teen Adrian Vasquez Returns Home. &lt;/b&gt;&lt;br&gt;A Panamanian teenager has returned home after spending 28 days stranded on a boat in the Pacific Ocean. Adrian Vazquez, 18, headed out on the fishing vessel with two friends. The boat’s motor failed and the boat then drifted away from the shore. Mr. Vazquez’s two friends died but he survived by drinking rainwater. He was rescued when his boat was found 1,000km off the mainland, near the Galapagos Islands. He was given medical attention by the Ecuadorean navy before being flown back to Panama. Mr. Vazquez was met by relatives at Panama City airport. He told reporters he had never given up hope of being rescued and he told Ecuadorean authorities he owed his survival to a sudden rainstorm that replenished his water supply.</t>
  </si>
  <si>
    <t>&lt;b&gt;Munch’s ‘Scream Most Expensive Art Ever Sold at Auction.&lt;/b&gt;&lt;br&gt;Edvard Munch’s ‘The Scream’ has sold for $119.9 million in New York, making it the most expensive art work ever to be auctioned. Seven people were bidding for the world famous artwork at Sotherby’s auction house but it was finally snapped up by a bidder over the phone. The crowd was so impressed, they clapped after the sale. Munch made three other versions but this pastel is special as he wrote a poem on the frame, explaining his inspiration for the piece. Art expert Michael Frahm said: “Together with the Mona Lisa, it’s the most famous and recognized image in art history.” Two of the other versions of ‘The Scream’ were stolen in 1994 and 2004. Both were later found and put back on exhibition.</t>
  </si>
  <si>
    <t>&lt;b&gt;Shanghai to Open First All-Male School. First News. May 31 2012.       1+/2-            C&lt;/b&gt;&lt;br&gt;Applications have just closed for the first all-male school in Shanghai. The experiment has been started to try to solve a crisis in schooling, which has seen girls perform much better than boys. Some parents are worried that boys will not be able to talk to girls normally if they don’t attend mixed schools.</t>
  </si>
  <si>
    <t xml:space="preserve">&lt;b&gt;Does Sleep Quality Improve with Age?  &lt;/b&gt;&lt;br&gt;The belief that older people tend to suffer worse sleep may be false – in fact the reverse may be true, according to U.S. researchers. A telephone survey of more than 150,000 adults suggested that, apart from a blip in your 40s, sleep quality gets better with age. Those in their 80s reported the best sleep. While poor health can affect sleep, it is a ‘myth’ that age alone is a factor. Although being depressed or having health problems is linked to poor sleep quality, once the researchers adjusted the results to compensate for this, a distinct pattern emerged. They found that complaints about poor sleep quality fell as age rose, with the lowest number of complaints coming from the over-70s. The only exception to this trend was middle age, where sleep quality was poorer. </t>
  </si>
  <si>
    <t>&lt;b&gt;Tokyo Search for Young Penguin Escapee. &lt;/b&gt;&lt;br&gt;An aquarium in Tokyo is trying to locate an escaped penguin seen heading for Tokyo Bay. The escapee, a one-year-old Humboldt penguin, was spotted swimming in a river mouth in the Japanese capital. An official from the harbor-front aquarium said the bird appeared to have scaled a wall in its bid for freedom. The Humboldt penguin hatched last January and lives with 134 penguins in an enclosure at Tokyo Sea Life Park. “We first noticed the penguin might have fled when the director of a neighboring zoo e-mailed us with a photo,” a park official told the news agency. He said officials were struggling to recapture it because it swam “at a tremendous speed”. The 60-centimeter long penguin was snapped bathing in the mouth of the Kyu-Edo River, which runs into Tokyo Bay.</t>
  </si>
  <si>
    <t>&lt;b&gt;Elephants Flee Mount Kenya Fires. &lt;/b&gt;&lt;br&gt;Experts are worried that forest fires on Mount Kenya in East Africa many have been started on purpose. Wildlife officials think poachers might have set the fires to draw attention away from them as they hunt elephants for the ivory in their tusks. Lots of elephants other animals live on the mountain and they’ve been moving lower down to escape the fire. It’s not unusual for fires to start here but experts think areas where the fires have started are suspicious. Lightning can sometimes cause fires to start but there haven’t been any storms there recently.</t>
  </si>
  <si>
    <t>&lt;b&gt;Indonesia’s Tiger Habitat Pulped for Paper, Investigation Shows.&lt;/b&gt;&lt;br&gt;The habitat of the endangered Sumatran tiger is being rapidly destroyed in order to make tissues and paper packaging for consumer products in the west, new research from Greenpeace shows. A year-long investigation has uncovered clear evidence that appears to show that ramin trees from the Indonesian rainforest have been chopped down and sent to factories to be pulped and turned into paper. Chopping down these trees is illegal under Indonesian law dating back to 2001, because of their status as an endangered plant species. But Greenpeace alleges that its researchers found ramin logs being prepared to be transported for pulping. The company tested logs in lumber yards belonging to the paper giant Asian Pulp and Paper. Out of 59 samples, 46 tested positive as ramin logs. Asian Pulp and Paper denied any wrongdoing and claims to maintain a strict zero-tolerance policy for illegal wood entering its pulp-mill operations.</t>
  </si>
  <si>
    <t>&lt;b&gt;Roman Helmet Shows Britons Fighting For the Romans. &lt;/b&gt;&lt;br&gt;It’s taken 10 years to restore but a Roman helmet from Britain’s Iron Age is going on display to the public. The decorated Roman cavalry helmet was discovered at the site of Hallaton in Leicestershire. Experts said it dates from close to the Roman invasion of 43 AD, which could mean that Celtic tribes were serving with the Roman army. The helmet was discovered in tiny bits and has now been completely rebuilt by a team at the British Museum. They think it was designed to be used in special ceremonies,  rather than in battle. “It’s a really important find,” says Dr Jeremy Hill, from the museum. “Hallaton transforms our understanding of the Roman conquest of Britain. We normally think of the Roman Conquest as ‘Romans versus us’. Here you probably have a situation where local Britons are fighting on the Roman side.</t>
  </si>
  <si>
    <t xml:space="preserve">1.       What is said about the crocodiles?                 </t>
  </si>
  <si>
    <t xml:space="preserve">2.       What is stated in the report?                                    </t>
  </si>
  <si>
    <t xml:space="preserve">11.    What is said about the Christmas trees?                                                                          </t>
  </si>
  <si>
    <t xml:space="preserve">d)       They will help maintain the sand dunes.                                                                      </t>
  </si>
  <si>
    <t xml:space="preserve">22.    According to the article;                                                                                                  </t>
  </si>
  <si>
    <t xml:space="preserve">d)       Homicide rates are now almost equal to those of the Middle Ages                        </t>
  </si>
  <si>
    <t xml:space="preserve">23.    The report states that;                                                                                                                      </t>
  </si>
  <si>
    <t xml:space="preserve">d)       Norway’s Child Protection Service was influenced by public opinion.                       </t>
  </si>
  <si>
    <t xml:space="preserve">24.    What is said about the British gymnasts?                                                                                     </t>
  </si>
  <si>
    <t xml:space="preserve">d)       They were discouraged by the home crowd.                                                              </t>
  </si>
  <si>
    <t xml:space="preserve">25.    What is said about the rediscovered ‘Doctor Who’ episodes?                                                   </t>
  </si>
  <si>
    <t xml:space="preserve">d)       They complete a total of 106 rediscovered episodes.                                                 </t>
  </si>
  <si>
    <t xml:space="preserve">26.    According to the report;                                                                                                                      </t>
  </si>
  <si>
    <t xml:space="preserve">d)       The government admits the cost of building the line will outweigh the benefits.      </t>
  </si>
  <si>
    <t xml:space="preserve">28.    Which of the following is true?                                                                                                       </t>
  </si>
  <si>
    <t xml:space="preserve">29.    What is said about the Roman helmet?                                                                                          </t>
  </si>
  <si>
    <t xml:space="preserve">30.    Which statement is true?                                                                            </t>
  </si>
  <si>
    <t>&lt;b&gt;Woman Fell Down at the Station. &lt;/b&gt;&lt;br&gt;A woman fell down onto the railway at Madrid’s metro station. The woman was fifty-two years old. She was lucky. A policeman was at the station. He came to her very quickly. He jumped down and helped the woman. There was also a doctor at the station. The doctor checked the woman. She was fine. She was not injured.</t>
  </si>
  <si>
    <t xml:space="preserve">&lt;b&gt;Baby Was Thrown From a Car.&lt;/b&gt;&lt;br&gt;A small baby girl fell out of a car. The baby fell onto the road.The baby was o.k. This happened in Russia. The baby’s father jumped out of the car and saved her. The baby wasn’t in a special car seat. She was lying in the back of the car. </t>
  </si>
  <si>
    <t>&lt;b&gt;Solar Plane Completes Trip From  Switzerland To Morocco. &lt;/b&gt;&lt;br&gt;A plane powered just by the sun’s rays has flown from Switzerland to Morocco. It is the first time a plane has been able to fly across continents without using any fuel. The flying machine’s wings are covered in solar panels which turn the sun’s rays into electricity to power the plane’s propellers. The plane’s engineers are hoping that by 2014 they will be able to use it to fly all around the world.</t>
  </si>
  <si>
    <t>&lt;b&gt;Water Buffalo Rescued From Well in China. &lt;/b&gt;&lt;br&gt;You would expect to find water at the bottom of a well but not a water buffalo! But that’s what villagers in Yulin, South China found. Firefighters arrived at the scene to find the water buffalo’s head sticking out of the water’s surface. They tried to fill the well with water so the buffalo would rise to the top but the animal got stuck. In the end, two wooden logs were used to lift the animal out by its back legs. According to the water buffalo’s owner, it had accidentally slipped into the well while grazing outside the house.</t>
  </si>
  <si>
    <t>&lt;b&gt;Papier Machè Rhino ‘Escapes’ from Japanese Zoo. &lt;/b&gt;&lt;br&gt;Ever wondered how a zoo prepares for an animal escape? Using two men in a papier machè rhino of course! Over 100 staff took part in this bizarre drill, which tries to recreate what would happen if a rhino escaped after an earthquake. Once keepers had surrounded the ‘rhino’ with a net, it was tranquillized and captured, before the two staff inside the suit were allowed to return to their normal duties.</t>
  </si>
  <si>
    <t>&lt;b&gt;The Two-Ton Elephant That Said ‘Goodbye’ to the Circus. &lt;/b&gt;&lt;br&gt;Off he went with a trumpety-trump, narrowly avoiding disaster as he stormed through a car park. It was a case of life imitating art when a 2.5-ton elephant named Baby escaped from a circus in southern Ireland. The 40-year-old elephant bolted away from his handlers and galloped through a retail park, towards a café full of stunned customers. No-one was injured, but a video filmed from a nearby office showed that keepers had trouble keeping up with Baby as he stormed around the car park. The manager of Costa Coffee said: “The elephant wasn’t happy. I’d say he was scared as there were a lot of cars and a lot of people around.”Baby’s handlers claimed he ran away from the circus because he didn’t want to take a shower, but insisted that no one was in danger during the incident. Residents might count themselves lucky, however, as runaway elephants have often caused death and serious injury.</t>
  </si>
  <si>
    <t xml:space="preserve">&lt;b&gt;Director had Doubts over Daniel Craig as Bond.&lt;/b&gt;&lt;br&gt;The director of the new James Bond film has admitted he wasn’t sure Daniel Craig was the right man for the job when he was first chosen to play 007. Oscar-winning director, Sam Mendes made the comments at the media launch of the 23rd Bond movie, ‘Skyfall’. “I was one of the people who said I didn’t think he was right for the casting,” he said. But Mendes has since admitted he was wrong, saying Craig has passed the test of playing Bond “with flying colors”. ‘Skyfall’ will be Craig’s third Bond film. The story will not be connected to the previous two films and there are reports the plot involves a rift between Bond and M, his boss played by Dame Judi Dench. </t>
  </si>
  <si>
    <t>&lt;b&gt;Africa’s World Bank Hopes Dashed as Okonjo-Iweala Loses. &lt;/b&gt;&lt;br&gt;African nations have had their hopes dashed with the selection of Jim Yong Kim to head the World Bank, side-stepping the chance to put and African woman with 20 years’ financial experience into the top job. Much of African had supported the Nigerian Finance Minister, Ngozi Okonjo-Iweala, for the role. But the decision has not come as surprise, not even for Ms. Okonjo-Iweala. “You know this thing is not really being decided on merit,” she said before the announcement. Dr. Kime, an American public health professor, was the candidate favored by the US despite the fact that Mrs. Oknonjo-Iweala cut her teeth as managing director of the World Bank in 2007 and has a formidable track record as an economist.</t>
  </si>
  <si>
    <t xml:space="preserve">&lt;b&gt;Oetzi the Iceman’s Nuclear Genome Gives New Insights. &lt;/b&gt;&lt;br&gt;New clues have emerged in what could be described as the world’s oldest murder case: that of Oetzi the “Iceman”, whose 5,300-year-old body was discovered frozen in the Italian Alps in 1991. Oetzi’s full genome has now been reported in ‘Nature Communications’. It reveals that he had brown eyes, ‘0’ blood type, was lactose intolerant, and was predisposed to heart disease. It also shows him to be the first documented case of infection by a Lyme disease bacterium. Analysis of a series on anomalies in the Iceman’s DNA also revealed him to be more closely related to modern inhabitants of Corsica and Sardinia than to populations in the Alps,  where he was unearthed. </t>
  </si>
  <si>
    <t>&lt;b&gt;Roald Dahl and CS Lewis Rejected Queen’s Honors.&lt;/b&gt;&lt;br&gt;Authors Roald Dahl and CS Lewis both turned down honors from the Queen, according to official government records just released. The man behind ‘The BFG’, ‘Witches’ and ‘The Twits’, Dahl, rejected an OBE in 1986, and C.S. Lewis, who wrote the ‘Narnia’ books, turned down a CBE in 1952. The list only includes people who declined and honor between 1951 and 1999 and who have since died. In total, 277 people are on the list. The information is so secret that it’s only been published after a BBC Freedom of Information request.</t>
  </si>
  <si>
    <t xml:space="preserve">1.       Which statement is true?                                            </t>
  </si>
  <si>
    <t xml:space="preserve">10.    According to the report;                                                                                                                  </t>
  </si>
  <si>
    <t xml:space="preserve">d)       ‘Inattentional blindness’ refers only to reduced sight.                                                      </t>
  </si>
  <si>
    <t xml:space="preserve">22.    According to the report;                                                                                                                </t>
  </si>
  <si>
    <t xml:space="preserve">d)       People can walk an unlimited number of dogs.                                                           </t>
  </si>
  <si>
    <t xml:space="preserve">23.    What is said about the stranded soldiers?                                                                                 </t>
  </si>
  <si>
    <t xml:space="preserve">d)       They have now requested chocolate.                                                                              </t>
  </si>
  <si>
    <t xml:space="preserve">24.    According to the report;                                                                                                                     </t>
  </si>
  <si>
    <t xml:space="preserve">d)       No-one rejected honors from the Queen prior to 1951.                                                </t>
  </si>
  <si>
    <t xml:space="preserve">25.    According to the report;                                                                                                                  </t>
  </si>
  <si>
    <t xml:space="preserve">d)       The majority of children in the UK are unhappy.                                                              </t>
  </si>
  <si>
    <t xml:space="preserve">d)       His Christmas cards lost popularity.                                                                                     </t>
  </si>
  <si>
    <t xml:space="preserve">27.    What is said about skyscrapers?                                                                                                       </t>
  </si>
  <si>
    <t xml:space="preserve">d)       Their demolition hinders financial recovery.                                                                     </t>
  </si>
  <si>
    <t xml:space="preserve">29.    The report states that;                                                                                                                    </t>
  </si>
  <si>
    <t xml:space="preserve">30.    Which statement is true?                                                                                                </t>
  </si>
  <si>
    <t>EXAMEN COMPRENSION TEXTOS ABRIL 2012</t>
  </si>
  <si>
    <t xml:space="preserve"> TEXTOS SEPT 2013</t>
  </si>
  <si>
    <t xml:space="preserve">Elderly People and Children. ……..1.    What can be said about the new type of home for the elderly?  </t>
  </si>
  <si>
    <t xml:space="preserve">Directions…….. 2.    What happened to the tourists? </t>
  </si>
  <si>
    <t>Saving fuel…….. 3.    According to the extract, what could be the solution to high fuel prices?</t>
  </si>
  <si>
    <t>Spiders……..4.    What does the speaker sometimes do when she sees a spider?</t>
  </si>
  <si>
    <t>Holiday plans……..5.    Why have the man’s holiday plans changed?</t>
  </si>
  <si>
    <t>Boy falls from a ride ……..6.    What happened to the boy after he fell off the ride?</t>
  </si>
  <si>
    <t>Japanese practice ……..7.    What do the Japanese normally do with people who have passed away?</t>
  </si>
  <si>
    <t>A sale……..8.    What does the man describe?</t>
  </si>
  <si>
    <t>Smoking kills……..9.    What can be said about smoking?</t>
  </si>
  <si>
    <t>Kindertransport……..10.  Why was Oliver’s experience traumatic?</t>
  </si>
  <si>
    <t>Earthquakes……..11.  What should the people in Southern California do?</t>
  </si>
  <si>
    <t xml:space="preserve">India……..12.  What could be said about India? </t>
  </si>
  <si>
    <t xml:space="preserve">What Can I Say in Singapore? ……..13.  Why is internet so popular in Singapore? </t>
  </si>
  <si>
    <t xml:space="preserve">Ecotourism  ……..14.  What can be said about eco-tourists? </t>
  </si>
  <si>
    <t>Bath   15……...  What can be said about the water in Bath?</t>
  </si>
  <si>
    <t xml:space="preserve">Tobacco……..16.  What can be said about tobacco? </t>
  </si>
  <si>
    <t>Glasgow ……..17.  What can be understood from the dialogue?</t>
  </si>
  <si>
    <t>Who was St. Valentine?…….. 18.  What has been revealed?</t>
  </si>
  <si>
    <t xml:space="preserve">Allergies ……..19.  What does the report say about allergies? </t>
  </si>
  <si>
    <t xml:space="preserve">The elephant……..20.  Why was the speaker angry? </t>
  </si>
  <si>
    <t>Bob Marley ……..21.  What can be said about Bob Marley’s music?</t>
  </si>
  <si>
    <t>Chinese art…….. 22.  What can be said about Chinese art?</t>
  </si>
  <si>
    <t>Marathons……..23.  What can be said about marathons?</t>
  </si>
  <si>
    <t>Nuclear power in Japan…….. 24.  What can be said about nuclear power in Japan??</t>
  </si>
  <si>
    <t xml:space="preserve">Making a complaint……..25.  Why is the man complaining? </t>
  </si>
  <si>
    <t>Interview with Bianca Jagger……..26.  What was a big influence on Bianca’s Jagger’s early  life?</t>
  </si>
  <si>
    <t>The Emperor……..27.  What can be said about Joshua Abraham Norton?</t>
  </si>
  <si>
    <t>Asking for more time……..28.  Which statement is correct?</t>
  </si>
  <si>
    <t>Living alone……..29.  What are some possible effects of living alone?</t>
  </si>
  <si>
    <t>Halloween……..30.  What can be said about Halloween?</t>
  </si>
  <si>
    <t>Wikipedia……..31.  Which statement is true about Jimmy Wales?</t>
  </si>
  <si>
    <t>Furniture delivery……..32.  Which statement is correct according to what you have heard?</t>
  </si>
  <si>
    <t>The iPad ……..33.  What is the most interesting about the iPad2?</t>
  </si>
  <si>
    <t>Walking or running……..34.  Which statement is true according to what you have heard?</t>
  </si>
  <si>
    <t xml:space="preserve">Accidents……..35.  What was the purpose of the report? </t>
  </si>
  <si>
    <t>Discovery……..36.  What can be said about the space shuttle Discovery?</t>
  </si>
  <si>
    <t>Knee pain…….. 37.  According to the speaker, what can best help to alleviate knee pain?</t>
  </si>
  <si>
    <t xml:space="preserve">St. Valentine’s Day……..38.  Regarding the history of Valentine’s Day, which of the following is true? </t>
  </si>
  <si>
    <t>Baby Doc Duvalier ……..39.  What can be said about Baby Doc?</t>
  </si>
  <si>
    <t>Political prisoners ……..40.  What has not been clear for the Canadian general public?a)    What their troops are doing in Afghanistan</t>
  </si>
  <si>
    <t>&lt;b&gt;President Sarkozy’s Son is Trouble over Tomato Incident.         &lt;/b&gt;&lt;br&gt;French President Nicolas Sarkozy 15-year-old son has been in trouble for pelting a police officer with tomatoes. The female officer was on duty at the Elysee Palace, guarding the president when she was hit on the cheek. Louis Sarkozy is President Sarkozy’s son from his first marriage. He lives in America but often comes to France to stay with his father. The president apologized to the officer.</t>
  </si>
  <si>
    <t>&lt;b&gt;Hero Saves Man’s Life.                                                       &lt;/b&gt;&lt;br&gt;Jack Easton was driving home from work at 6.30 in the evening when he saw a yellow van, driven by James Smith, crash into a tree. Without thinking of his own safety, he pulled the young man out of the van and took him to hospital. James is making good progress.</t>
  </si>
  <si>
    <t>&lt;b&gt;Schoolboy Hero                                   &lt;/b&gt;&lt;br&gt;Andrew Nelson, an 18-year-old schoolboy rescued four people from a helicopter crash. He was playing football at school when he saw the helicopter crash in a nearby field. Immediately Andrew ran a mile to get to the scene of the accident. Andrew, whose father is a flying instructor, knew the helicopter was in danger of exploding but he ran inside and pulled out four adults while the head teacher of his school phoned for an ambulance and the fire brigade.</t>
  </si>
  <si>
    <t xml:space="preserve">&lt;b&gt;Should Supermarket Carrier Bags be Banned?  &lt;/b&gt;&lt;br&gt;New European rules are being brought in to reduce the number of plastic carrier bags we use. In 2011, Italy became the first country in Europe to prohibit the bags but in 2010 the number of bags in the U.K. went up after four years of going down. More than six billion bags were used and campaigners want to reduce this number. Discarded bags in the sea cause some parts of the ocean to be like ‘plastic soup’, say politicians. Some countries have banned thin plastic bags, including China and South Africa. </t>
  </si>
  <si>
    <t>&lt;b&gt;Slovakian Castle Gets Badly Burned.                           &lt;/b&gt;&lt;br&gt;The 14th Century Krasna Horka castle has been badly burned, after two young boys set fire to grass while trying to light cigarettes. The boys, aged 11 and 12, caused a blaze that destroyed the castle’s roof and bell tower, as well as ten percent of the historical collections held there. The Krasna Horka has been a National Cultural Monument of the Slovak Republic since 1961.</t>
  </si>
  <si>
    <t>&lt;b&gt;Seven Rescued After Cargo Ship Crashes in Wales.  &lt;/b&gt;&lt;br&gt; A Royal Navy sea king helicopter and two lifeboats rescued seven crew members after a cargo ship ran aground in Wales. The ship crashed into rocks during a storm which saw gale force winds and five-meter tall waves battering it. Assistant Chief Constable Gareth Pritchard said: “This was a very difficult operation involving many agencies in very bad weather. Everyone is delighted that the seven crewmen were rescued without injury and they are safe and well. The Welsh Government is closely monitoring the ship to make sure that fuel doesn’t leak into the sea.</t>
  </si>
  <si>
    <t>&lt;b&gt;Three Rescued After Balloon Gets Trapped in Power Lines.  &lt;/b&gt;&lt;br&gt;Three people had to be rescued from a hot-air balloon after it got trapped in power cables in Northamptonshire. The canopy of the balloon became tangled in power lines as the pilot was trying to land in a playing field. Firefighters had to wait four hours for the electricity to be made safe before they could begin the rescue. The passengers were stuck 15 meters in the air for almost five hours, but no-one was badly hurt.</t>
  </si>
  <si>
    <t xml:space="preserve">&lt;b&gt;Scientists Have Created Toxic Glow Fish.                                &lt;/b&gt;&lt;br&gt;Fish that glow green when put in polluted water have been created in a British lab. It is hoped the luminous zebra fish will help improve the cleanliness of our rivers and help identify dangerous chemicals that get in to our water supply. The fish are designed so that the parts of their bodies harmed by pollutants light up. The advance was made at Exeter University. Chemicals from paints and many plastics often find their way in to our rivers, causing many creatures to have problems breeding as well as causing harm to humans. Professor Charles Tyler, who led the study, said: “This zebrafish gives us a better view than ever before of the potential effects of these chemicals on the body. It is very exciting.” </t>
  </si>
  <si>
    <t>&lt;b&gt;‘Yes Scotland’ Independence Campaign Kicks Off.  &lt;/b&gt;&lt;br&gt;The offical campaign to persuade people in Scotland to vote for independence is kicking off. A big vote, expected in 2014, will ask Scots whether they want Scotland to separate from the U.K. and become its own country. The ‘Yes Scotland’ campaign is being led by the Scottish National Party and the launch is set to include Scots from many different backgrounds. An opposing campaign to keep Scotland a part of the UK will also begin soon. Scotland has its own parliament at the moment and it has power over many things such as education, police and transport. But some things such as national security and foreign policy are decided by UK politicians in Westminster. Scotland has been united with England since 1707.</t>
  </si>
  <si>
    <t>&lt;b&gt;‘Big Cat’ Predator Ruled Out by DNA Tests.  &lt;/b&gt;&lt;br&gt;Lab tests on two deer found dead in Gloucestershire have ruled out them having been killed by a ‘big cat’. After weeks of testing by scientists, it’s looking more likely they were killed by a fox. Local people aren’t convinced though and believe that big cats are roaming around the Gloucestershire countryside. Rumors of big cats have been around there for some time, with locals describing a ‘panther-like’ animal living in the countryside.</t>
  </si>
  <si>
    <t xml:space="preserve">&lt;b&gt;Teenage Girl Breaks Sailing Record.  &lt;/b&gt;&lt;br&gt;Dutch 16-year-old, Laura Dekker, has become the youngest solo sailor ever to sail around the world. But Laura won’t be sailing into the record books. Dutch officials took legal action to try to stop Laura when she announced she was going to try to break the record in a small boat. Guinness World Records decided to stop recognizing records for youngest sailors because of the danger. But Laura won a 10-month court battle to make the journey after saying she would buy a bigger boat and learn first aid.  </t>
  </si>
  <si>
    <t xml:space="preserve">&lt;b&gt;Rowing adventure&lt;/b&gt;&lt;br&gt;Six rowers who were crossing the Atlantic Ocean have been rescued after their boat tipped over. The men, five from Britain and one from Ireland, were trying to break a record by rowing from Morocco to Barbados in under 30 days. The crew was 27 days into their adventure when they got into trouble. They were picked up by a ship and are expected to reach land by February 9.  </t>
  </si>
  <si>
    <t>&lt;b&gt;Golden Cape and Scarf Made of a Million Spider’s Silk.  &lt;/b&gt;&lt;br&gt;Spider-Man is known for spinning webs and swinging from building to building but maybe he should have thought of becoming a fashion designer! Later this month, the only large textiles in the world created from the silk of spiders goes on display. An embroidered cape and a 4-meter long scarf have both been spun for the silk of more than a million spiders. The clothes have taken seven years to create and they are a golden color. The cape and the scarf came from Golden Orb Weaver spiders collected in the highlands of Madagascar.</t>
  </si>
  <si>
    <t>&lt;b&gt;Great Barrier Reef Examined Over Fears of Mining Damage.  &lt;/b&gt;&lt;br&gt;A United Nations team are in Australia to investigate possible damage to the Great Barrier Reef by mining. Home to 400 types of coral and 1,500 species of fish, the Reef lies off the coast of Queensland, Australia’s biggest coal producer. Environmentalists are worried that coal mining and gas exploration are threatening the reef’s future. They say the plans to increase coal production will mean more big ships carrying coal will damage the reef. John Hepburn from Greenpeace called it, “a reckless expansion that will have direct impact.” The UN team will spend a week examining the reef for any signs of pollution or damage.</t>
  </si>
  <si>
    <t xml:space="preserve">&lt;b&gt;Male Dolphins Live in ‘Gangs’ to Protect Females.             &lt;/b&gt;&lt;br&gt;We already knew that dolphins are clever creatures but it turns out that they are even more like humans than we thought. Scientists studying bottlenose dolphins in Australia have discovered that the males live in gangs. By travelling in groups, the males have better chances of protecting their females and fighting off rival gangs. Until now, only humans and elephants were known to live in complex social groups. The study found that male dolphins can belong to around three separate groups, all of different sizes. When a gang encounters a group of males, they then decide if the new dolphins will be friends or enemies. Occasionally, the males even switch groups and join a different gang they meet on their travels. </t>
  </si>
  <si>
    <t>&lt;b&gt;Pakistan’s Sports Minister Wants to Share His Stamp Collection with World.  &lt;/b&gt;&lt;br&gt;Pakistan’s sports minister, Mohammed Ali Shah wants to change people’s perception of Pakistan-by turning it into the stamp collecting capital of the world! He said that he wants to promote a softer image of his violence-wracked country through his stamp collection. Mr. Shah has collected more than 10,000 stamps from all over the world, including a very rare ‘Penny Black’, the first sticky-backed postage stamp issued by Britain in 1840. “It is said that philately (stamp collecting) is the king of all hobbies and the hobby of kings,” said Mr. Shah.  Queen Elizabeth of England, too, is known to be a big collector of stamps. But due to email and the decrease in sending mail by post, one post office is closed down in England every month.</t>
  </si>
  <si>
    <t>&lt;b&gt;Mars Mission Gets Back on Track.  &lt;/b&gt;&lt;br&gt;The Mars Science Laboratory (MSL), currently flying through space, has had its route corrected so it will land on the planet Mars in August. It was launched in November on a rocket from America, but it wasn’t travelling in exactly the right direction. In a three-hour process, it was put on course by firing up eight thrusters. The total journey from Earth is a staggering 570 million kilometers. It will have to be corrected again before it can land, but scientists say this is normal for a space flight to Mars.</t>
  </si>
  <si>
    <t>&lt;b&gt;Henry the Eighth Have a Secret Daughter?  &lt;/b&gt;&lt;br&gt;According to historian Elizabeth Norton, who has been examining royal records, Elizabeth Tailboys was the child of King Henry the Eighth and his mistress, Bessie Blount. Elizabeth was adopted by her stepfather, Gilbert Tailboys. But, if the King had claimed her as his, she would have become queen, as she was older than his daughter with Anne Boleyn, who was also called Elizabeth and went on to become Queen Elizabeth 1.</t>
  </si>
  <si>
    <t>&lt;b&gt;Michael Jackson Honored in Hollywood.  &lt;/b&gt;&lt;br&gt;Michael Jackson has become the first celebrity to have his hand and footprints put on the Hollywood Walk of Fame after his death. Thousands of fans watched his children, Paris, Prince Michael and Blanket, use his famous sequined glove and shoes to make the impressions. Loads of celebrities including Justin Bieber were also at the ceremony. The imprints will be placed alongside other Hollywood screen legends for fans to see.</t>
  </si>
  <si>
    <t>&lt;b&gt;Wildlife Film-Maker John Varty Mauled by Tiger.          &lt;/b&gt;&lt;br&gt;A wildlife documentary-maker is seriously injured after being mauled by a tiger in South Africa. John Varty, 61, who is pioneering a controversial project to create a free-ranging, self-sustaining tiger population outside Asia, was attacked on his Tiger Canyons farm and taken to hospital, where he underwent six-hour emergency surgery. Varty suffered multiple injuries and puncture wounds all over his body and required a blood transfusion. Amanda Appelgryn, spokeswoman for the hospital, said Varty was conscious and she had spoken to him but he is not yet out of danger. She said: “He has multiple injuries all over his whole body but not his face. He’s not stable and he’s not critical, but somewhere in between. It’s best to say he’s in a serious condition. I can’t say he’s out of danger: with wild animals, there’s always the possibility of infection.”</t>
  </si>
  <si>
    <t>&lt;b&gt;The Man Who Helped Simplify Chinese.  &lt;/b&gt;&lt;br&gt;Students struggling to learn Chinese might not know it, but their task has been made easier because of the work of one man. Zhou Youguang helped invent Pinyin, a writing system that turns Chinese characters into words using letters from the Roman alphabet. This is credited with helping raise literacy rates in China. Despite his achievements, Mr. Zhou remains largely unknown in his home country. Perhaps that is because the 106-year-old is a defiant character, refusing to take much credit for his work or pander to the Chinese Communist Party.  He is critical of the party that governs China and old enough not to care who is listening to what he has to say. Mr. Zhou’s life has coincided with most of the momentous events of China’s recent history, as it has moved from imperial dynasty to peoples’ republic to capitalist powerhouse.</t>
  </si>
  <si>
    <t>&lt;b&gt;Is English or Mandarin the Language of the Future?            &lt;/b&gt;&lt;br&gt;English has been the dominant global language for a century, but is it the language of the future? If Mandarin Chinese is to challenge English globally, then first it has to conquer its own backyard, South East Asia. In Malaysia’s southernmost city of Johor Bahru, the desire to speak good English has driven some children to make a two-hour journey to school every day. An estimated 15,000 students make the bus journey across the border into Singapore, where English is the main language, every day. It may seem like a drastic measure, but some parents don’t trust the education system in Malaysia. They believe that there is a reduction in the standard of English in the country. Since independence from the British in 1957, Malaysia has phased out schools that teach in English and students started learning in Malay. As a result, Malaysian graduates became less employable in the I.T. sector.</t>
  </si>
  <si>
    <t>&lt;b&gt;More Landmines are Being Laid Worldwide, Research Shows.  &lt;/b&gt;&lt;br&gt;Research has found that more and more landmines are being laid around the world. Landmines are used in war-torn countries all over the world and around 10,000 children are killed or seriously injured by them every year. Even though 80% of countries have signed up to a treaty to ban the use of landmines, countries like Syria, Libya and Israel are still planting the devices. Over the years many campaigns have tried to get them banned. Diana, Princess of Wales famously called for an international ban on landmines in 1997. Celebrities have also backed campaigns. Hollywood star Angelina Jolie saw the damage landmines can cause when she was filming the Tomb Raider movie in Cambodia. But despite worldwide campaigns, more mines were laid last year than in any year since 2004.</t>
  </si>
  <si>
    <t>&lt;b&gt;Pierre Cardin Feud Tears Village Apart.   &lt;/b&gt;&lt;br&gt;Fashion designer Pierre Cardin has upset the locals in the French village of Lacoste, by buying the Marquis de Sade’s famous castle and 22 more properties.  Lacoste was once the home of the champion debauchee, the Marquis de Sade .Steep cobbled streets and ancient houses lend an archetypal beauty. This part of the Luberon has always drawn eminent outsiders. But it is the fashion designer, Pierre Cardin, who has left by far the deepest imprint on Lacoste. Indeed for many locals, the Cardin mark is too deep. They wish he would go away. Some say he has destroyed the community by spraying his money and driving up prices. For others, he is a generous philanthropist who provides much-needed local employment. Cardin’s own story is a long march from humble beginnings to fame and enormous wealth. But he has always been regarded as something of an upstart by the fashion elite – no doubt because of his working-class origins.</t>
  </si>
  <si>
    <t>&lt;b&gt;Birds Perform Amazing Aerial Display.  &lt;/b&gt;&lt;br&gt;Thousands of birds in Wales are performing amazing aerial displays at dusk. It’s believed 100,000 starlings have arrived at Llanelli Nature Reserve to prepare for the winter. The birds’ spectacular displays include swirling and swooping –experts believe the birds do this to avoid being eaten by predators. Some of the starlings are from the UK but most have come from Russia and Scandinavia.</t>
  </si>
  <si>
    <t>&lt;b&gt;Seal Pups on the Mend After Being Battered by Storms.  &lt;/b&gt;&lt;br&gt;The big storms a few weeks ago caused loads of problems across the country – trees were blown down, power lines were cut and roofs were torn off houses. But it wasn’t just humans that had a hard time: seal pups were caught up in the bad weather too. The RSPCA has said it’s seen a big increase in sick seals recently. The storms made it really hard for some of the grey seals to find their way to food and the choppy water meant lots of them were stranded on rocks.</t>
  </si>
  <si>
    <t>&lt;b&gt;Elephant and Bee Researcher Nets Green Prize.  &lt;/b&gt;&lt;br&gt;A British scientist has won a coveted environment research prize for showing how bees can be used to reduce conflict between people and elephants. Lucy King’s work proved that beehive ‘fences’ can keep elephants out of African farmers’ fields or compounds. The animals are scared of bees, which can sting them inside their trunks, and flee when they hear buzzing. Dr. King received the prize at the Convention on Migratory Species meeting in Norway. The African -born scientist, whose research was supervised at Oxford University, said she was delighted and surprised to receive the prize. Working in Kenya, she and her team showed that more than 90% of elephants will flee when they hear the sounds of buzzing bees. They used the findings to construct barriers where beehives are woven into a fence, keeping the elephants away from places where people live and grow food.</t>
  </si>
  <si>
    <t>&lt;b&gt;Eroding Taboos See Lemurs End Up on Dinner Tables.  &lt;/b&gt;&lt;br&gt;The erosion of traditional cultural taboos in Madagascar has led to an unsustainable number of lemurs being killed for bush meat. Locals revered these primates, believing that the animals were family ancestors, but the influx of outside influences has seen a breakdown in these views. Some species do not reach maturity for up to nine years and produce offspring once every two or three years. A survey of locals’ eating habits showed that hunting of protected species in eastern Madagascar was increasing. It suggested the rise in illegal hunting was the result of rapid social change, an increase in demand for meat and a decline in traditional taboos. “When you have globalization and outside influences, traditional cultures break down and change faster,” explained co-author Julia Jones from Bangor University. “What seems to be happening in some of the remote areas around the nation’s eastern rainforests is that a lot of legal gold mining is springing up, so people from outside are moving into the area.”</t>
  </si>
  <si>
    <t>&lt;b&gt;Tamara Rojo to be Artistic Director of English National Ballet.  &lt;/b&gt;&lt;br&gt;Tamara Rojo, prima ballerina at the Royal Ballet, is to become artistic director of English National Ballet. The 37-year-old dancer will take over in September from Wayne Eagling, whose unexpected departure after seven years was recently announced. Rojo, a principal dancer at the Royal Ballet, said she was honored to be taking over at a company she spent three years with in the late 1990s. Rojo takes over in difficult economic times. The English National Ballet, which tours extensively nationally and internationally, has been hit by a 15% but in Arts Council funding. Rojo spent three years with the company after she left Spain in 1996, making a significant splash for performances which prompted the ‘Times’ to call her ‘dance revelation of the year’. After that, she joined the Royal Ballet where her reputation has gone from strength to strength.</t>
  </si>
  <si>
    <t>&lt;b&gt;Cheryl Cole Feared For Her Life on a Plane in Germany.  &lt;/b&gt;&lt;br&gt;Cheryl Cole says she feared for her life when she got trapped on her private jet during a lightning storm. The singer was at Frankfurt airport in Germany during a tour when lightning struck the runway. Her plane wasn’t allowed to take off and no-one was allowed to leave the aircraft as it was too dangerous. Cheryl was so scared but she thought: “This is it. I’ve got an album to promote and I’ve got so much yet to do.”But she said that thinking about her charity mountain climb in 2009 helped her focus. “I remembered I’d climbed Kilimanjaro, so I took a bit of strength from that.”</t>
  </si>
  <si>
    <t xml:space="preserve">1.       What is said about President Sarkozy’s son? </t>
  </si>
  <si>
    <t xml:space="preserve">d)       He was throwing tomatoes     </t>
  </si>
  <si>
    <t xml:space="preserve">2.       Which statement is true? </t>
  </si>
  <si>
    <t>a)       Jack Easton crashed his car</t>
  </si>
  <si>
    <t>b)       James Smith will not recover</t>
  </si>
  <si>
    <t>c)       Jack Easton assisted James Smith</t>
  </si>
  <si>
    <t>d)       Jack Easton worried about his safety</t>
  </si>
  <si>
    <t xml:space="preserve">3.       Which statement is true? </t>
  </si>
  <si>
    <t>a)       Andrew Nelson is a flying instructor</t>
  </si>
  <si>
    <t>b)       The helicopter exploded</t>
  </si>
  <si>
    <t>c)       Andrew Nelson saved four people</t>
  </si>
  <si>
    <t>d)       Andrew Nelson called the fire brigade</t>
  </si>
  <si>
    <t xml:space="preserve">4.       What is said about plastic carrier bags? </t>
  </si>
  <si>
    <t>a)       Their use is declining in England</t>
  </si>
  <si>
    <t>b)       Their use is widespread in China</t>
  </si>
  <si>
    <t>c)       They are no longer used in Italy</t>
  </si>
  <si>
    <t xml:space="preserve">d)       They can be dissolved by the sea                                                                                           </t>
  </si>
  <si>
    <t>5.       Which statement is true?</t>
  </si>
  <si>
    <t>a)       The castle was completely destroyed</t>
  </si>
  <si>
    <t>b)       The boys intentionally started the fire</t>
  </si>
  <si>
    <t>c)       The castle was partially destroyed</t>
  </si>
  <si>
    <t>d)       The castle used to be a National Monument</t>
  </si>
  <si>
    <t xml:space="preserve">6.       Which statement is true? </t>
  </si>
  <si>
    <t>a)        The rescue operation failed</t>
  </si>
  <si>
    <t>b)       Bad weather affected the ship</t>
  </si>
  <si>
    <t>c)       Fuel has spilt from the ship</t>
  </si>
  <si>
    <t>d)       One agency attempted the rescue</t>
  </si>
  <si>
    <t xml:space="preserve">7.        Which of the following is true? </t>
  </si>
  <si>
    <t>a)       The balloon landed in a playing field</t>
  </si>
  <si>
    <t>b)       The rescue could not begin immediately</t>
  </si>
  <si>
    <t>c)       Several people were injured</t>
  </si>
  <si>
    <t xml:space="preserve">d)       Firefighter took four hours to arrive                                                                                    </t>
  </si>
  <si>
    <t xml:space="preserve">8.        What is said about the toxic glow fish? </t>
  </si>
  <si>
    <t>a)       They are not affected by pollutants in the water</t>
  </si>
  <si>
    <t xml:space="preserve">b)       They will indicate the presence of chemicals </t>
  </si>
  <si>
    <t>c)       They glow green when the water is safe</t>
  </si>
  <si>
    <t>d)       They usually have problems breeding</t>
  </si>
  <si>
    <t xml:space="preserve">9.        Which statement is true? </t>
  </si>
  <si>
    <t>a)       The campaign has little support</t>
  </si>
  <si>
    <t>b)       Scottish education is controlled by the UK</t>
  </si>
  <si>
    <t>c)       Some Scots want to remain part of the UK</t>
  </si>
  <si>
    <t>d)       The Scottish National Party opposes the campaign</t>
  </si>
  <si>
    <t xml:space="preserve">10.     According to the report;                                                                                                                </t>
  </si>
  <si>
    <t>a)       The deer were killed by a panther.</t>
  </si>
  <si>
    <t>b)       Local residents disbelieve the test results.</t>
  </si>
  <si>
    <t>c)       Local residents trust the test results.</t>
  </si>
  <si>
    <t xml:space="preserve">d)       The rumors of big cats are true.                                                                                      </t>
  </si>
  <si>
    <t xml:space="preserve">11.     What is said about Guinness World Records?                                                                              </t>
  </si>
  <si>
    <t>a)       Laura received its support.</t>
  </si>
  <si>
    <t>b)       It is worried about risks to young sailors.</t>
  </si>
  <si>
    <t>c)       It stopped Laura from making the voyage.</t>
  </si>
  <si>
    <t xml:space="preserve">d)       Laura will appear in its next edition.                                                                                  </t>
  </si>
  <si>
    <t xml:space="preserve">12.     What could be said about the rowers?                                                                               </t>
  </si>
  <si>
    <t>a)       They were all English.</t>
  </si>
  <si>
    <t>b)       They broke a record.</t>
  </si>
  <si>
    <t>c)       Their boat turned over.</t>
  </si>
  <si>
    <t xml:space="preserve">d)       They had problems for 27 days.                                                                                </t>
  </si>
  <si>
    <t xml:space="preserve">13.     What is said about the clothes?                                                                                                         </t>
  </si>
  <si>
    <t xml:space="preserve">a)       They are part of a line made from spiders’ silk. </t>
  </si>
  <si>
    <t>b)       They were made in Madagascar.</t>
  </si>
  <si>
    <t>c)       A famous fashion designer made them from silk.</t>
  </si>
  <si>
    <t xml:space="preserve">d)       The material used to create them came from spiders.                                                      </t>
  </si>
  <si>
    <t xml:space="preserve">14.    What is said about Great Barrier Reef? </t>
  </si>
  <si>
    <t>a)       It is obstructing gas exploration</t>
  </si>
  <si>
    <t>b)       There is apprehension it will suffer damage</t>
  </si>
  <si>
    <t>c)       Coal mining is prohibited in its vicinity</t>
  </si>
  <si>
    <t xml:space="preserve">d)       The UN found it to be extensively damaged                  </t>
  </si>
  <si>
    <t xml:space="preserve">15.    What is said about male dolphins? </t>
  </si>
  <si>
    <t>a)       They live in gangs to protect themselves</t>
  </si>
  <si>
    <t>b)       The can sometimes change gangs</t>
  </si>
  <si>
    <t>c)       They gangs are always hostile to each other</t>
  </si>
  <si>
    <t xml:space="preserve">d)       A male dolphin always stays in the same gang    </t>
  </si>
  <si>
    <t xml:space="preserve">16.    What is said about Pakistan?  </t>
  </si>
  <si>
    <t>a)       Stamp collecting is very popular in Pakistan</t>
  </si>
  <si>
    <t>b)       Mr. Shah hopes to alter peoples’ views of Pakistan</t>
  </si>
  <si>
    <t>c)       Most of stamps collected in Pakistan come from Britain</t>
  </si>
  <si>
    <t>d)       Many post offices are now closing in Pakistan</t>
  </si>
  <si>
    <t xml:space="preserve">17.    What is said about the Mars Science Lab (MSL)?                                                                         </t>
  </si>
  <si>
    <t>a)       It will reach its destination in November.</t>
  </si>
  <si>
    <t>b)       Its route will need further adjustment.</t>
  </si>
  <si>
    <t>c)       Scientists were surprised its route needed correction.</t>
  </si>
  <si>
    <t xml:space="preserve">d)       Scientists do not expect it to reach its destination.                                                        </t>
  </si>
  <si>
    <t xml:space="preserve">18.    What is said about King Henry the Eighth?                                                                                  </t>
  </si>
  <si>
    <t>a)       He didn’t claim his older daughter.</t>
  </si>
  <si>
    <t>b)       He didn’t want a second daughter.</t>
  </si>
  <si>
    <t>c)       His older daughter inherited the throne.</t>
  </si>
  <si>
    <t xml:space="preserve">d)       His older daughter was recognized as his.                                                                       </t>
  </si>
  <si>
    <t xml:space="preserve">19.    Which of the following is true?                                                                                                       </t>
  </si>
  <si>
    <t>a)       Michael Jackson’s children watched a ceremony in his honor.</t>
  </si>
  <si>
    <t>b)       Other celebrities were honored in the same ceremony.</t>
  </si>
  <si>
    <t>c)       Michael Jackson’s accessories were used in the ceremony.</t>
  </si>
  <si>
    <t xml:space="preserve">d)       Michael Jackson’s fans can make imprints close to his.                                                 </t>
  </si>
  <si>
    <t xml:space="preserve">20.    What is said about John Varty and the tiger attack? </t>
  </si>
  <si>
    <t>a)       His face was badly damaged</t>
  </si>
  <si>
    <t>b)       He is making a good recovery</t>
  </si>
  <si>
    <t>c)       He is unable to communicate</t>
  </si>
  <si>
    <t>d)       His condition could go either way</t>
  </si>
  <si>
    <t xml:space="preserve">21.    What is said about Zhou Youguang? </t>
  </si>
  <si>
    <t>a)       He used to be a literacy teacher in China</t>
  </si>
  <si>
    <t>b)       He is a renowned figure in China</t>
  </si>
  <si>
    <t>c)       He disapproves of the Chinese government</t>
  </si>
  <si>
    <t>d)       He boasts about his work</t>
  </si>
  <si>
    <t xml:space="preserve">22.    Which statement is true? </t>
  </si>
  <si>
    <t>a)       Classes are given in English in Malaysian schools</t>
  </si>
  <si>
    <t>b)       Malaysian graduates are sought after in the I.T. industry</t>
  </si>
  <si>
    <t>c)       The standard of English has declined in Malaysia</t>
  </si>
  <si>
    <t xml:space="preserve">d)       Students from Singapore attend classes in Malaysia                                            </t>
  </si>
  <si>
    <t xml:space="preserve">23.    The report states that;                                                                                                                               </t>
  </si>
  <si>
    <t>a)       Campaigns to ban landmines are proving effective.</t>
  </si>
  <si>
    <t>b)       More than half the world’s nations have pledged not to use landmines.</t>
  </si>
  <si>
    <t>c)       The majority of countries are reluctant to sign a treaty against landmines.</t>
  </si>
  <si>
    <t xml:space="preserve">d)       Angelina Jolie organized an anti-landmine campaign in Cambodia.                                     </t>
  </si>
  <si>
    <t xml:space="preserve">24.    Which of the following is true?                                                                                                             </t>
  </si>
  <si>
    <t>a)       Pierre Cardin is viewed by some as a benefactor.</t>
  </si>
  <si>
    <t>b)       Pierre Cardin is highly respected by the fashion elite.</t>
  </si>
  <si>
    <t>c)       The Lacoste locals are starting to leave their village.</t>
  </si>
  <si>
    <t xml:space="preserve">d)        Prices in Lacoste have decreased with the arrival of Cardin.                                            </t>
  </si>
  <si>
    <t xml:space="preserve">25.    What is said about the starling birds?                                                                                                </t>
  </si>
  <si>
    <t>a)       They fly during the early evening.</t>
  </si>
  <si>
    <t>b)       The majority are from the U.K.</t>
  </si>
  <si>
    <t>c)       Many have been eaten by predators.</t>
  </si>
  <si>
    <t xml:space="preserve">d)       They will leave the reserve in winter.                                                                                   </t>
  </si>
  <si>
    <t xml:space="preserve">26.    What is said about the seal pups?                                                                                                      </t>
  </si>
  <si>
    <t>a)       They caused a lot of problems.</t>
  </si>
  <si>
    <t>b)       They were stranded in rough water.</t>
  </si>
  <si>
    <t>c)       They had difficulty obtaining food.</t>
  </si>
  <si>
    <t xml:space="preserve">d)      They were unaffected by the storm.                                                                                      </t>
  </si>
  <si>
    <t xml:space="preserve">27.    The report states that;                                                                                                                        </t>
  </si>
  <si>
    <t>a)       Dr. King’s discovery will be used to protect food sources.</t>
  </si>
  <si>
    <t>b)       Dr. King was awarded the prize in Oxford.</t>
  </si>
  <si>
    <t>c)       Dr. King developed her theory while working at Oxford University.</t>
  </si>
  <si>
    <t xml:space="preserve">d)       Elephants appear to be attracted to the sound of buzzing bees.                                      </t>
  </si>
  <si>
    <t xml:space="preserve">28.    What is said about Lemurs in Madagascar?                                                                             </t>
  </si>
  <si>
    <t>a)       They are traditionally killed for bush meat.</t>
  </si>
  <si>
    <t>b)       They usually produce offspring every year.</t>
  </si>
  <si>
    <t>c)       They are being affected by the illegal gold mining industry.</t>
  </si>
  <si>
    <t xml:space="preserve">d)       They were held in high regard by local people.                                                              </t>
  </si>
  <si>
    <t xml:space="preserve">29.    What is said about Tamara Rojo? </t>
  </si>
  <si>
    <t>a)       She will be the artistic director of the Royal Ballet</t>
  </si>
  <si>
    <t>b)       She previously danced with the English National Ballet</t>
  </si>
  <si>
    <t>c)       She dance with the Royal Ballet for seven years</t>
  </si>
  <si>
    <t>d)       Funding will increase when she takes over the ballet company</t>
  </si>
  <si>
    <t xml:space="preserve">30.    What is said about the singer, Cheryl Cole? </t>
  </si>
  <si>
    <t>a)       She was in a storm on Kilimanjaro</t>
  </si>
  <si>
    <t>b)       Her plane was grounded during a storm</t>
  </si>
  <si>
    <t>c)       She refused to fly during a storm</t>
  </si>
  <si>
    <t>d)       Her plane flew through a storm</t>
  </si>
  <si>
    <t>&lt;b&gt;Andrew Nelson&lt;/b&gt;&lt;br&gt;Andrew Nelson, an 18-year-old schoolboy rescued four people from a helicopter crash. He was playing football at school when he saw the helicopter crash in a nearby field. Immediately Andrew ran a mile to get to the scene of the accident. Andrew, whose father is a flying instructor, knew the helicopter was in danger of exploding but he ran inside and pulled out four adults while the head teacher of his school phoned for an ambulance and the fire brigade.</t>
  </si>
  <si>
    <t>&lt;b&gt;Bill Richards.&lt;/b&gt;&lt;br&gt;Bill Richards gets up at 6am every day. He is never late for work. However, on Monday, he forgot to set his alarm clock. He woke up at 7am and arrived at the office an hour late. His boss was angry and warned him never to be late again.</t>
  </si>
  <si>
    <t>&lt;b&gt;Travelling by Train.                                      &lt;/b&gt;&lt;br&gt;Travelling by train has many advantages. There are no stressful traffic jams and trains are fast and comfortable. You can use the time in different ways. You can sit and read or just watch the world go by. You can work or you can have a meal or a snack in the buffet car.</t>
  </si>
  <si>
    <t xml:space="preserve">&lt;b&gt;Amount of Carbon Dioxide in Atmosphere will Delay Next Ice Age.  &lt;/b&gt;&lt;br&gt;It seems that the next Ice Age could be on hold because of the amount of carbon dioxide being released into the atmosphere by humans. The last Ice Age ended around 11,500 years ago and it had been predicted that the next one would begin in around 1,500 years. However, it is now thought that the amount of carbon dioxide in the atmosphere will delay this next Ice Age.  </t>
  </si>
  <si>
    <t>&lt;b&gt;Japanese ‘Ghost Ship’ Drifting Near Canada.  &lt;/b&gt;&lt;br&gt;A Japanese ‘ghost ship’ has been spotted off the coast of Canada. The fishing boat was swept away by the tsunami in 2011 and has been slowly drifting across the Pacific Ocean. Japanese officials say that there is no-one onboard the vessel. Experts think that it is the first large item of around 25 million tons of debris to cross the ocean as a result of the earthquake and tsunami but most of it isn’t expected to reach North America until 2014.</t>
  </si>
  <si>
    <t>&lt;b&gt;Europe’s Space Freighter Lifts Off.  &lt;/b&gt;&lt;br&gt;The biggest space vehicle servicing the International Space Station (ISS) has taken off from French Guiana. The ATV 3 space truck is taking new supplies of food, water, air, and fuel to the station. It is also carrying experiments and spares for the high-flying astronaut outpost. The ATV is unmanned and is the biggest space vehicle servicing the station. Europe plans to send two further freighters to the station, in 2013 and 2014.</t>
  </si>
  <si>
    <t>&lt;b&gt;Mexico Hit by 7.6 Magnitude Earthquake.  &lt;/b&gt;&lt;br&gt;A powerful 7.6 magnitude earthquake struck southwest Mexico yesterday. The 7.6 magnitude earthquake was felt by people several hundred miles away, but didn’t cause any serious damage. The earthquake struck near the tourist resort of Acapulco, just after midday. At first experts thought that it was a 7.9 magnitude earthquake, before downgrading it to 7.6.</t>
  </si>
  <si>
    <t>&lt;b&gt;Thieves are Stealing Chewing Gum to Use as Money.  &lt;/b&gt;&lt;br&gt;A police officer has revealed that thieves are targeting U.K. supermarkets and stealing chewing gum to use as money. An officer from West Mercia Police is investigating the crimes, which have spread across the U.K. Hundreds of pounds worth of chewing gum has been stolen so far. The investigation has revealed that in Romania, chewing gum and small sweets are often given as change instead of low-value coins.</t>
  </si>
  <si>
    <t xml:space="preserve">&lt;b&gt;261 Schools Get Building Money From Government.  &lt;/b&gt;&lt;br&gt;A total of 261 schools in England have been told they’re getting money to repair or rebuild their old buildings. The government has announced which schools are being given part of a 2 billion pound pot of cash. But 326 schools missed out on the Priority School Building Program. The previous government had promised to rebuild every secondary school in England. But the new government cancelled the plan, saying it was too expensive. </t>
  </si>
  <si>
    <t>&lt;b&gt;12-Year-Old Boy Wears a Skirt to School to Protest Against Uniform Rules.  &lt;/b&gt;&lt;br&gt;A boy is wearing a skirt to school to protest his school uniform’s policy which bans shorts. 12-year-old Chris Whitehead says trousers are too hot and that it’s “discriminatory” that girls can wear skirts in the summer, but boys can’t wear shorts. Chris’s head teacher, Mr. Campbell, said: “The boys can wear a skirt to school because it doesn’t say they can’t in the uniform policy and we would be discriminating against them if we did not allow it.”</t>
  </si>
  <si>
    <t>&lt;b&gt;‘Les Miserables’ Role Surprise For U.K. Actress.  &lt;/b&gt;&lt;br&gt;It could have been a scene in a Hollywood movie. The moment an unknown actress from the Isle of Man was told she was going to be a star in an upcoming blockbuster movie! That’s just what happened to Samantha Barks, when a top producer told her after a stage performance. She’ll now play Eponine, in a film version of the musical ‘Les Miserables’ alongside Hollywood screen stars. It was a total surprise for the actress, who’d just finished performing in ‘Oliver’ at Manchester’s Palace Theater.</t>
  </si>
  <si>
    <t>&lt;b&gt;Giant Pillow Fight Held in Shanghai.  &lt;/b&gt;&lt;br&gt;A mass pillow fight for 1,000 people has been held in Shanghai. The giant pillow party was held to help people calm down and get rid of their stress. Everyone was given a pillow on arrival on which they wrote the name of the thing or person causing them stress. After a starting whistle, partygoers were free to hit anyone in the room with their pillow. It is the fifth giant pillow fight to be held in Shanghai and has been so popular thinking of similar events in other cities.</t>
  </si>
  <si>
    <t>&lt;b&gt;‘Hugo’ and ‘The Artist’ Lead This Year’s Oscar Nominations.  &lt;/b&gt;&lt;br&gt;This year’s Oscar nominations have been announced and it looks like Uggie, the dog, will need his bow tie again! This silent black and white movie ‘The Artist’ is up for 10 awards. It is also up for the top prize of Best Picture,  alongside 3D action adventure ‘Hugo’ and Steven Spielberg’s ‘War Horse’. ‘Hugo’, which is set in 1930’s Paris, got the most nominations overall, with a total of 11. The red carpet will be rolled out once again to welcome the movie stars to the Kodak Theatre in Hollywood.</t>
  </si>
  <si>
    <t>&lt;b&gt;Government Scraps Homework Rules for English Schools.    &lt;/b&gt;&lt;br&gt;Official homework guidelines set by the government for English schools have been scrapped. Teachers can decide how much homework to set or whether to set any at all. It’s after some parents complained that too much homework meant kids didn’t have enough time to play, do sports or be with their family. Before, five to seven year old children were expected to do an hour a week, gradually increasing to 2.5 hours each night for pupils aged between fourteen and sixteen.</t>
  </si>
  <si>
    <t>&lt;b&gt;Sierra Leone: All Boom But No Progress?  &lt;/b&gt;&lt;br&gt;In the center of Sierra Leone, in a majestic green valley, a new hydro-electric dam symbolizes both progress and frustration. Ten years after the end of the civil war here, a construction boom is under way. The Bumbuna dam is one of the biggest recent projects. But the economy is so run down by decades of war and corruption that it will take many more years, if at all before the boom benefits most of the population. But now, electricity is being produced. There are many other projects under way. A stone crushing plant just outside the capital, Freetown, spews clouds of smoke and dust into the surrounding mountains. Major roads are being built in Freetown and between regional towns. Two big ore mining projects have recently begun. But the permanent jobs created by these projects number just a few tens of thousands; the population of Sierra Leone is six million.</t>
  </si>
  <si>
    <t xml:space="preserve">&lt;b&gt;Orangutans Show Amazing Skills Building Nests.   &lt;/b&gt;&lt;br&gt;Scientists have discovered orangutans use really complicated building skills when they build their nests. Research has revealed that the great apes use many different types of branches in lots of different ways to build their homes high up in tree tops. That has amazed scientists from the University of Manchester, who spent a year in South East Asia studying orangutans. But when some can weigh up to 80 bags of sugar, the nests need to be strong! The research took place in Northern Sumatra, an island in Indonesia, where researchers filmed the apes building their nests and took them apart when they were finished with them. The experts learnt that the nests were made up of a really complicated scaffold of branches and twigs and tools were used to help make them. Thick green, flexible branches were used on the outside and thinner leafy twigs on the inside. They can also build a nest in 5 or 6 minutes. </t>
  </si>
  <si>
    <t>&lt;b&gt;Abandoned and Stray Dogs Have Risen For the 11th Year.  &lt;/b&gt;&lt;br&gt;There’s an old saying that we hear every year; ‘a dog is for life, and not just for Christmas.’ But it seems people still aren’t getting the message. Many people find the gift of a four-legged friend is a lot of hard work and they don’t find it easy coping with a new addition to the family and go on to abandon their pets. Figures from the recent Stray Dogs Survey, show for the 11th year in a row the number of stray and abandoned dogs in Britain has risen. Last year around 126,000 stray dogs were picked up across the UK- that’s more than 300 a day.</t>
  </si>
  <si>
    <t>&lt;b&gt;Farmers Must Take Care of Countryside.  &lt;/b&gt;&lt;br&gt;Farmers should take better care of our countryside, according to a poll by the Campaign to Protect Rural England. (CPRE). The CPRE is calling for changes, as farming can be hard on the environment. For example, lots of animals like dormice are decreasing in numbers because their habitat is being used to grow crops. Farmers can help the environment by digging ponds, keeping more livestock and growing a greater range of fruit and vegetables.</t>
  </si>
  <si>
    <t xml:space="preserve">&lt;b&gt;Teachers in Scotland Warned about Using Twitter and Facebook.  &lt;/b&gt;&lt;br&gt;Teachers in Scotland are being warned about using Twitter and Facebook by the Scottish Secondary Teachers Association. They believe too much information can be revealed on the networking sites, which could lead to teachers becoming too familiar with pupils. New guidelines for teachers on social networking are being drawn up. </t>
  </si>
  <si>
    <t>&lt;b&gt;How Much Aid Should The U.K. Give to Other Countries.  &lt;/b&gt;&lt;br&gt;There is a debate going on about how much aid the U.K. should give to poorer countries. At the moment the U.K. gives around 8 billion pounds a year to other governments. But the government has agreed to meet the United Nation’s target of increasing that amount to nearly 11 billion pounds by the year 2014. They want to make it law that all future governments must stick to the target of 0.7% of the whole country’s income. But the House of Lords say this shouldn’t happen, and that too much aid is going to the wrong places and is ending up with corrupt governments. The government says that cutting the funding could cost thousands of lives.</t>
  </si>
  <si>
    <t xml:space="preserve">&lt;b&gt;Open or Closed Society is Key Dividing Line of 21st Century.  &lt;/b&gt;&lt;br&gt;Nations will be divided not between east and west, or along religious lines, but between open and closed societies, the U.S. secretary of state, Hilary Clinton has said. Countries that are closed to “change, ideas, cultures and beliefs that are different from theirs will quickly find that in an internet world they will be left behind,” Clinton said. “In the 21st century, the U.S. is convinced that one of the most significant divisions between nations will be not between east or west, nor over religion, so much as between open and closed societies,” she said. “We believe those governments that hide from public view and dismiss ideas of openness and the aspirations of their people for greater freedom will find it increasingly difficult to create a secure society.” </t>
  </si>
  <si>
    <t>&lt;b&gt;Coke and Pepsi Alter Recipe to Avoid Cancer Warning Label.  &lt;/b&gt;&lt;br&gt;Coca-cola and Pepsi are changing the recipes for their drinks to avoid putting a cancer warning label on the bottle, to comply with California laws. The new recipe for caramel coloring in the drinks has less 4-methylimidazole- a chemical which California has added to its list of carcinogens. But the companies say rolling out the new recipe across the U.S. market makes the drinks more efficient to manufacture. “While we believe that there is no public health risk that justifies any such change, we did ask our caramel suppliers to take this step so that our products would not be subject to the requirement of a scientifically unfounded warning,” a Coca-cola representative told the AP news agency. The chemical has been linked to cancer in mice and rats but there is no evidence that it poses a health risk to humans, said the American Beverage Association, which represents the wider industry.</t>
  </si>
  <si>
    <t>&lt;b&gt;Liberians Hope Long Wait for the Web is Finally Over. BBC News. November 18 2011.&lt;/b&gt;&lt;br&gt;Getting online is difficult in Liberia. Connections are slow and expensive. A crowd gathers on a sandy beach near central Monrovia to watch as a diver emerges from the sea. He’s pulling a rope which a team on the beach helps drag ashore. Eventually a black fiber-optic cable pops out of the water and slithers up the sand, prompting cheers from the crowd. The cable will eventually provide broadband connectivity to more than 20 countries. News of the cable’s arrival on land is welcomed by a small group of men in an internet café in Monrovia. For them, getting online currently costs around $2 per hour –more money than many Liberians earn in a day. The current high cost and relatively slow internet connection in Liberia is not surprising, says Calestous Juma, an expert in telecommunications in Africa. “Fiber optic cables have more capacity and provide more consistent data flow than the current satellite connections being used.”</t>
  </si>
  <si>
    <t>&lt;b&gt;Dutch Judge Rejects Pleas for Killer Whale Freedom.  &lt;/b&gt;&lt;br&gt;A Dutch judge has ruled that a rescued female killer whale can be sent to a Canary Islands amusement park, despite pleas to release the animal into the wild. The case of Morgan the orca sharply divided opinion in the Netherlands. The orca was rescued by a dolphinarium in Harderwijk after being found exhausted and starving in shallow waters in the Waddenzee in June 2010. Conservationists are devastated by Monday’s ruling, fearing the move to the Canaries will kill Morgan. The judge in Amsterdam decided however that the orca would have no reasonable chance of survival in the wild. The plan is to transfer Morgan within days to Loro Parque on Tenerife, where she will join five other orcas in a big tank, on show to the public. Ahead of the judge’s ruling the campaign website of the Free Morgan Foundation had been getting more than 50,000 hits a day. Niels van Elk, a vet, thinks Morgan will be better off in captivity than in the wild.</t>
  </si>
  <si>
    <t>&lt;b&gt;As Asia Booms, What is Cost of Success for its Young?  &lt;/b&gt;&lt;br&gt;On a Saturday night in Singapore, Nicol and his friends are dancing in a dark and crowded room at one of the most expensive new clubs in the city. For Nicol and others like him partying across the city and the region, it would seem that there has never been a better time to be young and in Asia. Instead of the economic problems and social issues that faced their parents’ and grandparents’ generations, Asia’s youth today have a chance to access a period of unprecedented prosperity and expansion. “There are only some pockets of growth left in the world and Asia happens to be one of them,” Nicol explains. “There’s opportunity and optimism out here.” For hundreds of millions of people across the region, their earning power and standard of living are increasing. The youth unemployment rate has been below 15% in most the region for the last five years. Compare that with figures of more than 30% in European economies. This focus on youth employment is important because Asia is the region with the most young people in the world.</t>
  </si>
  <si>
    <t>&lt;b&gt;Searching for the Origins of Life and our Future.  &lt;/b&gt;&lt;br&gt;Hollywood is wrong about aliens. They don’t have oddly shaped heads and bulging eyes. Dimitar Sasselov is convinced of that. Professor Sasselov, an astrophysicist, thinks that if life exists elsewhere-and he believes it does- it will likely be based on different building blocks than ours, and so may not even be recognizable as life. A project he’s heading at Harvard University is trying to imagine what life would be like if it were based on different chemicals, conditions and history than we have on Earth. There’s no reason life can only form under our set of circumstances, he says. People have been asking questions like ‘Are we alone?’ since the time of Epicurus. And Sasselov says we probably won’t have a definitive answer in the next century either. Just as Copernicus revolutionized how people viewed themselves and their world 450 years ago, and Darwin did again 150 years ago, so Sasselov says we’re getting close to another transformative moment. This is a fertile time to be looking for life on other planets.</t>
  </si>
  <si>
    <t>&lt;b&gt;Should School Day be Longer.  &lt;/b&gt;&lt;br&gt;The school day should be longer to get children ready for the world of work, say some politicians. Stephen Twigg, the Labor Party’s education boss, says a longer day would keep children off the streets, stop them being sucked into local gangs and give the most deprived pupils a place to study away from difficult home lives. He also thinks that pupils should be put into groups in schools by ability or interests, rather than age. The MP’s comments come after a survey by business leaders found that one out of three young people was not ready for a job.</t>
  </si>
  <si>
    <t>&lt;b&gt;From War to Peace: Sierra Leone Eyes Bird-Watching Money.  .&lt;/b&gt;&lt;br&gt;Sierra Leone is trying to change its image as a war-torn country by promoting ecotourism. If you are planning a bird-watching holiday, Sierra Leone might not be the first destination that jumps to mind. But that could change soon, if the government of this small West African nation gets its way. Earlier this month, Sierra Leone opened the Gola Rainforest National Park, a 71,000-hectare protected area that is home to more bird species than can be found breeding in all of the UK. The government hopes that the new park might help nature-loving tourists see beyond the battered image that defines the country overseas. The reason for that image is a brutal 11-year civil war which claimed the lives of tens of thousands of people. But Sierra Leone has been at peace since the conflict ended in 2002. The park is a region that the environmental group Conservation International has identified as one of the world’s critical biodiversity hotspots.</t>
  </si>
  <si>
    <t>&lt;b&gt;Banksy’s Painting Go On Sale.  &lt;/b&gt;&lt;br&gt;Paintings by famous graffiti artist Banksy are going on sale at an exclusive auction house in London. Seventeen works of art by Banksy are being auctioned at the Bonhams Urban Art Sale. This is a big step for Banksy because it shows that people in the art world consider him a real artist. Some people looked down on him previously because he was a graffiti artist. The artwork being sold includes a screen print of British supermodel Kate Moss, inspired by Andy Warhol’s Marilyn Monroe picture. Banksy has lots of famous fans including Kate Moss and Harry Potter actress, Helena Bonham Carter.</t>
  </si>
  <si>
    <t>&lt;b&gt;Different Countries Have Different Emotions.  &lt;/b&gt;&lt;br&gt;It has been assumed since Charles Darwin’s time that six basic emotions are shown on everyone’s face in the same way: happiness, sadness, surprise, fear, disgust and anger. This is known as the universality hypothesis. Scientists tested this out recently by using a computer simulation of a face, which could show every possible combination of facial muscle movement. Then they asked 15 white Europeans/Americans and 15 East Asians to put thousands of its expressions into categories. Although the Westerners in the study separated all the expressions into the expected six emotional categories, the Asians showed there was an overlap of emotions. The scientists think that this could be because the theory ignores emotions such as shame, pride and guilt. Westerners also use different groups of muscles to express the six emotions while, with Asian people, a lot of the emotion comes from the eyes. The experts say that over time, different cultures have changed the way they communicate with their facial expressions.</t>
  </si>
  <si>
    <t xml:space="preserve">1.       Which statement is true? </t>
  </si>
  <si>
    <t xml:space="preserve">2.       What is said about Bill Richards? </t>
  </si>
  <si>
    <t xml:space="preserve">3.       What is said about travelling by trains? </t>
  </si>
  <si>
    <t>a)       It is stressful</t>
  </si>
  <si>
    <t>b)       It is efficient</t>
  </si>
  <si>
    <t>c)       It is boring</t>
  </si>
  <si>
    <t>d)       It is time-consuming</t>
  </si>
  <si>
    <t xml:space="preserve">4.       What is said about the next Ice Age?                                                                                         </t>
  </si>
  <si>
    <t>a)       It could be postponed.</t>
  </si>
  <si>
    <t>b)       It could come early.</t>
  </si>
  <si>
    <t>c)       It is already late.</t>
  </si>
  <si>
    <t xml:space="preserve">d)       It can’t be predicted.                                                                                                         </t>
  </si>
  <si>
    <t>5.       What is said about the ‘ghost ship’?</t>
  </si>
  <si>
    <t>a)       It has come from America</t>
  </si>
  <si>
    <t>b)       It is drifting towards Japan</t>
  </si>
  <si>
    <t>c)       It doesn’t have passengers</t>
  </si>
  <si>
    <t xml:space="preserve">d)       It avoided the Tsunami                                                                                                   </t>
  </si>
  <si>
    <t>6.       What is said about ATV 3?</t>
  </si>
  <si>
    <t>a)       It is carrying provisions</t>
  </si>
  <si>
    <t>b)       It will be sent to the ISS in 2014</t>
  </si>
  <si>
    <t>c)       It is carrying a passenger</t>
  </si>
  <si>
    <t xml:space="preserve">d)       A larger vehicle will replace it in 2013           </t>
  </si>
  <si>
    <t xml:space="preserve">7.        What is said about the earthquake? </t>
  </si>
  <si>
    <t>a)       It damaged a tourist resort</t>
  </si>
  <si>
    <t>b)       It injured several people</t>
  </si>
  <si>
    <t>c)        It occurred during the night</t>
  </si>
  <si>
    <t>d)       It was felt over a wide area</t>
  </si>
  <si>
    <t xml:space="preserve">8.        What is said about the chewing gum? </t>
  </si>
  <si>
    <t>a)       There is a shortage of it in Romania</t>
  </si>
  <si>
    <t>b)       It is being used as coins in the U.K</t>
  </si>
  <si>
    <t>c)       It is being stolen from Romanian supermarkets</t>
  </si>
  <si>
    <t xml:space="preserve">d)       It is being used as currency in Romania                                                                            </t>
  </si>
  <si>
    <t xml:space="preserve">9.        What is said about the funds for the schools? </t>
  </si>
  <si>
    <t>a)       The previous government cancelled them</t>
  </si>
  <si>
    <t>b)       They will be used to renovate buildings</t>
  </si>
  <si>
    <t>c)       All schools will receive funding</t>
  </si>
  <si>
    <t>d)       The new government initiated the funding</t>
  </si>
  <si>
    <t xml:space="preserve">10.     What is said about the uniform policy?                                                                           </t>
  </si>
  <si>
    <t>a)       Girls can wear shorts.</t>
  </si>
  <si>
    <t>b)       Boys can’t wear skirts.</t>
  </si>
  <si>
    <t>c)       Boys can wear skirts.</t>
  </si>
  <si>
    <t xml:space="preserve">d)       Trousers can’t be worn in summer.                                                                         </t>
  </si>
  <si>
    <t xml:space="preserve">11.     What is said about Samantha Barks?                                                                                          </t>
  </si>
  <si>
    <t>a)       She was discovered in Hollywood.</t>
  </si>
  <si>
    <t>b)       She was famous in the U.K.</t>
  </si>
  <si>
    <t>c)       She wasn’t expecting the film role.</t>
  </si>
  <si>
    <t xml:space="preserve">d)       She had auditioned for the film role.                                                                               </t>
  </si>
  <si>
    <t xml:space="preserve">12.     What is said about the pillow fight in Shanghai?                                                                          </t>
  </si>
  <si>
    <t>a)       It caused a lot of stress.</t>
  </si>
  <si>
    <t>b)       It is forbidden in other cities.</t>
  </si>
  <si>
    <t>c)       It was a huge success.</t>
  </si>
  <si>
    <t xml:space="preserve">d)       It was the first of its kind.                                                                                                       </t>
  </si>
  <si>
    <t xml:space="preserve">13.     Which of the following is true?                                                                                                      </t>
  </si>
  <si>
    <t xml:space="preserve">14.    What is said about homework? </t>
  </si>
  <si>
    <t>a)       Parents want their children to do more</t>
  </si>
  <si>
    <t>b)       The government sets homework rules</t>
  </si>
  <si>
    <t>c)       Teenagers now have to do two hours a night</t>
  </si>
  <si>
    <t>d)       Teachers are responsible for setting homework</t>
  </si>
  <si>
    <t xml:space="preserve">15.    What is said about Sierra Leone? </t>
  </si>
  <si>
    <t>a)       All the population benefits from the developments</t>
  </si>
  <si>
    <t>b)       The developments have provided millions of jobs</t>
  </si>
  <si>
    <t>c)       The construction of the dam is on hold</t>
  </si>
  <si>
    <t xml:space="preserve">d)       There are several new projects in progress                                                                        </t>
  </si>
  <si>
    <t xml:space="preserve">16.    What is said about Orangutans and their nests? </t>
  </si>
  <si>
    <t>a)       Orangutans often dismantle their nests</t>
  </si>
  <si>
    <t>b)       The nests collapse after little use</t>
  </si>
  <si>
    <t>c)       Orangutans spend a lot of time in their nests</t>
  </si>
  <si>
    <t>d)       The nests are built with a variety of foliage</t>
  </si>
  <si>
    <t xml:space="preserve">17.    The report states;                                                                                                                               </t>
  </si>
  <si>
    <t>a)       Many people receive dogs as Christmas presents.</t>
  </si>
  <si>
    <t>b)       The number of abandoned dogs is decreasing.</t>
  </si>
  <si>
    <t>c)       Dogs received as a Christmas gift are less likely to be abandoned.</t>
  </si>
  <si>
    <t xml:space="preserve">d)       There are currently more abandoned dogs than ever before.                                        </t>
  </si>
  <si>
    <t xml:space="preserve">18.    The report states that;                                                                                                                             </t>
  </si>
  <si>
    <t>a)       Farmers don’t want to change their methods.</t>
  </si>
  <si>
    <t>b)       The number of dormice is rising.</t>
  </si>
  <si>
    <t>c)       Farmers shouldn’t keep so much livestock.</t>
  </si>
  <si>
    <t xml:space="preserve">d)       Farmers should cultivate more vegetables.                                                                           </t>
  </si>
  <si>
    <t xml:space="preserve">19.    What is said about teachers in Scotland?                                                                                   </t>
  </si>
  <si>
    <t>a)       They make excessive use of Twitter and Facebook.</t>
  </si>
  <si>
    <t>b)       They use Facebook and Twitter inappropriately.</t>
  </si>
  <si>
    <t>c)       Too much information about them has appeared on social networks.</t>
  </si>
  <si>
    <t xml:space="preserve">d)       They have been advised to be cautious with social networks.                                    </t>
  </si>
  <si>
    <t xml:space="preserve">20.    What is said about aid? </t>
  </si>
  <si>
    <t>a)       The House of Lords believe that the U.K. should give more</t>
  </si>
  <si>
    <t>b)       The government plans to reduce the amount given</t>
  </si>
  <si>
    <t>c)       It is believed that cutting funds could save lives</t>
  </si>
  <si>
    <t>d)       The United Nation’s target is more that what is now given</t>
  </si>
  <si>
    <t xml:space="preserve">21.    What did Hilary Clinton say at the Brasilia conference? </t>
  </si>
  <si>
    <t>a)       Countries will be divided by culture</t>
  </si>
  <si>
    <t>b)       Countries need to be open to differences</t>
  </si>
  <si>
    <t>c)       Many countries need to change their lifestyle</t>
  </si>
  <si>
    <t>d)       Governments are increasingly rejecting openness</t>
  </si>
  <si>
    <t>a)       The caramel coloring doesn’t contain carcinogens</t>
  </si>
  <si>
    <t>b)       It has not been proved that the coloring is carcinogenic</t>
  </si>
  <si>
    <t>c)       Coca-cola and Pepsi have refused to use cancer-warning labels</t>
  </si>
  <si>
    <t xml:space="preserve">d)       Coca-cola and Pepsi are now more costly to make        </t>
  </si>
  <si>
    <t xml:space="preserve">23.    Which of the following is true?                                                                                                              </t>
  </si>
  <si>
    <t>a)       Fiber optic cables are now in use in Liberia.</t>
  </si>
  <si>
    <t>b)       Liberians now have access to broadband.</t>
  </si>
  <si>
    <t>c)       For most Liberians, internet use is relatively cheap.</t>
  </si>
  <si>
    <t xml:space="preserve">d)       The fiber optic cable could revolutionize internet use in Liberia.                                      </t>
  </si>
  <si>
    <t xml:space="preserve">24.    What is said about Morgan, the killer whale?                                                                                      </t>
  </si>
  <si>
    <t>a)       The vet is in agreement with the judge’s decision about where to put her.</t>
  </si>
  <si>
    <t>b)       The conservationists are concerned about her ability to survive in the wild.</t>
  </si>
  <si>
    <t>c)       She will be kept in isolation after being transported to Tenerife.</t>
  </si>
  <si>
    <t xml:space="preserve">d)        The campaign website continues to get more than half a million hits a day.                   </t>
  </si>
  <si>
    <t xml:space="preserve">25.    According to the report;                                                                                                                         </t>
  </si>
  <si>
    <t>a)       Asia’s economic boom began in previous generations.</t>
  </si>
  <si>
    <t>b)       The Asian youth unemployment rate exceeds that of Europe.</t>
  </si>
  <si>
    <t>c)       Asians have a positive outlook for the future.</t>
  </si>
  <si>
    <t xml:space="preserve">d)       Young Asians yearn for the life their parents and grandparents had.                                </t>
  </si>
  <si>
    <t xml:space="preserve">26.    The astrophysicist, Dimitar Sasselov, believes that;                                                                         </t>
  </si>
  <si>
    <t xml:space="preserve">a)       Life could materialize under different conditions. </t>
  </si>
  <si>
    <t>b)       We could know within 100 years if there is life on other planets.</t>
  </si>
  <si>
    <t>c)       Life on other planets would require conditions similar to Earth.</t>
  </si>
  <si>
    <t xml:space="preserve">d)       This is not an ideal era to be exploring other planets’ life forms.                                     </t>
  </si>
  <si>
    <t xml:space="preserve">27.    What is said about a longer school day?                                                                                       </t>
  </si>
  <si>
    <t>a)       It could encourage children to join gangs.</t>
  </si>
  <si>
    <t>b)       It could facilitate the development of studious habits.</t>
  </si>
  <si>
    <t>c)       Business leaders generally disapprove of it.</t>
  </si>
  <si>
    <t xml:space="preserve">d)       It could encourage enthusiasm for life in the work force.                                                 </t>
  </si>
  <si>
    <t xml:space="preserve">28.    The report states that;                                                                                                                  </t>
  </si>
  <si>
    <t>a)       Sierra Leone is a popular bird-watching destination.</t>
  </si>
  <si>
    <t>b)       Sierra Leone remains in the grip of a civil war.</t>
  </si>
  <si>
    <t>c)       Gola  National Park houses almost as many bird species as the U.K.</t>
  </si>
  <si>
    <t xml:space="preserve">d)       Gola National Park is of great import as a natural habitat.                                               </t>
  </si>
  <si>
    <t xml:space="preserve">29.    What is said about Banksy? </t>
  </si>
  <si>
    <t>a)       The art world has always respected him</t>
  </si>
  <si>
    <t>b)       He painted a famous portrait of Marilyn Monroe</t>
  </si>
  <si>
    <t>c)       His works will be sold at an important venue</t>
  </si>
  <si>
    <t>d)       His works are not expected to attract much attention</t>
  </si>
  <si>
    <t xml:space="preserve">30.    Which statement is true? </t>
  </si>
  <si>
    <t>a)       Westerners express emotion mainly through the eyes</t>
  </si>
  <si>
    <t>b)       The Asians in the study separated the emotions</t>
  </si>
  <si>
    <t>c)       The result from the Westerners studied was as predicted</t>
  </si>
  <si>
    <t>d)       Most cultures have retained their facial communication method</t>
  </si>
  <si>
    <t>&lt;b&gt;Hero Saves Man’s Life.&lt;/b&gt;&lt;br&gt;Jack Easton was driving home from work at 6.30 in the evening when he saw a yellow van, driven by James Smith, crash into a tree. Without thinking of his own safety, he pulled the young man out of the van and took him to hospital. James is making good progress.</t>
  </si>
  <si>
    <t xml:space="preserve">&lt;b&gt;Six rowers &lt;/b&gt;&lt;br&gt;Six rowers who were crossing the Atlantic Ocean have been rescued after their boat tipped over. The men, five from Britain and one from Ireland, were trying to break a record by rowing from Morocco to Barbados in under 30 days. The crew was 27 days into their adventure when they got into trouble. They were picked up by a ship and are expected to reach land by February 9. </t>
  </si>
  <si>
    <t>&lt;b&gt;Government Scraps Homework Rules for English Schools.  &lt;/b&gt;&lt;br&gt;Official homework guidelines set by the government for English schools have been scrapped. Teachers can decide how much homework to set or whether to set any at all. It’s after some parents complained that too much homework meant kids didn’t have enough time to play, do sports or be with their family. Before, five to seven year old children were expected to do an hour a week, gradually increasing to 2.5 hours each night for pupils aged between fourteen and sixteen.</t>
  </si>
  <si>
    <t xml:space="preserve">&lt;b&gt;Orangutans Show Amazing Skills Building Nests.  &lt;/b&gt;&lt;br&gt;Scientists have discovered orangutans use really complicated building skills when they build their nests. Research has revealed that the great apes use many different types of branches in lots of different ways to build their homes high up in tree tops. That has amazed scientists from the University of Manchester, who spent a year in South East Asia studying orangutans. But when some can weigh up to 80 bags of sugar, the nests need to be strong! The research took place in Northern Sumatra, an island in Indonesia, where researchers filmed the apes building their nests and took them apart when they were finished with them. The experts learnt that the nests were made up of a really complicated scaffold of branches and twigs and tools were used to help make them. Thick green, flexible branches were used on the outside and thinner leafy twigs on the inside. They can also build a nest in 5 or 6 minutes. </t>
  </si>
  <si>
    <t>&lt;b&gt;Is English or Mandarin the Language of the Future?  &lt;/b&gt;&lt;br&gt;English has been the dominant global language for a century, but is it the language of the future? If Mandarin Chinese is to challenge English globally, then first it has to conquer its own backyard, South East Asia. In Malaysia’s southernmost city of Johor Bahru, the desire to speak good English has driven some children to make a two-hour journey to school every day. An estimated 15,000 students make the bus journey across the border into Singapore, where English is the main language, every day. It may seem like a drastic measure, but some parents don’t trust the education system in Malaysia. They believe that there is a reduction in the standard of English in the country. Since independence from the British in 1957, Malaysia has phased out schools that teach in English and students started learning in Malay. As a result, Malaysian graduates became less employable in the I.T. sector.</t>
  </si>
  <si>
    <t>&lt;b&gt;Pierre Cardin Feud Tears Village Apart.   &lt;/b&gt;&lt;br&gt;Fashion designer Pierre Cardin has upset the locals in the French village of Lacoste, by buying the AMarquis de Sade’s famous castle and 22 more properties.  Lacoste was once the home of the champion debauchee, the Marquis de Sade .Steep cobbled streets and ancient houses lend an archetypal beauty. This part of the Luberon has always drawn eminent outsiders. But it is the fashion designer, Pierre Cardin, who has left by far the deepest imprint on Lacoste. Indeed for many locals, the Cardin mark is too deep. They wish he would go away. Some say he has destroyed the community by spraying his money and driving up prices. For others, he is a generous philanthropist who provides much-needed local employment. Cardin’s own story is a long march from humble beginnings to fame and enormous wealth. But he has always been regarded as something of an upstart by the fashion elite – no doubt because of his working-class origins.</t>
  </si>
  <si>
    <t>&lt;b&gt;Searching for the Origins of Life and our Future.  .&lt;/b&gt;&lt;br&gt;Hollywood is wrong about aliens. They don’t have oddly shaped heads and bulging eyes. Dimitar Sasselov is convinced of that. Professor Sasselov, an astrophysicist, thinks that if life exists elsewhere-and he believes it does- it will likely be based on different building blocks than ours, and so may not even be recognizable as life. A project he’s heading at Harvard University is trying to imagine what life would be like if it were based on different chemicals, conditions and history than we have on Earth. There’s no reason life can only form under our set of circumstances, he says. People have been asking questions like ‘Are we alone?’ since the time of Epicurus. And Sasselov says we probably won’t have a definitive answer in the next century either. Just as Copernicus revolutionized how people viewed themselves and their world 450 years ago, and Darwin did again 150 years ago, so Sasselov says we’re getting close to another transformative moment. This is a fertile time to be looking for life on other planets.</t>
  </si>
  <si>
    <t>&lt;b&gt;Seal Pups on the Mend After Being Battered by Storms.  .&lt;/b&gt;&lt;br&gt;The big storms a few weeks ago caused loads of problems across the country – trees were blown down, power lines were cut and roofs were torn off houses. But it wasn’t just humans that had a hard time: seal pups were caught up in the bad weather too. The RSPCA has said it’s seen a big increase in sick seals recently. The storms made it really hard for some of the grey seals to find their way to food and the choppy water meant lots of them were stranded on rocks.</t>
  </si>
  <si>
    <t>&lt;b&gt;From War to Peace: Sierra Leone Eyes Bird-Watching Money.    &lt;/b&gt;&lt;br&gt;Sierra Leone is trying to change its image as a war-torn country by promoting ecotourism. If you are planning a bird-watching holiday, Sierra Leone might not be the first destination that jumps to mind. But that could change soon, if the government of this small West African nation gets its way. Earlier this month, Sierra Leone opened the Gola Rainforest National Park, a 71,000-hectare protected area that is home to more bird species than can be found breeding in all of the UK. The government hopes that the new park might help nature-loving tourists see beyond the battered image that defines the country overseas. The reason for that image is a brutal 11-year civil war which claimed the lives of tens of thousands of people. But Sierra Leone has been at peace since the conflict ended in 2002. The park is a region that the environmental group Conservation International has identified as one of the world’s critical biodiversity hotspots.</t>
  </si>
  <si>
    <t>&lt;b&gt;Eroding Taboos See Lemurs End Up on Dinner Tables.  &lt;/b&gt;&lt;br&gt;The erosion of traditional cultural taboos in Madagascar has led to an unsustainable number of lemurs being killed for bush meat. Locals revered these primates, believing that the animals were family ancestors, but the influx of outside influences has seen a breakdown in these views. Some species do not reach maturity for up to nine years and produce offspring once every two or three years. A survey of locals’ eating habits showed that hunting of protected species in eastern Madagascar was increasing. It suggested the rise in illegal hunting was the result of rapid social change, an increase in demand for meat and a decline in traditional taboos. “When you have globalization and outside influences, traditional cultures break down and change faster,” explained co-author Julia Jones from Bangor University. “What seems to be happening in some of the remote areas around the nation’s eastern rainforests is that a lot of legal gold mining is springing up, so peoplBe from outside are moving into the area.”</t>
  </si>
  <si>
    <t>&lt;b&gt;Cheryl Cole Feared For Her Life on a Plane in Germany. CBBC  &lt;/b&gt;&lt;br&gt;Cheryl Cole says she feared for her life when she got trapped on her private jet during a lightning storm. The singer was at Frankfurt airport in Germany during a tour when lightning struck the runway. Her plane wasn’t allowed to take off and no-one was allowed to leave the aircraft as it was too dangerous. Cheryl was so scared but she thought: “This is it. I’ve got an album to promote and I’ve got so much yet to do.”But she said that thinking about her charity mountain climb in 2009 helped her focus. “I remembered I’d climbed Kilimanjaro, so I took a bit of strength from that.”</t>
  </si>
  <si>
    <t>&lt;b&gt;Bill Richards. &lt;/b&gt;&lt;br&gt;Bill Richards gets up at 6am every day. He is never late for work. However, on Monday, he forgot to set his alarm clock. He woke up at 7am and arrived at the office an hour late. His boss was angry and warned him never to be late again.</t>
  </si>
  <si>
    <t xml:space="preserve">&lt;b&gt;Should Supermarket Carrier Bags be Banned?    &lt;/b&gt;&lt;br&gt;New European rules are being brought in to reduce the number of plastic carrier bags we use. In 2011, Italy became the first country in Europe to ban the bags but in 2010 the number of bags in the U.K. went up after four years of going down. More than six billion bags were used and campaigners want to reduce this number. Discarded bags in the sea cause some parts of the ocean to be like ‘plastic soup’, say politicians. Some countries have banned thin plastic bags, including China and South Africa. </t>
  </si>
  <si>
    <t>&lt;b&gt;Europe’s Space Freighter Lifts Off.   &lt;/b&gt;&lt;br&gt;The biggest space vehicle servicing the International Space Station (ISS) has taken off from French Guiana. The ATV 3 space truck is taking new supplies of food, water, air, and fuel to the station. It is also carrying experiments and spares for the high-flying astronaut outpost. The ATV is unmanned and is the biggest space vehicle servicing the station. Europe plans to send two further freighters to the station, in 2013 and 2014.</t>
  </si>
  <si>
    <t xml:space="preserve">1.       What is said about Bill Richards? </t>
  </si>
  <si>
    <t xml:space="preserve">3.       What is said about the next Ice Age?                                                                                         </t>
  </si>
  <si>
    <t>c)        It is already late.</t>
  </si>
  <si>
    <t>5.       What is said about ATV 3?</t>
  </si>
  <si>
    <t xml:space="preserve">7.        What is said about the chewing gum? </t>
  </si>
  <si>
    <t xml:space="preserve">10.     Which statement is true? </t>
  </si>
  <si>
    <t xml:space="preserve">11.     What is said about the pillow fight in Shanghai?                                                                           </t>
  </si>
  <si>
    <t xml:space="preserve">d)       They had problems for 27 days.                                                                   </t>
  </si>
  <si>
    <t xml:space="preserve">13.    What is said about homework? </t>
  </si>
  <si>
    <t xml:space="preserve">d)       The UN found it to be extensively damaged         </t>
  </si>
  <si>
    <t xml:space="preserve">15.    What is said about Orangutans and their nests? </t>
  </si>
  <si>
    <t xml:space="preserve">17.    What is said about teachers in Scotland?                                                                                   </t>
  </si>
  <si>
    <t xml:space="preserve">18.    Which of the following is true?                                                                                                       </t>
  </si>
  <si>
    <t xml:space="preserve">19.    What is said about aid? </t>
  </si>
  <si>
    <t xml:space="preserve">23.    What is said about Morgan, the killer whale?                                                                                      </t>
  </si>
  <si>
    <t xml:space="preserve">d)        The campaign website continues to get more than half a million hits a day.                  </t>
  </si>
  <si>
    <t xml:space="preserve">24.    Which of the following is true?                                                                                                            </t>
  </si>
  <si>
    <t xml:space="preserve">25.    The astrophysicist, Dimitar Sasselov, believes that;                                                                         </t>
  </si>
  <si>
    <t xml:space="preserve">27.    The report states that;                                                                                                                  </t>
  </si>
  <si>
    <t xml:space="preserve">d)       Gola National Park is of great import as a natural habitat.                                              </t>
  </si>
  <si>
    <t xml:space="preserve">29.    Which statement is true? </t>
  </si>
  <si>
    <t>&lt;b&gt;12-Year-Old Boy Wears a Skirt to School to Protest Against Uniform Rules. J &lt;/b&gt;&lt;br&gt;A boy is wearing a skirt to school to protest his school uniform’s policy which bans shorts. 12-year-old Chris Whitehead says trousers are too hot and that it’s “discriminatory” that girls can wear skirts in the summer, but boys can’t wear shorts. Chris’s head teacher, Mr. Campbell, said: “The boys can wear a skirt to school because it doesn’t say they can’t in the uniform policy and we would be discriminating against them if we did not allow it.”</t>
  </si>
  <si>
    <t>&lt;b&gt; ‘Hugo’ and ‘The Artist’ Lead This Year’s Oscar Nominations.  &lt;/b&gt;&lt;br&gt;This year’s Oscar nominations have been announced and it looks like Uggie, the dog, will need his bow tie again! This silent black and white movie ‘The Artist’ is up for 10 awards. It is also up for the top prize of Best Picture,  alongside 3D action adventure ‘Hugo’ and Steven Spielberg’s ‘War Horse’. ‘Hugo’, which is set in 1930’s Paris, got the most nominations overall, with a total of 11. The red carpet will be rolled out once again to welcome the movie stars to the Kodak Theatre in Hollywood.</t>
  </si>
  <si>
    <t>&lt;b&gt;Liberians Hope Long Wait for the Web is Finally Over.  &lt;/b&gt;&lt;br&gt;Getting online is difficult in Liberia. Connections are slow and expensive. A crowd gathers on a sandy beach near central Monrovia to watch as a diver emerges from the sea. He’s pulling a rope which a team on the beach helps drag ashore. Eventually a black fiber-optic cable pops out of the water and slithers up the sand, prompting cheers from the crowd. The cable will eventually provide broadband connectivity to more than 20 countries. News of the cable’s arrival on land is welcomed by a small group of men in an internet café in Monrovia. For them, getting online currently costs around $2 per hour –more money than many Liberians earn in a day. The current high cost and relatively slow internet connection in Liberia is not surprising, says Calestous Juma, an expert in telecommunications in Africa. “Fiber optic cables have more capacity and provide more consistent data flow than the current satellite connections being used.”</t>
  </si>
  <si>
    <t>&lt;b&gt;Andrew Nelson   &lt;/b&gt;&lt;br&gt;Andrew Nelson, an 18-year-old schoolboy rescued four people from a helicopter crash. He was playing football at school when he saw the helicopter crash in a nearby field. Immediately Andrew ran a mile to get to the scene of the accident. Andrew, whose father is a flying instructor, knew the helicopter was in danger of exploding but he ran inside and pulled out four adults while the head teacher of his school phoned for an ambulance and the fire brigade.</t>
  </si>
  <si>
    <t>&lt;b&gt;Travelling by Train.  &lt;/b&gt;&lt;br&gt;Travelling by train has many advantages. There are no stressful traffic jams and trains are fast and comfortable. You can use the time in different ways. You can sit and read or just watch the world go by. You can work or you can have a meal or a snack in the buffet car.</t>
  </si>
  <si>
    <t>&lt;b&gt;Schoolboy Hero  &lt;/b&gt;&lt;br&gt;Andrew Nelson, an 18-year-old schoolboy rescued four people from a helicopter crash. He was playing football at school when he saw the helicopter crash in a nearby field. Immediately Andrew ran a mile to get to the scene of the accident. Andrew, whose father is a flying instructor, knew the helicopter was in danger of exploding but he ran inside and pulled out four adults while the head teacher of his school phoned for an ambulance and the fire brigade.</t>
  </si>
  <si>
    <t>&lt;b&gt;Japanese ‘Ghost Ship’ Drifting Near Canada.    &lt;/b&gt;&lt;br&gt;A Japanese ‘ghost ship’ has been spotted off the coast of Canada. The fishing boat was swept away by the tsunami in 2011 and has been slowly drifting across the Pacific Ocean. Japanese officials say that there is no-one onboard the vessel. Experts think that it is the first large item of around 25 million tons of debris to cross the ocean as a result of the earthquake and tsunami but most of it isn’t expected to reach North America until 2014.</t>
  </si>
  <si>
    <t>&lt;b&gt;Slovakian Castle Gets Badly Burned.   &lt;/b&gt;&lt;br&gt;The 14th Century Krasna Horka castle has been badly burned, after two young boys set fire to grass while trying to light cigarettes. The boys, aged 11 and 12, caused a blaze that destroyed the castle’s roof and bell tower, as well as ten percent of the historical collections held there. The Krasna Horka has been a National Cultural Monument of the Slovak Republic since 1961.</t>
  </si>
  <si>
    <t xml:space="preserve">&lt;b&gt;Male Dolphins Live in ‘Gangs’ to Protect Females.   &lt;/b&gt;&lt;br&gt;We already knew that dolphins are clever creatures but it turns out that they are even more like humans than we thought. Scientists studying bottlenose dolphins in Australia have discovered that the males live in gangs. By travelling in groups, the males have better chances of protecting their females and fighting off rival gangs. Until now, only humans and elephants were known to live in complex social groups. The study found that male dolphins can belong to around three separate groups, all of different sizes. When a gang encounters a group of males, they then decide if the new dolphins will be friends or enemies. Occasionally, the males even switch groups and join a different gang they meet on their travels. </t>
  </si>
  <si>
    <t xml:space="preserve">4.       Which statement is true? </t>
  </si>
  <si>
    <t>6.       Which statement is true?</t>
  </si>
  <si>
    <t xml:space="preserve">8.        Which of the following is true? </t>
  </si>
  <si>
    <t xml:space="preserve">9.        What is said about the uniform policy?                                                                              </t>
  </si>
  <si>
    <t xml:space="preserve">10.     According to the report;                                                                                                               </t>
  </si>
  <si>
    <t xml:space="preserve">d)       She had auditioned for the film role.                                                                              </t>
  </si>
  <si>
    <t xml:space="preserve">12.     What is said about Guinness World Records?                                                                              </t>
  </si>
  <si>
    <t xml:space="preserve">14.     What is said about the clothes?                                                                                                         </t>
  </si>
  <si>
    <t xml:space="preserve">16.    What is said about male dolphins? </t>
  </si>
  <si>
    <t xml:space="preserve">18.    What is said about the Mars Science Lab (MSL)?                                                                         </t>
  </si>
  <si>
    <t xml:space="preserve">19.    The report states that;                                                                                                                             </t>
  </si>
  <si>
    <t xml:space="preserve">20.    What is said about King Henry the Eighth?                                                                                  </t>
  </si>
  <si>
    <t xml:space="preserve">d)       His older daughter was recognized as his.                                                                      </t>
  </si>
  <si>
    <t xml:space="preserve">22.    What is said about Zhou Youguang? </t>
  </si>
  <si>
    <t xml:space="preserve">24.    The report states that;                                                                                                                               </t>
  </si>
  <si>
    <t xml:space="preserve">26.    What is said about the starling birds?                                                                                                </t>
  </si>
  <si>
    <t xml:space="preserve">27.    What is said about a longer school day?                                                                                      </t>
  </si>
  <si>
    <t xml:space="preserve">28.    The report states that;                                                                                                                        </t>
  </si>
  <si>
    <t xml:space="preserve">30.    What is said about Tamara Rojo? </t>
  </si>
  <si>
    <t>106R-1</t>
  </si>
  <si>
    <t>105R-4</t>
  </si>
  <si>
    <t>Listening</t>
  </si>
  <si>
    <t>&lt;p&gt;1.  The Mobile Phone.  ……Listen to a &lt;u&gt;conversation&lt;/u&gt; about a mobile phone.What is the man &lt;b&gt;trying to do&lt;/b&gt; with the mobile phone? &lt;/p&gt;&lt;p&gt;&lt;span style="color:#63C"&gt;DEPARTAMENTO&lt;/span&gt;&lt;/p&gt;&lt;h2&gt; párrafo en heading 2&lt;/h2&gt;</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</si>
</sst>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sz val="11"/>
      <color rgb="FFC00000"/>
      <name val="Calibri"/>
      <family val="2"/>
      <scheme val="minor"/>
    </font>
    <font>
      <vertAlign val="superscript"/>
      <sz val="11"/>
      <color theme="1"/>
      <name val="Calibri"/>
      <family val="2"/>
      <scheme val="minor"/>
    </font>
    <font>
      <sz val="11"/>
      <color rgb="FF333333"/>
      <name val="Calibri"/>
      <family val="2"/>
      <scheme val="minor"/>
    </font>
    <font>
      <sz val="11"/>
      <color theme="1"/>
      <name val="Arial"/>
      <family val="2"/>
    </font>
    <font>
      <i/>
      <sz val="11"/>
      <color theme="1"/>
      <name val="Arial"/>
      <family val="2"/>
    </font>
    <font>
      <sz val="8"/>
      <color theme="1"/>
      <name val="Calibri"/>
      <family val="2"/>
      <scheme val="minor"/>
    </font>
    <font>
      <sz val="10"/>
      <color theme="1"/>
      <name val="Calibri"/>
      <family val="2"/>
      <scheme val="minor"/>
    </font>
    <font>
      <sz val="12"/>
      <color theme="1"/>
      <name val="Calibri"/>
      <family val="2"/>
      <scheme val="minor"/>
    </font>
    <font>
      <u/>
      <sz val="11"/>
      <color theme="1"/>
      <name val="Calibri"/>
      <family val="2"/>
      <scheme val="minor"/>
    </font>
    <font>
      <i/>
      <u/>
      <sz val="11"/>
      <color theme="1"/>
      <name val="Calibri"/>
      <family val="2"/>
      <scheme val="minor"/>
    </font>
    <font>
      <i/>
      <sz val="11"/>
      <color theme="1"/>
      <name val="Calibri"/>
      <family val="2"/>
      <scheme val="minor"/>
    </font>
    <font>
      <u/>
      <vertAlign val="superscript"/>
      <sz val="11"/>
      <color theme="1"/>
      <name val="Calibri"/>
      <family val="2"/>
      <scheme val="minor"/>
    </font>
    <font>
      <sz val="11.5"/>
      <color theme="1"/>
      <name val="Calibri"/>
      <family val="2"/>
      <scheme val="minor"/>
    </font>
    <font>
      <sz val="11.5"/>
      <color theme="1"/>
      <name val="Arial"/>
      <family val="2"/>
    </font>
  </fonts>
  <fills count="30">
    <fill>
      <patternFill patternType="none"/>
    </fill>
    <fill>
      <patternFill patternType="gray125"/>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0"/>
        <bgColor indexed="64"/>
      </patternFill>
    </fill>
    <fill>
      <patternFill patternType="solid">
        <fgColor rgb="FFCCFFCC"/>
        <bgColor indexed="64"/>
      </patternFill>
    </fill>
    <fill>
      <patternFill patternType="solid">
        <fgColor rgb="FFFFFFCC"/>
        <bgColor indexed="64"/>
      </patternFill>
    </fill>
    <fill>
      <patternFill patternType="solid">
        <fgColor rgb="FFCCCCFF"/>
        <bgColor indexed="64"/>
      </patternFill>
    </fill>
    <fill>
      <patternFill patternType="solid">
        <fgColor rgb="FFFFFF00"/>
        <bgColor indexed="64"/>
      </patternFill>
    </fill>
    <fill>
      <patternFill patternType="solid">
        <fgColor rgb="FFFFCCCC"/>
        <bgColor indexed="64"/>
      </patternFill>
    </fill>
    <fill>
      <patternFill patternType="solid">
        <fgColor rgb="FF99FFCC"/>
        <bgColor indexed="64"/>
      </patternFill>
    </fill>
    <fill>
      <patternFill patternType="solid">
        <fgColor rgb="FFFFC000"/>
        <bgColor indexed="64"/>
      </patternFill>
    </fill>
    <fill>
      <patternFill patternType="solid">
        <fgColor theme="6" tint="0.59999389629810485"/>
        <bgColor indexed="64"/>
      </patternFill>
    </fill>
    <fill>
      <patternFill patternType="solid">
        <fgColor rgb="FFFFCCFF"/>
        <bgColor indexed="64"/>
      </patternFill>
    </fill>
    <fill>
      <patternFill patternType="solid">
        <fgColor rgb="FFCCFFFF"/>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92D050"/>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3" tint="0.59999389629810485"/>
        <bgColor indexed="64"/>
      </patternFill>
    </fill>
  </fills>
  <borders count="7">
    <border>
      <left/>
      <right/>
      <top/>
      <bottom/>
      <diagonal/>
    </border>
    <border>
      <left style="thin">
        <color theme="0"/>
      </left>
      <right/>
      <top/>
      <bottom style="thin">
        <color theme="0"/>
      </bottom>
      <diagonal/>
    </border>
    <border>
      <left style="thin">
        <color theme="0"/>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s>
  <cellStyleXfs count="1">
    <xf numFmtId="0" fontId="0" fillId="0" borderId="0"/>
  </cellStyleXfs>
  <cellXfs count="117">
    <xf numFmtId="0" fontId="0" fillId="0" borderId="0" xfId="0"/>
    <xf numFmtId="0" fontId="0" fillId="0" borderId="0" xfId="0" applyAlignment="1">
      <alignment wrapText="1"/>
    </xf>
    <xf numFmtId="0" fontId="0" fillId="0" borderId="0" xfId="0" applyAlignment="1"/>
    <xf numFmtId="49" fontId="0" fillId="2" borderId="1" xfId="0" applyNumberFormat="1" applyFill="1" applyBorder="1"/>
    <xf numFmtId="0" fontId="1" fillId="0" borderId="0" xfId="0" applyFont="1"/>
    <xf numFmtId="0" fontId="1" fillId="4" borderId="0" xfId="0" applyFont="1" applyFill="1"/>
    <xf numFmtId="49" fontId="0" fillId="3" borderId="2" xfId="0" applyNumberFormat="1" applyFill="1" applyBorder="1"/>
    <xf numFmtId="0" fontId="0" fillId="5" borderId="3" xfId="0" applyFill="1" applyBorder="1" applyAlignment="1"/>
    <xf numFmtId="0" fontId="0" fillId="5" borderId="3" xfId="0" applyFill="1" applyBorder="1" applyAlignment="1">
      <alignment wrapText="1"/>
    </xf>
    <xf numFmtId="0" fontId="0" fillId="5" borderId="4" xfId="0" applyFill="1" applyBorder="1" applyAlignment="1"/>
    <xf numFmtId="0" fontId="0" fillId="5" borderId="4" xfId="0" applyFill="1" applyBorder="1" applyAlignment="1">
      <alignment wrapText="1"/>
    </xf>
    <xf numFmtId="0" fontId="0" fillId="6" borderId="3" xfId="0" applyFill="1" applyBorder="1" applyAlignment="1"/>
    <xf numFmtId="0" fontId="0" fillId="7" borderId="3" xfId="0" applyFill="1" applyBorder="1" applyAlignment="1"/>
    <xf numFmtId="0" fontId="0" fillId="6" borderId="3" xfId="0" applyFont="1" applyFill="1" applyBorder="1" applyAlignment="1"/>
    <xf numFmtId="0" fontId="0" fillId="8" borderId="3" xfId="0" applyFill="1" applyBorder="1" applyAlignment="1"/>
    <xf numFmtId="0" fontId="0" fillId="8" borderId="3" xfId="0" applyFill="1" applyBorder="1"/>
    <xf numFmtId="0" fontId="0" fillId="8" borderId="3" xfId="0" applyFill="1" applyBorder="1" applyAlignment="1">
      <alignment wrapText="1"/>
    </xf>
    <xf numFmtId="0" fontId="0" fillId="9" borderId="3" xfId="0" applyFill="1" applyBorder="1" applyAlignment="1">
      <alignment wrapText="1"/>
    </xf>
    <xf numFmtId="0" fontId="0" fillId="10" borderId="3" xfId="0" applyFill="1" applyBorder="1" applyAlignment="1">
      <alignment wrapText="1"/>
    </xf>
    <xf numFmtId="0" fontId="0" fillId="7" borderId="3" xfId="0" applyFont="1" applyFill="1" applyBorder="1" applyAlignment="1"/>
    <xf numFmtId="0" fontId="0" fillId="6" borderId="3" xfId="0" applyFill="1" applyBorder="1" applyAlignment="1">
      <alignment wrapText="1"/>
    </xf>
    <xf numFmtId="0" fontId="0" fillId="8" borderId="0" xfId="0" applyFill="1" applyAlignment="1">
      <alignment wrapText="1"/>
    </xf>
    <xf numFmtId="0" fontId="0" fillId="8" borderId="5" xfId="0" applyFill="1" applyBorder="1" applyAlignment="1">
      <alignment wrapText="1"/>
    </xf>
    <xf numFmtId="0" fontId="0" fillId="8" borderId="5" xfId="0" applyFill="1" applyBorder="1" applyAlignment="1"/>
    <xf numFmtId="0" fontId="0" fillId="8" borderId="5" xfId="0" applyFill="1" applyBorder="1"/>
    <xf numFmtId="0" fontId="0" fillId="11" borderId="3" xfId="0" applyFill="1" applyBorder="1" applyAlignment="1">
      <alignment wrapText="1"/>
    </xf>
    <xf numFmtId="0" fontId="0" fillId="12" borderId="3" xfId="0" applyFill="1" applyBorder="1" applyAlignment="1">
      <alignment wrapText="1"/>
    </xf>
    <xf numFmtId="0" fontId="0" fillId="12" borderId="0" xfId="0" applyFill="1" applyAlignment="1">
      <alignment wrapText="1"/>
    </xf>
    <xf numFmtId="0" fontId="0" fillId="12" borderId="3" xfId="0" applyFill="1" applyBorder="1" applyAlignment="1"/>
    <xf numFmtId="0" fontId="0" fillId="12" borderId="3" xfId="0" applyFill="1" applyBorder="1"/>
    <xf numFmtId="0" fontId="0" fillId="13" borderId="0" xfId="0" applyFill="1" applyAlignment="1">
      <alignment wrapText="1"/>
    </xf>
    <xf numFmtId="0" fontId="0" fillId="13" borderId="3" xfId="0" applyFill="1" applyBorder="1" applyAlignment="1"/>
    <xf numFmtId="0" fontId="0" fillId="13" borderId="3" xfId="0" applyFill="1" applyBorder="1"/>
    <xf numFmtId="0" fontId="0" fillId="13" borderId="3" xfId="0" applyFill="1" applyBorder="1" applyAlignment="1">
      <alignment wrapText="1"/>
    </xf>
    <xf numFmtId="0" fontId="0" fillId="14" borderId="0" xfId="0" applyFill="1" applyAlignment="1">
      <alignment wrapText="1"/>
    </xf>
    <xf numFmtId="0" fontId="0" fillId="14" borderId="3" xfId="0" applyFill="1" applyBorder="1" applyAlignment="1"/>
    <xf numFmtId="0" fontId="0" fillId="14" borderId="3" xfId="0" applyFill="1" applyBorder="1"/>
    <xf numFmtId="0" fontId="0" fillId="14" borderId="3" xfId="0" applyFill="1" applyBorder="1" applyAlignment="1">
      <alignment wrapText="1"/>
    </xf>
    <xf numFmtId="0" fontId="0" fillId="15" borderId="0" xfId="0" applyFill="1" applyAlignment="1">
      <alignment wrapText="1"/>
    </xf>
    <xf numFmtId="0" fontId="0" fillId="15" borderId="3" xfId="0" applyFill="1" applyBorder="1" applyAlignment="1"/>
    <xf numFmtId="0" fontId="0" fillId="15" borderId="3" xfId="0" applyFill="1" applyBorder="1"/>
    <xf numFmtId="0" fontId="0" fillId="15" borderId="3" xfId="0" applyFill="1" applyBorder="1" applyAlignment="1">
      <alignment wrapText="1"/>
    </xf>
    <xf numFmtId="0" fontId="6" fillId="15" borderId="3" xfId="0" applyFont="1" applyFill="1" applyBorder="1" applyAlignment="1">
      <alignment wrapText="1"/>
    </xf>
    <xf numFmtId="0" fontId="0" fillId="5" borderId="0" xfId="0" applyFill="1" applyBorder="1" applyAlignment="1">
      <alignment wrapText="1"/>
    </xf>
    <xf numFmtId="0" fontId="0" fillId="0" borderId="0" xfId="0" applyFill="1" applyAlignment="1">
      <alignment wrapText="1"/>
    </xf>
    <xf numFmtId="0" fontId="0" fillId="0" borderId="4" xfId="0" applyNumberFormat="1" applyFill="1" applyBorder="1" applyAlignment="1"/>
    <xf numFmtId="0" fontId="0" fillId="0" borderId="0" xfId="0" applyNumberFormat="1" applyFill="1" applyBorder="1" applyAlignment="1"/>
    <xf numFmtId="0" fontId="0" fillId="0" borderId="0" xfId="0" applyNumberFormat="1" applyFill="1" applyAlignment="1"/>
    <xf numFmtId="0" fontId="0" fillId="8" borderId="4" xfId="0" applyFill="1" applyBorder="1" applyAlignment="1"/>
    <xf numFmtId="0" fontId="7" fillId="8" borderId="4" xfId="0" applyFont="1" applyFill="1" applyBorder="1" applyAlignment="1"/>
    <xf numFmtId="0" fontId="7" fillId="8" borderId="4" xfId="0" applyFont="1" applyFill="1" applyBorder="1" applyAlignment="1">
      <alignment wrapText="1"/>
    </xf>
    <xf numFmtId="0" fontId="0" fillId="8" borderId="4" xfId="0" applyFill="1" applyBorder="1" applyAlignment="1">
      <alignment wrapText="1"/>
    </xf>
    <xf numFmtId="0" fontId="0" fillId="16" borderId="3" xfId="0" applyFill="1" applyBorder="1" applyAlignment="1"/>
    <xf numFmtId="0" fontId="0" fillId="16" borderId="3" xfId="0" applyFont="1" applyFill="1" applyBorder="1" applyAlignment="1"/>
    <xf numFmtId="0" fontId="0" fillId="16" borderId="4" xfId="0" applyFill="1" applyBorder="1" applyAlignment="1"/>
    <xf numFmtId="0" fontId="0" fillId="16" borderId="3" xfId="0" applyFill="1" applyBorder="1" applyAlignment="1">
      <alignment wrapText="1"/>
    </xf>
    <xf numFmtId="0" fontId="0" fillId="7" borderId="3" xfId="0" applyFill="1" applyBorder="1" applyAlignment="1">
      <alignment wrapText="1"/>
    </xf>
    <xf numFmtId="0" fontId="0" fillId="17" borderId="3" xfId="0" applyFill="1" applyBorder="1" applyAlignment="1">
      <alignment wrapText="1"/>
    </xf>
    <xf numFmtId="0" fontId="0" fillId="17" borderId="3" xfId="0" applyFill="1" applyBorder="1" applyAlignment="1"/>
    <xf numFmtId="0" fontId="0" fillId="17" borderId="3" xfId="0" applyFill="1" applyBorder="1"/>
    <xf numFmtId="0" fontId="0" fillId="17" borderId="0" xfId="0" applyFill="1" applyAlignment="1">
      <alignment wrapText="1"/>
    </xf>
    <xf numFmtId="0" fontId="0" fillId="17" borderId="0" xfId="0" applyFill="1"/>
    <xf numFmtId="0" fontId="0" fillId="18" borderId="3" xfId="0" applyFill="1" applyBorder="1" applyAlignment="1"/>
    <xf numFmtId="0" fontId="0" fillId="18" borderId="3" xfId="0" applyFill="1" applyBorder="1"/>
    <xf numFmtId="0" fontId="0" fillId="18" borderId="3" xfId="0" applyFill="1" applyBorder="1" applyAlignment="1">
      <alignment wrapText="1"/>
    </xf>
    <xf numFmtId="0" fontId="0" fillId="18" borderId="5" xfId="0" applyFill="1" applyBorder="1" applyAlignment="1">
      <alignment wrapText="1"/>
    </xf>
    <xf numFmtId="0" fontId="0" fillId="18" borderId="5" xfId="0" applyFill="1" applyBorder="1" applyAlignment="1"/>
    <xf numFmtId="0" fontId="0" fillId="18" borderId="5" xfId="0" applyFill="1" applyBorder="1"/>
    <xf numFmtId="0" fontId="0" fillId="8" borderId="0" xfId="0" applyFill="1" applyBorder="1"/>
    <xf numFmtId="0" fontId="0" fillId="9" borderId="4" xfId="0" applyFill="1" applyBorder="1" applyAlignment="1"/>
    <xf numFmtId="0" fontId="0" fillId="9" borderId="6" xfId="0" applyFill="1" applyBorder="1" applyAlignment="1">
      <alignment wrapText="1"/>
    </xf>
    <xf numFmtId="0" fontId="0" fillId="9" borderId="3" xfId="0" applyFill="1" applyBorder="1" applyAlignment="1"/>
    <xf numFmtId="0" fontId="0" fillId="9" borderId="6" xfId="0" applyFill="1" applyBorder="1" applyAlignment="1"/>
    <xf numFmtId="0" fontId="0" fillId="9" borderId="6" xfId="0" applyFill="1" applyBorder="1"/>
    <xf numFmtId="0" fontId="0" fillId="19" borderId="0" xfId="0" applyFill="1" applyAlignment="1">
      <alignment wrapText="1"/>
    </xf>
    <xf numFmtId="0" fontId="0" fillId="19" borderId="3" xfId="0" applyFill="1" applyBorder="1" applyAlignment="1"/>
    <xf numFmtId="0" fontId="0" fillId="19" borderId="3" xfId="0" applyFill="1" applyBorder="1"/>
    <xf numFmtId="0" fontId="0" fillId="19" borderId="3" xfId="0" applyFill="1" applyBorder="1" applyAlignment="1">
      <alignment wrapText="1"/>
    </xf>
    <xf numFmtId="0" fontId="0" fillId="20" borderId="4" xfId="0" applyFill="1" applyBorder="1" applyAlignment="1"/>
    <xf numFmtId="0" fontId="0" fillId="20" borderId="6" xfId="0" applyFill="1" applyBorder="1" applyAlignment="1">
      <alignment wrapText="1"/>
    </xf>
    <xf numFmtId="0" fontId="0" fillId="20" borderId="3" xfId="0" applyFill="1" applyBorder="1" applyAlignment="1"/>
    <xf numFmtId="0" fontId="0" fillId="20" borderId="6" xfId="0" applyFill="1" applyBorder="1" applyAlignment="1"/>
    <xf numFmtId="0" fontId="0" fillId="20" borderId="0" xfId="0" applyFill="1" applyAlignment="1">
      <alignment wrapText="1"/>
    </xf>
    <xf numFmtId="0" fontId="0" fillId="20" borderId="3" xfId="0" applyFill="1" applyBorder="1" applyAlignment="1">
      <alignment wrapText="1"/>
    </xf>
    <xf numFmtId="0" fontId="8" fillId="20" borderId="6" xfId="0" applyFont="1" applyFill="1" applyBorder="1" applyAlignment="1">
      <alignment wrapText="1"/>
    </xf>
    <xf numFmtId="0" fontId="0" fillId="18" borderId="6" xfId="0" applyFill="1" applyBorder="1" applyAlignment="1"/>
    <xf numFmtId="0" fontId="0" fillId="18" borderId="6" xfId="0" applyFill="1" applyBorder="1" applyAlignment="1">
      <alignment wrapText="1"/>
    </xf>
    <xf numFmtId="0" fontId="0" fillId="18" borderId="4" xfId="0" applyFill="1" applyBorder="1" applyAlignment="1"/>
    <xf numFmtId="0" fontId="0" fillId="20" borderId="0" xfId="0" applyFill="1" applyBorder="1" applyAlignment="1">
      <alignment wrapText="1"/>
    </xf>
    <xf numFmtId="0" fontId="9" fillId="20" borderId="0" xfId="0" applyFont="1" applyFill="1" applyAlignment="1">
      <alignment wrapText="1"/>
    </xf>
    <xf numFmtId="0" fontId="9" fillId="17" borderId="3" xfId="0" applyFont="1" applyFill="1" applyBorder="1"/>
    <xf numFmtId="0" fontId="0" fillId="21" borderId="0" xfId="0" applyFill="1" applyAlignment="1">
      <alignment wrapText="1"/>
    </xf>
    <xf numFmtId="0" fontId="0" fillId="22" borderId="3" xfId="0" applyFill="1" applyBorder="1" applyAlignment="1">
      <alignment wrapText="1"/>
    </xf>
    <xf numFmtId="0" fontId="13" fillId="0" borderId="0" xfId="0" applyFont="1"/>
    <xf numFmtId="0" fontId="14" fillId="0" borderId="0" xfId="0" applyFont="1" applyAlignment="1">
      <alignment horizontal="left" vertical="top" wrapText="1"/>
    </xf>
    <xf numFmtId="0" fontId="0" fillId="23" borderId="3" xfId="0" applyFill="1" applyBorder="1" applyAlignment="1">
      <alignment wrapText="1"/>
    </xf>
    <xf numFmtId="0" fontId="0" fillId="24" borderId="3" xfId="0" applyFill="1" applyBorder="1" applyAlignment="1">
      <alignment wrapText="1"/>
    </xf>
    <xf numFmtId="0" fontId="0" fillId="25" borderId="3" xfId="0" applyFill="1" applyBorder="1" applyAlignment="1">
      <alignment wrapText="1"/>
    </xf>
    <xf numFmtId="0" fontId="0" fillId="4" borderId="3" xfId="0" applyFill="1" applyBorder="1"/>
    <xf numFmtId="49" fontId="0" fillId="3" borderId="1" xfId="0" applyNumberFormat="1" applyFill="1" applyBorder="1"/>
    <xf numFmtId="0" fontId="0" fillId="26" borderId="3" xfId="0" applyFill="1" applyBorder="1" applyAlignment="1">
      <alignment wrapText="1"/>
    </xf>
    <xf numFmtId="17" fontId="0" fillId="26" borderId="3" xfId="0" applyNumberFormat="1" applyFill="1" applyBorder="1" applyAlignment="1">
      <alignment wrapText="1"/>
    </xf>
    <xf numFmtId="0" fontId="9" fillId="18" borderId="0" xfId="0" applyFont="1" applyFill="1" applyAlignment="1">
      <alignment wrapText="1"/>
    </xf>
    <xf numFmtId="0" fontId="0" fillId="11" borderId="0" xfId="0" applyFill="1" applyAlignment="1">
      <alignment wrapText="1"/>
    </xf>
    <xf numFmtId="0" fontId="0" fillId="11" borderId="3" xfId="0" applyFill="1" applyBorder="1" applyAlignment="1"/>
    <xf numFmtId="17" fontId="0" fillId="18" borderId="3" xfId="0" applyNumberFormat="1" applyFill="1" applyBorder="1" applyAlignment="1">
      <alignment wrapText="1"/>
    </xf>
    <xf numFmtId="0" fontId="0" fillId="27" borderId="3" xfId="0" applyFill="1" applyBorder="1" applyAlignment="1">
      <alignment wrapText="1"/>
    </xf>
    <xf numFmtId="17" fontId="0" fillId="27" borderId="3" xfId="0" applyNumberFormat="1" applyFill="1" applyBorder="1" applyAlignment="1">
      <alignment wrapText="1"/>
    </xf>
    <xf numFmtId="0" fontId="0" fillId="28" borderId="3" xfId="0" applyFill="1" applyBorder="1" applyAlignment="1">
      <alignment wrapText="1"/>
    </xf>
    <xf numFmtId="17" fontId="0" fillId="28" borderId="3" xfId="0" applyNumberFormat="1" applyFill="1" applyBorder="1" applyAlignment="1">
      <alignment wrapText="1"/>
    </xf>
    <xf numFmtId="17" fontId="0" fillId="12" borderId="3" xfId="0" applyNumberFormat="1" applyFill="1" applyBorder="1" applyAlignment="1">
      <alignment wrapText="1"/>
    </xf>
    <xf numFmtId="1" fontId="0" fillId="0" borderId="0" xfId="0" applyNumberFormat="1"/>
    <xf numFmtId="0" fontId="0" fillId="29" borderId="3" xfId="0" applyFill="1" applyBorder="1" applyAlignment="1">
      <alignment wrapText="1"/>
    </xf>
    <xf numFmtId="49" fontId="0" fillId="29" borderId="3" xfId="0" applyNumberFormat="1" applyFill="1" applyBorder="1" applyAlignment="1">
      <alignment wrapText="1"/>
    </xf>
    <xf numFmtId="0" fontId="0" fillId="24" borderId="0" xfId="0" applyFill="1" applyAlignment="1">
      <alignment wrapText="1"/>
    </xf>
    <xf numFmtId="0" fontId="0" fillId="24" borderId="3" xfId="0" applyFill="1" applyBorder="1" applyAlignment="1"/>
    <xf numFmtId="0" fontId="0" fillId="6" borderId="0" xfId="0" applyFill="1" applyAlignment="1">
      <alignment wrapText="1"/>
    </xf>
  </cellXfs>
  <cellStyles count="1">
    <cellStyle name="Normal" xfId="0" builtinId="0"/>
  </cellStyles>
  <dxfs count="34">
    <dxf>
      <numFmt numFmtId="30" formatCode="@"/>
      <fill>
        <patternFill patternType="solid">
          <fgColor theme="4" tint="0.79998168889431442"/>
          <bgColor theme="4" tint="0.79998168889431442"/>
        </patternFill>
      </fill>
      <border diagonalUp="0" diagonalDown="0">
        <left style="thin">
          <color theme="0"/>
        </left>
        <right/>
        <top/>
        <bottom style="thin">
          <color theme="0"/>
        </bottom>
        <vertical/>
        <horizontal/>
      </border>
    </dxf>
    <dxf>
      <border outline="0">
        <left style="thin">
          <color theme="0"/>
        </left>
      </border>
    </dxf>
    <dxf>
      <fill>
        <patternFill patternType="solid">
          <fgColor theme="4" tint="0.79998168889431442"/>
          <bgColor theme="4" tint="0.79998168889431442"/>
        </patternFill>
      </fill>
    </dxf>
    <dxf>
      <font>
        <b val="0"/>
        <i val="0"/>
        <strike val="0"/>
        <condense val="0"/>
        <extend val="0"/>
        <outline val="0"/>
        <shadow val="0"/>
        <u val="none"/>
        <vertAlign val="baseline"/>
        <sz val="11"/>
        <color rgb="FFC00000"/>
        <name val="Calibri"/>
        <scheme val="minor"/>
      </font>
      <fill>
        <patternFill patternType="solid">
          <fgColor indexed="64"/>
          <bgColor theme="0"/>
        </patternFill>
      </fill>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bgColor rgb="FFFFFF00"/>
        </patternFill>
      </fill>
      <alignment horizontal="general" vertical="bottom" textRotation="0" wrapText="0" indent="0" justifyLastLine="0" shrinkToFit="0" readingOrder="0"/>
    </dxf>
    <dxf>
      <alignment horizontal="general" vertical="bottom" textRotation="0" wrapText="1" relative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relativeIndent="0" justifyLastLine="0" shrinkToFit="0" readingOrder="0"/>
    </dxf>
  </dxfs>
  <tableStyles count="0" defaultTableStyle="TableStyleMedium9" defaultPivotStyle="PivotStyleLight16"/>
  <colors>
    <mruColors>
      <color rgb="FFFFFFCC"/>
      <color rgb="FF99FFCC"/>
      <color rgb="FFFFCCCC"/>
      <color rgb="FFFFCCFF"/>
      <color rgb="FFCCFFFF"/>
      <color rgb="FF00FFFF"/>
      <color rgb="FFCCCCFF"/>
      <color rgb="FFCCFFCC"/>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sites">
        <xsd:complexType>
          <xsd:sequence minOccurs="0">
            <xsd:element minOccurs="0" nillable="true" name="site" form="unqualified">
              <xsd:complexType>
                <xsd:sequence minOccurs="0">
                  <xsd:element minOccurs="0" maxOccurs="unbounded" nillable="true" name="pregunta" form="unqualified">
                    <xsd:complexType>
                      <xsd:sequence minOccurs="0">
                        <xsd:element minOccurs="0" nillable="true" type="xsd:string" name="url" form="unqualified"/>
                        <xsd:element minOccurs="0" nillable="true" name="respuestas" form="unqualified">
                          <xsd:complexType>
                            <xsd:sequence minOccurs="0">
                              <xsd:element minOccurs="0" nillable="true" name="brief" form="unqualified">
                                <xsd:complexType>
                                  <xsd:sequence minOccurs="0">
                                    <xsd:element minOccurs="0" nillable="true" type="xsd:string" name="resp1" form="unqualified"/>
                                    <xsd:element minOccurs="0" nillable="true" type="xsd:string" name="resp2" form="unqualified"/>
                                    <xsd:element minOccurs="0" nillable="true" type="xsd:string" name="resp3" form="unqualified"/>
                                    <xsd:element minOccurs="0" nillable="true" type="xsd:string" name="resp4" form="unqualified"/>
                                    <xsd:element minOccurs="0" nillable="true" type="xsd:string" name="long" form="unqualified"/>
                                  </xsd:sequence>
                                </xsd:complexType>
                              </xsd:element>
                            </xsd:sequence>
                          </xsd:complexType>
                        </xsd:element>
                      </xsd:sequence>
                      <xsd:attribute name="id" form="unqualified" type="xsd:integer"/>
                      <xsd:attribute name="texto" form="unqualified" type="xsd:string"/>
                    </xsd:complexType>
                  </xsd:element>
                </xsd:sequence>
                <xsd:attribute name="id" form="unqualified" type="xsd:integer"/>
              </xsd:complexType>
            </xsd:element>
          </xsd:sequence>
          <xsd:attribute name="fecha" form="unqualified" type="xsd:string"/>
          <xsd:attribute name="titulo" form="unqualified" type="xsd:string"/>
        </xsd:complexType>
      </xsd:element>
    </xsd:schema>
  </Schema>
  <Map ID="1" Name="sites_Map" RootElement="sites"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4" name="Mitabla5" displayName="Mitabla5" ref="A1:N121" totalsRowShown="0" headerRowDxfId="33" dataDxfId="32">
  <tableColumns count="14">
    <tableColumn id="1" name="fecha" dataDxfId="31"/>
    <tableColumn id="2" name="titulo" dataDxfId="30"/>
    <tableColumn id="3" name="id_exam" dataDxfId="29"/>
    <tableColumn id="13" name="nombre_examen" dataDxfId="28"/>
    <tableColumn id="4" name="nquest" dataDxfId="27"/>
    <tableColumn id="5" name="Question" dataDxfId="26"/>
    <tableColumn id="6" name="url" dataDxfId="25"/>
    <tableColumn id="12" name="repeat" dataDxfId="24"/>
    <tableColumn id="11" name="delay" dataDxfId="23"/>
    <tableColumn id="7" name="answ1" dataDxfId="22"/>
    <tableColumn id="8" name="answ2" dataDxfId="21"/>
    <tableColumn id="9" name="answ3" dataDxfId="20"/>
    <tableColumn id="10" name="answ4" dataDxfId="19"/>
    <tableColumn id="14" name="answ5" dataDxfId="18">
      <calculatedColumnFormula>CONCATENATE("A. ",(J2))</calculatedColumnFormula>
    </tableColumn>
  </tableColumns>
  <tableStyleInfo showFirstColumn="0" showLastColumn="0" showRowStripes="1" showColumnStripes="0"/>
</table>
</file>

<file path=xl/tables/table2.xml><?xml version="1.0" encoding="utf-8"?>
<table xmlns="http://schemas.openxmlformats.org/spreadsheetml/2006/main" id="3" name="Mitabla34" displayName="Mitabla34" ref="A1:L2" insertRow="1" totalsRowShown="0" headerRowDxfId="17" dataDxfId="16">
  <tableColumns count="12">
    <tableColumn id="1" name="fecha" dataDxfId="15"/>
    <tableColumn id="2" name="titulo" dataDxfId="14"/>
    <tableColumn id="3" name="id_exam" dataDxfId="13"/>
    <tableColumn id="13" name="nombre_examen" dataDxfId="12"/>
    <tableColumn id="4" name="nquest" dataDxfId="11"/>
    <tableColumn id="5" name="Texto" dataDxfId="10"/>
    <tableColumn id="6" name="Question1" dataDxfId="9"/>
    <tableColumn id="7" name="answ1" dataDxfId="8"/>
    <tableColumn id="8" name="answ2" dataDxfId="7"/>
    <tableColumn id="9" name="answ3" dataDxfId="6"/>
    <tableColumn id="10" name="answ4" dataDxfId="5"/>
    <tableColumn id="11" name="Question2" dataDxfId="4"/>
  </tableColumns>
  <tableStyleInfo showFirstColumn="0" showLastColumn="0" showRowStripes="1" showColumnStripes="0"/>
</table>
</file>

<file path=xl/tables/table3.xml><?xml version="1.0" encoding="utf-8"?>
<table xmlns="http://schemas.openxmlformats.org/spreadsheetml/2006/main" id="2" name="Tabla2" displayName="Tabla2" ref="B1:B169" totalsRowShown="0" headerRowDxfId="3" dataDxfId="2" tableBorderDxfId="1">
  <tableColumns count="1">
    <tableColumn id="1" name="Poner DNI sin letra" dataDxfId="0"/>
  </tableColumns>
  <tableStyleInfo name="TableStyleLight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R1228"/>
  <sheetViews>
    <sheetView tabSelected="1" topLeftCell="C878" zoomScale="90" zoomScaleNormal="90" workbookViewId="0">
      <selection activeCell="F883" sqref="F883"/>
    </sheetView>
  </sheetViews>
  <sheetFormatPr baseColWidth="10" defaultRowHeight="15" x14ac:dyDescent="0.25"/>
  <cols>
    <col min="1" max="1" width="6.42578125" style="1" customWidth="1"/>
    <col min="2" max="2" width="5.140625" style="1" customWidth="1"/>
    <col min="3" max="3" width="7.140625" style="1" customWidth="1"/>
    <col min="4" max="4" width="23" style="1" customWidth="1"/>
    <col min="5" max="5" width="8.140625" style="1" customWidth="1"/>
    <col min="6" max="6" width="66.140625" style="1" customWidth="1"/>
    <col min="7" max="7" width="40.5703125" style="1" customWidth="1"/>
    <col min="8" max="8" width="5.28515625" style="1" customWidth="1"/>
    <col min="9" max="9" width="5.42578125" style="1" customWidth="1"/>
    <col min="10" max="10" width="58.28515625" style="1" customWidth="1"/>
    <col min="11" max="11" width="64.140625" style="1" customWidth="1"/>
    <col min="12" max="12" width="41.42578125" style="1" customWidth="1"/>
    <col min="13" max="13" width="36.42578125" style="1" bestFit="1" customWidth="1"/>
    <col min="14" max="14" width="14.28515625" style="1" customWidth="1"/>
    <col min="15" max="16384" width="11.42578125" style="1"/>
  </cols>
  <sheetData>
    <row r="1" spans="1:14" ht="30" x14ac:dyDescent="0.25">
      <c r="A1" s="1" t="s">
        <v>0</v>
      </c>
      <c r="B1" s="1" t="s">
        <v>1</v>
      </c>
      <c r="C1" s="1" t="s">
        <v>8</v>
      </c>
      <c r="D1" s="1" t="s">
        <v>15</v>
      </c>
      <c r="E1" s="1" t="s">
        <v>10</v>
      </c>
      <c r="F1" s="1" t="s">
        <v>9</v>
      </c>
      <c r="G1" s="1" t="s">
        <v>2</v>
      </c>
      <c r="H1" s="1" t="s">
        <v>5</v>
      </c>
      <c r="I1" s="1" t="s">
        <v>11</v>
      </c>
      <c r="J1" s="1" t="s">
        <v>3</v>
      </c>
      <c r="K1" s="1" t="s">
        <v>4</v>
      </c>
      <c r="L1" s="1" t="s">
        <v>6</v>
      </c>
      <c r="M1" s="1" t="s">
        <v>7</v>
      </c>
      <c r="N1" s="1" t="s">
        <v>2013</v>
      </c>
    </row>
    <row r="2" spans="1:14" s="7" customFormat="1" x14ac:dyDescent="0.25">
      <c r="A2" s="9"/>
      <c r="B2" s="9"/>
      <c r="C2" s="9">
        <v>1</v>
      </c>
      <c r="D2" s="9" t="s">
        <v>54</v>
      </c>
      <c r="E2" s="9">
        <v>1</v>
      </c>
      <c r="F2" s="9" t="s">
        <v>55</v>
      </c>
      <c r="G2" s="9" t="s">
        <v>1227</v>
      </c>
      <c r="H2" s="9">
        <v>1</v>
      </c>
      <c r="I2" s="9">
        <v>20</v>
      </c>
      <c r="J2" s="9" t="s">
        <v>361</v>
      </c>
      <c r="K2" s="9" t="s">
        <v>1690</v>
      </c>
      <c r="L2" s="9" t="s">
        <v>175</v>
      </c>
      <c r="M2" s="9" t="s">
        <v>1692</v>
      </c>
      <c r="N2" s="45" t="str">
        <f>CONCATENATE("A. ",(J2))</f>
        <v>A. A. My Uncle Percy is married to a Welsh woman.</v>
      </c>
    </row>
    <row r="3" spans="1:14" s="7" customFormat="1" x14ac:dyDescent="0.25">
      <c r="A3" s="9"/>
      <c r="B3" s="9"/>
      <c r="C3" s="9"/>
      <c r="D3" s="9" t="s">
        <v>1988</v>
      </c>
      <c r="E3" s="9">
        <v>2</v>
      </c>
      <c r="F3" s="9" t="s">
        <v>56</v>
      </c>
      <c r="G3" s="9" t="s">
        <v>1228</v>
      </c>
      <c r="H3" s="9">
        <v>1</v>
      </c>
      <c r="I3" s="9">
        <v>20</v>
      </c>
      <c r="J3" s="9" t="s">
        <v>362</v>
      </c>
      <c r="K3" s="9" t="s">
        <v>386</v>
      </c>
      <c r="L3" s="9" t="s">
        <v>176</v>
      </c>
      <c r="M3" s="9" t="s">
        <v>174</v>
      </c>
      <c r="N3" s="45" t="str">
        <f t="shared" ref="N3:N33" si="0">CONCATENATE("A. ",(J3))</f>
        <v>A. A. The authorities kept the disease under control</v>
      </c>
    </row>
    <row r="4" spans="1:14" s="7" customFormat="1" x14ac:dyDescent="0.25">
      <c r="A4" s="9"/>
      <c r="B4" s="9"/>
      <c r="C4" s="9"/>
      <c r="D4" s="9" t="s">
        <v>16</v>
      </c>
      <c r="E4" s="9">
        <v>3</v>
      </c>
      <c r="F4" s="9" t="s">
        <v>57</v>
      </c>
      <c r="G4" s="9" t="s">
        <v>1229</v>
      </c>
      <c r="H4" s="9">
        <v>1</v>
      </c>
      <c r="I4" s="9">
        <v>20</v>
      </c>
      <c r="J4" s="9" t="s">
        <v>1689</v>
      </c>
      <c r="K4" s="9" t="s">
        <v>1691</v>
      </c>
      <c r="L4" s="9" t="s">
        <v>1694</v>
      </c>
      <c r="M4" s="9" t="s">
        <v>173</v>
      </c>
      <c r="N4" s="45" t="str">
        <f t="shared" si="0"/>
        <v>A. A. Mrs. Peters made an offer of $500 for the grandfather clock</v>
      </c>
    </row>
    <row r="5" spans="1:14" s="7" customFormat="1" x14ac:dyDescent="0.25">
      <c r="A5" s="9"/>
      <c r="B5" s="9"/>
      <c r="C5" s="9"/>
      <c r="D5" s="9" t="s">
        <v>1757</v>
      </c>
      <c r="E5" s="9">
        <v>4</v>
      </c>
      <c r="F5" s="9" t="s">
        <v>58</v>
      </c>
      <c r="G5" s="9" t="s">
        <v>1230</v>
      </c>
      <c r="H5" s="9">
        <v>1</v>
      </c>
      <c r="I5" s="9">
        <v>20</v>
      </c>
      <c r="J5" s="9" t="s">
        <v>1758</v>
      </c>
      <c r="K5" s="9" t="s">
        <v>367</v>
      </c>
      <c r="L5" s="9" t="s">
        <v>1695</v>
      </c>
      <c r="M5" s="9" t="s">
        <v>172</v>
      </c>
      <c r="N5" s="45" t="str">
        <f t="shared" si="0"/>
        <v>A. A. A visa is always necessary when you travel</v>
      </c>
    </row>
    <row r="6" spans="1:14" s="7" customFormat="1" x14ac:dyDescent="0.25">
      <c r="A6" s="9"/>
      <c r="B6" s="9"/>
      <c r="C6" s="9"/>
      <c r="D6" s="9"/>
      <c r="E6" s="9">
        <v>5</v>
      </c>
      <c r="F6" s="9" t="s">
        <v>59</v>
      </c>
      <c r="G6" s="9" t="s">
        <v>1231</v>
      </c>
      <c r="H6" s="9">
        <v>1</v>
      </c>
      <c r="I6" s="9">
        <v>20</v>
      </c>
      <c r="J6" s="9" t="s">
        <v>363</v>
      </c>
      <c r="K6" s="9" t="s">
        <v>368</v>
      </c>
      <c r="L6" s="9" t="s">
        <v>1696</v>
      </c>
      <c r="M6" s="9" t="s">
        <v>171</v>
      </c>
      <c r="N6" s="45" t="str">
        <f t="shared" si="0"/>
        <v>A. A. The meeting has been postponed.</v>
      </c>
    </row>
    <row r="7" spans="1:14" s="7" customFormat="1" x14ac:dyDescent="0.25">
      <c r="A7" s="9"/>
      <c r="B7" s="9"/>
      <c r="C7" s="9"/>
      <c r="D7" s="9"/>
      <c r="E7" s="9">
        <v>6</v>
      </c>
      <c r="F7" s="9" t="s">
        <v>60</v>
      </c>
      <c r="G7" s="9" t="s">
        <v>1232</v>
      </c>
      <c r="H7" s="9">
        <v>1</v>
      </c>
      <c r="I7" s="9">
        <v>20</v>
      </c>
      <c r="J7" s="9" t="s">
        <v>364</v>
      </c>
      <c r="K7" s="9" t="s">
        <v>369</v>
      </c>
      <c r="L7" s="9" t="s">
        <v>177</v>
      </c>
      <c r="M7" s="9" t="s">
        <v>1693</v>
      </c>
      <c r="N7" s="45" t="str">
        <f t="shared" si="0"/>
        <v>A. A. He is on his way, but he will arrive late</v>
      </c>
    </row>
    <row r="8" spans="1:14" s="7" customFormat="1" x14ac:dyDescent="0.25">
      <c r="A8" s="9"/>
      <c r="B8" s="9"/>
      <c r="C8" s="9"/>
      <c r="D8" s="9"/>
      <c r="E8" s="9">
        <v>7</v>
      </c>
      <c r="F8" s="9" t="s">
        <v>61</v>
      </c>
      <c r="G8" s="9" t="s">
        <v>1233</v>
      </c>
      <c r="H8" s="9">
        <v>1</v>
      </c>
      <c r="I8" s="9">
        <v>20</v>
      </c>
      <c r="J8" s="9" t="s">
        <v>365</v>
      </c>
      <c r="K8" s="9" t="s">
        <v>370</v>
      </c>
      <c r="L8" s="9" t="s">
        <v>178</v>
      </c>
      <c r="M8" s="9" t="s">
        <v>170</v>
      </c>
      <c r="N8" s="45" t="str">
        <f t="shared" si="0"/>
        <v>A. A. This time I have to drive my car</v>
      </c>
    </row>
    <row r="9" spans="1:14" s="7" customFormat="1" x14ac:dyDescent="0.25">
      <c r="A9" s="9"/>
      <c r="B9" s="9"/>
      <c r="C9" s="9"/>
      <c r="D9" s="9"/>
      <c r="E9" s="9">
        <v>8</v>
      </c>
      <c r="F9" s="9" t="s">
        <v>62</v>
      </c>
      <c r="G9" s="9" t="s">
        <v>1234</v>
      </c>
      <c r="H9" s="9">
        <v>1</v>
      </c>
      <c r="I9" s="9">
        <v>20</v>
      </c>
      <c r="J9" s="9" t="s">
        <v>1245</v>
      </c>
      <c r="K9" s="9" t="s">
        <v>1246</v>
      </c>
      <c r="L9" s="9" t="s">
        <v>1247</v>
      </c>
      <c r="M9" s="9" t="s">
        <v>1248</v>
      </c>
      <c r="N9" s="45" t="str">
        <f t="shared" si="0"/>
        <v>A. A. I was looking for him when he found me</v>
      </c>
    </row>
    <row r="10" spans="1:14" s="7" customFormat="1" x14ac:dyDescent="0.25">
      <c r="A10" s="9"/>
      <c r="B10" s="9"/>
      <c r="C10" s="9"/>
      <c r="D10" s="9"/>
      <c r="E10" s="9">
        <v>9</v>
      </c>
      <c r="F10" s="9" t="s">
        <v>63</v>
      </c>
      <c r="G10" s="9" t="s">
        <v>1235</v>
      </c>
      <c r="H10" s="9">
        <v>1</v>
      </c>
      <c r="I10" s="9">
        <v>20</v>
      </c>
      <c r="J10" s="9" t="s">
        <v>1697</v>
      </c>
      <c r="K10" s="9" t="s">
        <v>371</v>
      </c>
      <c r="L10" s="9" t="s">
        <v>179</v>
      </c>
      <c r="M10" s="9" t="s">
        <v>1700</v>
      </c>
      <c r="N10" s="45" t="str">
        <f t="shared" si="0"/>
        <v>A. A. Pat is acting like a child tonight</v>
      </c>
    </row>
    <row r="11" spans="1:14" s="7" customFormat="1" x14ac:dyDescent="0.25">
      <c r="A11" s="9"/>
      <c r="B11" s="9"/>
      <c r="C11" s="9"/>
      <c r="D11" s="9"/>
      <c r="E11" s="9">
        <v>10</v>
      </c>
      <c r="F11" s="9" t="s">
        <v>64</v>
      </c>
      <c r="G11" s="9" t="s">
        <v>24</v>
      </c>
      <c r="H11" s="9">
        <v>1</v>
      </c>
      <c r="I11" s="9">
        <v>20</v>
      </c>
      <c r="J11" s="9" t="s">
        <v>1698</v>
      </c>
      <c r="K11" s="9" t="s">
        <v>372</v>
      </c>
      <c r="L11" s="9" t="s">
        <v>1699</v>
      </c>
      <c r="M11" s="9" t="s">
        <v>1701</v>
      </c>
      <c r="N11" s="45" t="str">
        <f t="shared" si="0"/>
        <v>A. A. It has not rained since spring</v>
      </c>
    </row>
    <row r="12" spans="1:14" s="7" customFormat="1" x14ac:dyDescent="0.25">
      <c r="A12" s="9"/>
      <c r="B12" s="9"/>
      <c r="C12" s="9"/>
      <c r="D12" s="9"/>
      <c r="E12" s="9">
        <v>11</v>
      </c>
      <c r="F12" s="9" t="s">
        <v>65</v>
      </c>
      <c r="G12" s="9" t="s">
        <v>25</v>
      </c>
      <c r="H12" s="9">
        <v>1</v>
      </c>
      <c r="I12" s="9">
        <v>20</v>
      </c>
      <c r="J12" s="9" t="s">
        <v>366</v>
      </c>
      <c r="K12" s="9" t="s">
        <v>373</v>
      </c>
      <c r="L12" s="9" t="s">
        <v>180</v>
      </c>
      <c r="M12" s="9" t="s">
        <v>1687</v>
      </c>
      <c r="N12" s="45" t="str">
        <f t="shared" si="0"/>
        <v>A. A. I would not have the time to do what he did</v>
      </c>
    </row>
    <row r="13" spans="1:14" s="7" customFormat="1" x14ac:dyDescent="0.25">
      <c r="A13" s="9"/>
      <c r="B13" s="9"/>
      <c r="C13" s="9"/>
      <c r="D13" s="9"/>
      <c r="E13" s="9">
        <v>12</v>
      </c>
      <c r="F13" s="9" t="s">
        <v>66</v>
      </c>
      <c r="G13" s="9" t="s">
        <v>26</v>
      </c>
      <c r="H13" s="9">
        <v>1</v>
      </c>
      <c r="I13" s="9">
        <v>20</v>
      </c>
      <c r="J13" s="9" t="s">
        <v>385</v>
      </c>
      <c r="K13" s="9" t="s">
        <v>374</v>
      </c>
      <c r="L13" s="9" t="s">
        <v>181</v>
      </c>
      <c r="M13" s="9" t="s">
        <v>1702</v>
      </c>
      <c r="N13" s="45" t="str">
        <f t="shared" si="0"/>
        <v>A. A. Paul didn't get the job</v>
      </c>
    </row>
    <row r="14" spans="1:14" s="7" customFormat="1" x14ac:dyDescent="0.25">
      <c r="A14" s="9"/>
      <c r="B14" s="9"/>
      <c r="C14" s="9"/>
      <c r="D14" s="9"/>
      <c r="E14" s="9">
        <v>13</v>
      </c>
      <c r="F14" s="9" t="s">
        <v>67</v>
      </c>
      <c r="G14" s="9" t="s">
        <v>27</v>
      </c>
      <c r="H14" s="9">
        <v>1</v>
      </c>
      <c r="I14" s="9">
        <v>20</v>
      </c>
      <c r="J14" s="9" t="s">
        <v>379</v>
      </c>
      <c r="K14" s="9" t="s">
        <v>375</v>
      </c>
      <c r="L14" s="9" t="s">
        <v>182</v>
      </c>
      <c r="M14" s="9" t="s">
        <v>1703</v>
      </c>
      <c r="N14" s="45" t="str">
        <f t="shared" si="0"/>
        <v>A. A. The man's sister works with chickens</v>
      </c>
    </row>
    <row r="15" spans="1:14" s="7" customFormat="1" x14ac:dyDescent="0.25">
      <c r="A15" s="9"/>
      <c r="B15" s="9"/>
      <c r="C15" s="9"/>
      <c r="D15" s="9"/>
      <c r="E15" s="9">
        <v>14</v>
      </c>
      <c r="F15" s="9" t="s">
        <v>68</v>
      </c>
      <c r="G15" s="9" t="s">
        <v>28</v>
      </c>
      <c r="H15" s="9">
        <v>1</v>
      </c>
      <c r="I15" s="9">
        <v>20</v>
      </c>
      <c r="J15" s="9" t="s">
        <v>1755</v>
      </c>
      <c r="K15" s="9" t="s">
        <v>1754</v>
      </c>
      <c r="L15" s="9" t="s">
        <v>1756</v>
      </c>
      <c r="M15" s="9" t="s">
        <v>169</v>
      </c>
      <c r="N15" s="45" t="str">
        <f t="shared" si="0"/>
        <v>A. A. McGregor beat O’Malley</v>
      </c>
    </row>
    <row r="16" spans="1:14" s="7" customFormat="1" x14ac:dyDescent="0.25">
      <c r="A16" s="9"/>
      <c r="B16" s="9"/>
      <c r="C16" s="9"/>
      <c r="D16" s="9"/>
      <c r="E16" s="9">
        <v>15</v>
      </c>
      <c r="F16" s="9" t="s">
        <v>69</v>
      </c>
      <c r="G16" s="9" t="s">
        <v>29</v>
      </c>
      <c r="H16" s="9">
        <v>1</v>
      </c>
      <c r="I16" s="9">
        <v>20</v>
      </c>
      <c r="J16" s="9" t="s">
        <v>380</v>
      </c>
      <c r="K16" s="9" t="s">
        <v>376</v>
      </c>
      <c r="L16" s="9" t="s">
        <v>183</v>
      </c>
      <c r="M16" s="9" t="s">
        <v>1704</v>
      </c>
      <c r="N16" s="45" t="str">
        <f t="shared" si="0"/>
        <v>A. A. That she is not as young as she looks</v>
      </c>
    </row>
    <row r="17" spans="1:18" s="7" customFormat="1" x14ac:dyDescent="0.25">
      <c r="A17" s="9"/>
      <c r="B17" s="9"/>
      <c r="C17" s="9"/>
      <c r="D17" s="9"/>
      <c r="E17" s="9">
        <v>16</v>
      </c>
      <c r="F17" s="9" t="s">
        <v>70</v>
      </c>
      <c r="G17" s="9" t="s">
        <v>30</v>
      </c>
      <c r="H17" s="9">
        <v>1</v>
      </c>
      <c r="I17" s="9">
        <v>20</v>
      </c>
      <c r="J17" s="9" t="s">
        <v>381</v>
      </c>
      <c r="K17" s="9" t="s">
        <v>387</v>
      </c>
      <c r="L17" s="9" t="s">
        <v>184</v>
      </c>
      <c r="M17" s="9" t="s">
        <v>392</v>
      </c>
      <c r="N17" s="45" t="str">
        <f t="shared" si="0"/>
        <v>A. A. He passes the dry cleaner’s on the way to work</v>
      </c>
    </row>
    <row r="18" spans="1:18" s="7" customFormat="1" x14ac:dyDescent="0.25">
      <c r="A18" s="9"/>
      <c r="B18" s="9"/>
      <c r="C18" s="9"/>
      <c r="D18" s="9"/>
      <c r="E18" s="9">
        <v>17</v>
      </c>
      <c r="F18" s="9" t="s">
        <v>71</v>
      </c>
      <c r="G18" s="9" t="s">
        <v>31</v>
      </c>
      <c r="H18" s="9">
        <v>1</v>
      </c>
      <c r="I18" s="9">
        <v>20</v>
      </c>
      <c r="J18" s="9" t="s">
        <v>391</v>
      </c>
      <c r="K18" s="9" t="s">
        <v>377</v>
      </c>
      <c r="L18" s="9" t="s">
        <v>185</v>
      </c>
      <c r="M18" s="9" t="s">
        <v>1705</v>
      </c>
      <c r="N18" s="45" t="str">
        <f t="shared" si="0"/>
        <v>A. A. He doesn't normally like Hugh Grant films</v>
      </c>
    </row>
    <row r="19" spans="1:18" s="7" customFormat="1" x14ac:dyDescent="0.25">
      <c r="A19" s="9"/>
      <c r="B19" s="9"/>
      <c r="C19" s="9"/>
      <c r="D19" s="9"/>
      <c r="E19" s="9">
        <v>18</v>
      </c>
      <c r="F19" s="9" t="s">
        <v>72</v>
      </c>
      <c r="G19" s="9" t="s">
        <v>32</v>
      </c>
      <c r="H19" s="9">
        <v>1</v>
      </c>
      <c r="I19" s="9">
        <v>20</v>
      </c>
      <c r="J19" s="9" t="s">
        <v>382</v>
      </c>
      <c r="K19" s="9" t="s">
        <v>378</v>
      </c>
      <c r="L19" s="9" t="s">
        <v>186</v>
      </c>
      <c r="M19" s="9" t="s">
        <v>1706</v>
      </c>
      <c r="N19" s="45" t="str">
        <f t="shared" si="0"/>
        <v>A. A. If the radio uses batteries</v>
      </c>
    </row>
    <row r="20" spans="1:18" s="7" customFormat="1" x14ac:dyDescent="0.25">
      <c r="A20" s="9"/>
      <c r="B20" s="9"/>
      <c r="C20" s="9"/>
      <c r="D20" s="9"/>
      <c r="E20" s="9">
        <v>19</v>
      </c>
      <c r="F20" s="9" t="s">
        <v>73</v>
      </c>
      <c r="G20" s="9" t="s">
        <v>33</v>
      </c>
      <c r="H20" s="9">
        <v>1</v>
      </c>
      <c r="I20" s="9">
        <v>20</v>
      </c>
      <c r="J20" s="9" t="s">
        <v>1688</v>
      </c>
      <c r="K20" s="9" t="s">
        <v>389</v>
      </c>
      <c r="L20" s="9" t="s">
        <v>187</v>
      </c>
      <c r="M20" s="9" t="s">
        <v>388</v>
      </c>
      <c r="N20" s="45" t="str">
        <f t="shared" si="0"/>
        <v>A. A. They will have to take a credit card to the U.S.A</v>
      </c>
    </row>
    <row r="21" spans="1:18" s="7" customFormat="1" x14ac:dyDescent="0.25">
      <c r="A21" s="9"/>
      <c r="B21" s="9"/>
      <c r="C21" s="9"/>
      <c r="D21" s="9"/>
      <c r="E21" s="9">
        <v>20</v>
      </c>
      <c r="F21" s="9" t="s">
        <v>74</v>
      </c>
      <c r="G21" s="9" t="s">
        <v>34</v>
      </c>
      <c r="H21" s="9">
        <v>1</v>
      </c>
      <c r="I21" s="9">
        <v>20</v>
      </c>
      <c r="J21" s="9" t="s">
        <v>390</v>
      </c>
      <c r="K21" s="9" t="s">
        <v>383</v>
      </c>
      <c r="L21" s="9" t="s">
        <v>394</v>
      </c>
      <c r="M21" s="9" t="s">
        <v>1707</v>
      </c>
      <c r="N21" s="45" t="str">
        <f t="shared" si="0"/>
        <v>A. A.  She can't borrow the manual until he finishes with it</v>
      </c>
    </row>
    <row r="22" spans="1:18" s="7" customFormat="1" x14ac:dyDescent="0.25">
      <c r="A22" s="9"/>
      <c r="B22" s="9"/>
      <c r="C22" s="9"/>
      <c r="D22" s="9"/>
      <c r="E22" s="9">
        <v>21</v>
      </c>
      <c r="F22" s="9" t="s">
        <v>75</v>
      </c>
      <c r="G22" s="9" t="s">
        <v>76</v>
      </c>
      <c r="H22" s="9">
        <v>1</v>
      </c>
      <c r="I22" s="9">
        <v>20</v>
      </c>
      <c r="J22" s="9" t="s">
        <v>77</v>
      </c>
      <c r="K22" s="9" t="s">
        <v>78</v>
      </c>
      <c r="L22" s="9" t="s">
        <v>79</v>
      </c>
      <c r="M22" s="9" t="s">
        <v>80</v>
      </c>
      <c r="N22" s="45" t="str">
        <f t="shared" si="0"/>
        <v>A. A. It turned out to be a big money earner</v>
      </c>
    </row>
    <row r="23" spans="1:18" s="7" customFormat="1" x14ac:dyDescent="0.25">
      <c r="A23" s="9"/>
      <c r="B23" s="9"/>
      <c r="C23" s="9"/>
      <c r="D23" s="9"/>
      <c r="E23" s="9">
        <v>22</v>
      </c>
      <c r="F23" s="9" t="s">
        <v>81</v>
      </c>
      <c r="G23" s="9" t="s">
        <v>82</v>
      </c>
      <c r="H23" s="9">
        <v>1</v>
      </c>
      <c r="I23" s="9">
        <v>20</v>
      </c>
      <c r="J23" s="9" t="s">
        <v>83</v>
      </c>
      <c r="K23" s="9" t="s">
        <v>84</v>
      </c>
      <c r="L23" s="9" t="s">
        <v>85</v>
      </c>
      <c r="M23" s="9" t="s">
        <v>86</v>
      </c>
      <c r="N23" s="45" t="str">
        <f t="shared" si="0"/>
        <v xml:space="preserve">A. A. It dismissed two people </v>
      </c>
    </row>
    <row r="24" spans="1:18" s="7" customFormat="1" x14ac:dyDescent="0.25">
      <c r="A24" s="9"/>
      <c r="B24" s="9"/>
      <c r="C24" s="9"/>
      <c r="D24" s="9"/>
      <c r="E24" s="9">
        <v>23</v>
      </c>
      <c r="F24" s="9" t="s">
        <v>87</v>
      </c>
      <c r="G24" s="9" t="s">
        <v>88</v>
      </c>
      <c r="H24" s="9">
        <v>1</v>
      </c>
      <c r="I24" s="9">
        <v>20</v>
      </c>
      <c r="J24" s="9" t="s">
        <v>89</v>
      </c>
      <c r="K24" s="9" t="s">
        <v>90</v>
      </c>
      <c r="L24" s="9" t="s">
        <v>91</v>
      </c>
      <c r="M24" s="9" t="s">
        <v>92</v>
      </c>
      <c r="N24" s="45" t="str">
        <f t="shared" si="0"/>
        <v>A. A. All  indigenous groups are opposed to it</v>
      </c>
    </row>
    <row r="25" spans="1:18" s="7" customFormat="1" x14ac:dyDescent="0.25">
      <c r="A25" s="9"/>
      <c r="B25" s="9"/>
      <c r="C25" s="9"/>
      <c r="D25" s="9"/>
      <c r="E25" s="9">
        <v>24</v>
      </c>
      <c r="F25" s="9" t="s">
        <v>1742</v>
      </c>
      <c r="G25" s="9" t="s">
        <v>93</v>
      </c>
      <c r="H25" s="9">
        <v>1</v>
      </c>
      <c r="I25" s="9">
        <v>20</v>
      </c>
      <c r="J25" s="9" t="s">
        <v>94</v>
      </c>
      <c r="K25" s="9" t="s">
        <v>95</v>
      </c>
      <c r="L25" s="9" t="s">
        <v>96</v>
      </c>
      <c r="M25" s="9" t="s">
        <v>1708</v>
      </c>
      <c r="N25" s="45" t="str">
        <f t="shared" si="0"/>
        <v>A. A. The history girls are fashion models</v>
      </c>
    </row>
    <row r="26" spans="1:18" s="7" customFormat="1" ht="15" customHeight="1" x14ac:dyDescent="0.25">
      <c r="A26" s="9"/>
      <c r="B26" s="9"/>
      <c r="C26" s="9"/>
      <c r="D26" s="9"/>
      <c r="E26" s="9">
        <v>25</v>
      </c>
      <c r="F26" s="9" t="s">
        <v>97</v>
      </c>
      <c r="G26" s="9" t="s">
        <v>98</v>
      </c>
      <c r="H26" s="9">
        <v>1</v>
      </c>
      <c r="I26" s="9">
        <v>20</v>
      </c>
      <c r="J26" s="9" t="s">
        <v>99</v>
      </c>
      <c r="K26" s="9" t="s">
        <v>100</v>
      </c>
      <c r="L26" s="9" t="s">
        <v>101</v>
      </c>
      <c r="M26" s="9" t="s">
        <v>102</v>
      </c>
      <c r="N26" s="45" t="str">
        <f t="shared" si="0"/>
        <v>A. A. They think she will set a new record</v>
      </c>
    </row>
    <row r="27" spans="1:18" s="7" customFormat="1" ht="15" customHeight="1" x14ac:dyDescent="0.25">
      <c r="A27" s="9"/>
      <c r="B27" s="9"/>
      <c r="C27" s="9"/>
      <c r="D27" s="9"/>
      <c r="E27" s="9">
        <v>26</v>
      </c>
      <c r="F27" s="9" t="s">
        <v>1874</v>
      </c>
      <c r="G27" s="9" t="s">
        <v>103</v>
      </c>
      <c r="H27" s="9">
        <v>1</v>
      </c>
      <c r="I27" s="9">
        <v>20</v>
      </c>
      <c r="J27" s="9" t="s">
        <v>106</v>
      </c>
      <c r="K27" s="9" t="s">
        <v>1709</v>
      </c>
      <c r="L27" s="9" t="s">
        <v>107</v>
      </c>
      <c r="M27" s="9" t="s">
        <v>1710</v>
      </c>
      <c r="N27" s="45" t="str">
        <f t="shared" si="0"/>
        <v>A. A. They contacted the families of the survivors immediately</v>
      </c>
      <c r="O27" s="1" t="str">
        <f>CONCATENATE("A. ",(J27))</f>
        <v>A. A. They contacted the families of the survivors immediately</v>
      </c>
      <c r="P27" s="1" t="str">
        <f>CONCATENATE("B. ",(K27))</f>
        <v>B. B. They wouldn’t let the survivors contact anyone</v>
      </c>
      <c r="Q27" s="1" t="str">
        <f>CONCATENATE("C. ",(L27))</f>
        <v>C. C. They captured millions of barrels of oil</v>
      </c>
      <c r="R27" s="1" t="str">
        <f>CONCATENATE("D. ",(M27))</f>
        <v>D. D.  They provided a comfortable hotel for the survivors right away</v>
      </c>
    </row>
    <row r="28" spans="1:18" s="7" customFormat="1" ht="15" customHeight="1" x14ac:dyDescent="0.25">
      <c r="A28" s="9"/>
      <c r="B28" s="9"/>
      <c r="C28" s="9"/>
      <c r="D28" s="9"/>
      <c r="E28" s="9">
        <v>27</v>
      </c>
      <c r="F28" s="9" t="s">
        <v>1743</v>
      </c>
      <c r="G28" s="9" t="s">
        <v>104</v>
      </c>
      <c r="H28" s="9">
        <v>1</v>
      </c>
      <c r="I28" s="9">
        <v>20</v>
      </c>
      <c r="J28" s="9" t="s">
        <v>1711</v>
      </c>
      <c r="K28" s="9" t="s">
        <v>109</v>
      </c>
      <c r="L28" s="9" t="s">
        <v>1712</v>
      </c>
      <c r="M28" s="9" t="s">
        <v>110</v>
      </c>
      <c r="N28" s="45" t="str">
        <f t="shared" si="0"/>
        <v>A. A.   He had been advised to marry his cousin</v>
      </c>
      <c r="O28" s="1" t="str">
        <f t="shared" ref="O28:O41" si="1">CONCATENATE("A. ",(J28))</f>
        <v>A. A.   He had been advised to marry his cousin</v>
      </c>
      <c r="P28" s="1" t="str">
        <f t="shared" ref="P28:P41" si="2">CONCATENATE("B. ",(K28))</f>
        <v>B. B. He suspected that plants were in-breeding and so healthier</v>
      </c>
      <c r="Q28" s="1" t="str">
        <f t="shared" ref="Q28:Q41" si="3">CONCATENATE("C. ",(L28))</f>
        <v>C. C. His marriage to his first cousin affected his  health</v>
      </c>
      <c r="R28" s="1" t="str">
        <f t="shared" ref="R28:R41" si="4">CONCATENATE("D. ",(M28))</f>
        <v xml:space="preserve">D. D. He  thought that cross-breeding produced more robust species </v>
      </c>
    </row>
    <row r="29" spans="1:18" s="7" customFormat="1" ht="15" customHeight="1" x14ac:dyDescent="0.25">
      <c r="A29" s="9"/>
      <c r="B29" s="9"/>
      <c r="C29" s="9"/>
      <c r="D29" s="9"/>
      <c r="E29" s="9">
        <v>28</v>
      </c>
      <c r="F29" s="9" t="s">
        <v>1744</v>
      </c>
      <c r="G29" s="9" t="s">
        <v>105</v>
      </c>
      <c r="H29" s="9">
        <v>1</v>
      </c>
      <c r="I29" s="9">
        <v>20</v>
      </c>
      <c r="J29" s="9" t="s">
        <v>112</v>
      </c>
      <c r="K29" s="9" t="s">
        <v>1713</v>
      </c>
      <c r="L29" s="9" t="s">
        <v>1714</v>
      </c>
      <c r="M29" s="9" t="s">
        <v>1715</v>
      </c>
      <c r="N29" s="45" t="str">
        <f t="shared" si="0"/>
        <v>A. A. They are psychologically different to other people</v>
      </c>
      <c r="O29" s="1" t="str">
        <f t="shared" si="1"/>
        <v>A. A. They are psychologically different to other people</v>
      </c>
      <c r="P29" s="1" t="str">
        <f t="shared" si="2"/>
        <v>B. B. Their emotional profile doesn’t differ significantly from non-hoarders</v>
      </c>
      <c r="Q29" s="1" t="str">
        <f t="shared" si="3"/>
        <v>C. C.   Irene  is a hoarder who got rid of clutter to keep her husband</v>
      </c>
      <c r="R29" s="1" t="str">
        <f t="shared" si="4"/>
        <v>D. D. In general, hoarders can’t get out of their houses</v>
      </c>
    </row>
    <row r="30" spans="1:18" s="7" customFormat="1" ht="15" customHeight="1" x14ac:dyDescent="0.25">
      <c r="A30" s="9"/>
      <c r="B30" s="9"/>
      <c r="C30" s="9"/>
      <c r="D30" s="9"/>
      <c r="E30" s="9">
        <v>29</v>
      </c>
      <c r="F30" s="9" t="s">
        <v>1745</v>
      </c>
      <c r="G30" s="9" t="s">
        <v>108</v>
      </c>
      <c r="H30" s="9">
        <v>1</v>
      </c>
      <c r="I30" s="9">
        <v>20</v>
      </c>
      <c r="J30" s="9" t="s">
        <v>1716</v>
      </c>
      <c r="K30" s="9" t="s">
        <v>1717</v>
      </c>
      <c r="L30" s="9" t="s">
        <v>115</v>
      </c>
      <c r="M30" s="9" t="s">
        <v>116</v>
      </c>
      <c r="N30" s="45" t="str">
        <f t="shared" si="0"/>
        <v>A. A. Khodorkovsky is still the richest man in Russia</v>
      </c>
      <c r="O30" s="1" t="str">
        <f t="shared" si="1"/>
        <v>A. A. Khodorkovsky is still the richest man in Russia</v>
      </c>
      <c r="P30" s="1" t="str">
        <f t="shared" si="2"/>
        <v>B. B. The Yukos Oil Company once controlled 20% of the world’s oil</v>
      </c>
      <c r="Q30" s="1" t="str">
        <f t="shared" si="3"/>
        <v>C. C. Khodorkovsky purchased state assets for way below market price</v>
      </c>
      <c r="R30" s="1" t="str">
        <f t="shared" si="4"/>
        <v>D. D. Boris Yelstin built up the Yukos Oil company in the 1990s</v>
      </c>
    </row>
    <row r="31" spans="1:18" s="7" customFormat="1" ht="15" customHeight="1" x14ac:dyDescent="0.25">
      <c r="A31" s="9"/>
      <c r="B31" s="9"/>
      <c r="C31" s="9"/>
      <c r="D31" s="9"/>
      <c r="E31" s="9">
        <v>30</v>
      </c>
      <c r="F31" s="9" t="s">
        <v>423</v>
      </c>
      <c r="G31" s="9" t="s">
        <v>111</v>
      </c>
      <c r="H31" s="9">
        <v>1</v>
      </c>
      <c r="I31" s="9">
        <v>20</v>
      </c>
      <c r="J31" s="9" t="s">
        <v>118</v>
      </c>
      <c r="K31" s="9" t="s">
        <v>119</v>
      </c>
      <c r="L31" s="9" t="s">
        <v>1718</v>
      </c>
      <c r="M31" s="9" t="s">
        <v>1719</v>
      </c>
      <c r="N31" s="45" t="str">
        <f t="shared" si="0"/>
        <v>A. A. Americans insist on having public tap water</v>
      </c>
      <c r="O31" s="1" t="str">
        <f t="shared" si="1"/>
        <v>A. A. Americans insist on having public tap water</v>
      </c>
      <c r="P31" s="1" t="str">
        <f t="shared" si="2"/>
        <v>B. B. Bottled water ends up contaminating the environment</v>
      </c>
      <c r="Q31" s="1" t="str">
        <f t="shared" si="3"/>
        <v>C. C. Water systems are always well- maintained in the US</v>
      </c>
      <c r="R31" s="1" t="str">
        <f t="shared" si="4"/>
        <v>D. D. Gleik’s book is causing problems in the US</v>
      </c>
    </row>
    <row r="32" spans="1:18" s="7" customFormat="1" ht="15" customHeight="1" x14ac:dyDescent="0.25">
      <c r="A32" s="9"/>
      <c r="B32" s="9"/>
      <c r="C32" s="9"/>
      <c r="D32" s="9"/>
      <c r="E32" s="9">
        <v>31</v>
      </c>
      <c r="F32" s="9" t="s">
        <v>113</v>
      </c>
      <c r="G32" s="9" t="s">
        <v>114</v>
      </c>
      <c r="H32" s="9">
        <v>1</v>
      </c>
      <c r="I32" s="9">
        <v>20</v>
      </c>
      <c r="J32" s="9" t="s">
        <v>1720</v>
      </c>
      <c r="K32" s="9" t="s">
        <v>1721</v>
      </c>
      <c r="L32" s="9" t="s">
        <v>1722</v>
      </c>
      <c r="M32" s="9" t="s">
        <v>1723</v>
      </c>
      <c r="N32" s="45" t="str">
        <f t="shared" si="0"/>
        <v>A. A. Two sets of twins met in a hotel</v>
      </c>
      <c r="O32" s="1" t="str">
        <f t="shared" si="1"/>
        <v>A. A. Two sets of twins met in a hotel</v>
      </c>
      <c r="P32" s="1" t="str">
        <f t="shared" si="2"/>
        <v>B. B. There were two weddings</v>
      </c>
      <c r="Q32" s="1" t="str">
        <f t="shared" si="3"/>
        <v>C. C. The two brides wore different wedding dresses</v>
      </c>
      <c r="R32" s="1" t="str">
        <f t="shared" si="4"/>
        <v>D. D. The twins were easy to tell apart</v>
      </c>
    </row>
    <row r="33" spans="1:18" s="7" customFormat="1" ht="15" customHeight="1" x14ac:dyDescent="0.25">
      <c r="A33" s="9"/>
      <c r="B33" s="9"/>
      <c r="C33" s="9"/>
      <c r="D33" s="9"/>
      <c r="E33" s="9">
        <v>32</v>
      </c>
      <c r="F33" s="9" t="s">
        <v>1746</v>
      </c>
      <c r="G33" s="9" t="s">
        <v>117</v>
      </c>
      <c r="H33" s="9">
        <v>1</v>
      </c>
      <c r="I33" s="9">
        <v>20</v>
      </c>
      <c r="J33" s="9" t="s">
        <v>122</v>
      </c>
      <c r="K33" s="9" t="s">
        <v>1724</v>
      </c>
      <c r="L33" s="9" t="s">
        <v>123</v>
      </c>
      <c r="M33" s="9" t="s">
        <v>124</v>
      </c>
      <c r="N33" s="45" t="str">
        <f t="shared" si="0"/>
        <v>A. A. She does not like to be photographed</v>
      </c>
      <c r="O33" s="1" t="str">
        <f t="shared" si="1"/>
        <v>A. A. She does not like to be photographed</v>
      </c>
      <c r="P33" s="1" t="str">
        <f t="shared" si="2"/>
        <v>B. B. She asked a newspaper to film her</v>
      </c>
      <c r="Q33" s="1" t="str">
        <f t="shared" si="3"/>
        <v>C. C. She steered clear of the press in LA airport</v>
      </c>
      <c r="R33" s="1" t="str">
        <f t="shared" si="4"/>
        <v>D. D. She needed half a million pounds for charity work</v>
      </c>
    </row>
    <row r="34" spans="1:18" s="7" customFormat="1" ht="15" customHeight="1" x14ac:dyDescent="0.25">
      <c r="A34" s="9"/>
      <c r="B34" s="9"/>
      <c r="C34" s="9"/>
      <c r="D34" s="9"/>
      <c r="E34" s="9">
        <v>33</v>
      </c>
      <c r="F34" s="9" t="s">
        <v>274</v>
      </c>
      <c r="G34" s="9" t="s">
        <v>120</v>
      </c>
      <c r="H34" s="9">
        <v>1</v>
      </c>
      <c r="I34" s="9">
        <v>20</v>
      </c>
      <c r="J34" s="9" t="s">
        <v>126</v>
      </c>
      <c r="K34" s="9" t="s">
        <v>1725</v>
      </c>
      <c r="L34" s="9" t="s">
        <v>1726</v>
      </c>
      <c r="M34" s="9" t="s">
        <v>1727</v>
      </c>
      <c r="N34" s="45" t="str">
        <f t="shared" ref="N34:N41" si="5">CONCATENATE("A. ",(J34))</f>
        <v>A. A. Seniesa started to fight a couple of years ago</v>
      </c>
      <c r="O34" s="1" t="str">
        <f t="shared" si="1"/>
        <v>A. A. Seniesa started to fight a couple of years ago</v>
      </c>
      <c r="P34" s="1" t="str">
        <f t="shared" si="2"/>
        <v xml:space="preserve">B. B. Seniesa’s father had been in street gangs in his youth </v>
      </c>
      <c r="Q34" s="1" t="str">
        <f t="shared" si="3"/>
        <v>C. C. Seniesa used to go to boxing matches when she was little</v>
      </c>
      <c r="R34" s="1" t="str">
        <f t="shared" si="4"/>
        <v>D. D. Seneisa’s father thinks boxing is not for girls</v>
      </c>
    </row>
    <row r="35" spans="1:18" s="8" customFormat="1" ht="15" customHeight="1" x14ac:dyDescent="0.25">
      <c r="A35" s="9"/>
      <c r="B35" s="9"/>
      <c r="C35" s="10"/>
      <c r="D35" s="10"/>
      <c r="E35" s="10">
        <v>34</v>
      </c>
      <c r="F35" s="10" t="s">
        <v>1747</v>
      </c>
      <c r="G35" s="10" t="s">
        <v>121</v>
      </c>
      <c r="H35" s="10">
        <v>1</v>
      </c>
      <c r="I35" s="9">
        <v>20</v>
      </c>
      <c r="J35" s="9" t="s">
        <v>128</v>
      </c>
      <c r="K35" s="9" t="s">
        <v>1728</v>
      </c>
      <c r="L35" s="9" t="s">
        <v>129</v>
      </c>
      <c r="M35" s="9" t="s">
        <v>1729</v>
      </c>
      <c r="N35" s="45" t="str">
        <f t="shared" si="5"/>
        <v>A. A. Brain abnormalities are common among adolescents</v>
      </c>
      <c r="O35" s="1" t="str">
        <f t="shared" si="1"/>
        <v>A. A. Brain abnormalities are common among adolescents</v>
      </c>
      <c r="P35" s="1" t="str">
        <f t="shared" si="2"/>
        <v xml:space="preserve">B. B. It is advisable for teenagers to delay drinking alcohol </v>
      </c>
      <c r="Q35" s="1" t="str">
        <f t="shared" si="3"/>
        <v>C. C. Binge drinking is OK  three times a month</v>
      </c>
      <c r="R35" s="1" t="str">
        <f t="shared" si="4"/>
        <v>D. D. Alcohol abuse causes brain cells to develop</v>
      </c>
    </row>
    <row r="36" spans="1:18" s="8" customFormat="1" ht="15" customHeight="1" x14ac:dyDescent="0.25">
      <c r="A36" s="9"/>
      <c r="B36" s="9"/>
      <c r="C36" s="10"/>
      <c r="D36" s="10"/>
      <c r="E36" s="10">
        <v>35</v>
      </c>
      <c r="F36" s="10" t="s">
        <v>1748</v>
      </c>
      <c r="G36" s="10" t="s">
        <v>125</v>
      </c>
      <c r="H36" s="10">
        <v>1</v>
      </c>
      <c r="I36" s="9">
        <v>20</v>
      </c>
      <c r="J36" s="9" t="s">
        <v>1730</v>
      </c>
      <c r="K36" s="9" t="s">
        <v>1759</v>
      </c>
      <c r="L36" s="9" t="s">
        <v>1731</v>
      </c>
      <c r="M36" s="9" t="s">
        <v>131</v>
      </c>
      <c r="N36" s="45" t="str">
        <f t="shared" si="5"/>
        <v>A. A. To sell cereal the milk must be fresh</v>
      </c>
      <c r="O36" s="1" t="str">
        <f t="shared" si="1"/>
        <v>A. A. To sell cereal the milk must be fresh</v>
      </c>
      <c r="P36" s="1" t="str">
        <f t="shared" si="2"/>
        <v>B. B. If the ad is for cereal, the milk doesn't have to be real</v>
      </c>
      <c r="Q36" s="1" t="str">
        <f t="shared" si="3"/>
        <v>C. C. If the ad is for milk, the milk can be real or digital</v>
      </c>
      <c r="R36" s="1" t="str">
        <f t="shared" si="4"/>
        <v>D. D. With the arrival of digital nothing in the photo is real</v>
      </c>
    </row>
    <row r="37" spans="1:18" s="8" customFormat="1" ht="15" customHeight="1" x14ac:dyDescent="0.25">
      <c r="A37" s="9"/>
      <c r="B37" s="9"/>
      <c r="C37" s="10"/>
      <c r="D37" s="10"/>
      <c r="E37" s="10">
        <v>36</v>
      </c>
      <c r="F37" s="10" t="s">
        <v>1749</v>
      </c>
      <c r="G37" s="10" t="s">
        <v>127</v>
      </c>
      <c r="H37" s="10">
        <v>1</v>
      </c>
      <c r="I37" s="9">
        <v>20</v>
      </c>
      <c r="J37" s="9" t="s">
        <v>133</v>
      </c>
      <c r="K37" s="9" t="s">
        <v>134</v>
      </c>
      <c r="L37" s="9" t="s">
        <v>1732</v>
      </c>
      <c r="M37" s="9" t="s">
        <v>135</v>
      </c>
      <c r="N37" s="45" t="str">
        <f t="shared" si="5"/>
        <v>A. A. The government cannot establish a price for the gas</v>
      </c>
      <c r="O37" s="1" t="str">
        <f t="shared" si="1"/>
        <v>A. A. The government cannot establish a price for the gas</v>
      </c>
      <c r="P37" s="1" t="str">
        <f t="shared" si="2"/>
        <v>B. B. The dispute between the brothers has been going on for nine years</v>
      </c>
      <c r="Q37" s="1" t="str">
        <f t="shared" si="3"/>
        <v>C. C. Gas –pricing regulations in India do not affect the stock markets</v>
      </c>
      <c r="R37" s="1" t="str">
        <f t="shared" si="4"/>
        <v xml:space="preserve">D. D. The brothers have been given a time limit to draw up a new agreement </v>
      </c>
    </row>
    <row r="38" spans="1:18" s="8" customFormat="1" ht="15" customHeight="1" x14ac:dyDescent="0.25">
      <c r="A38" s="9"/>
      <c r="B38" s="9"/>
      <c r="C38" s="10"/>
      <c r="D38" s="10"/>
      <c r="E38" s="10">
        <v>37</v>
      </c>
      <c r="F38" s="10" t="s">
        <v>1750</v>
      </c>
      <c r="G38" s="10" t="s">
        <v>130</v>
      </c>
      <c r="H38" s="10">
        <v>1</v>
      </c>
      <c r="I38" s="9">
        <v>20</v>
      </c>
      <c r="J38" s="9" t="s">
        <v>1733</v>
      </c>
      <c r="K38" s="9" t="s">
        <v>1734</v>
      </c>
      <c r="L38" s="9" t="s">
        <v>1735</v>
      </c>
      <c r="M38" s="9" t="s">
        <v>1736</v>
      </c>
      <c r="N38" s="45" t="str">
        <f t="shared" si="5"/>
        <v>A. A. Caesar’s image was calculated to transmit specific qualities</v>
      </c>
      <c r="O38" s="1" t="str">
        <f t="shared" si="1"/>
        <v>A. A. Caesar’s image was calculated to transmit specific qualities</v>
      </c>
      <c r="P38" s="1" t="str">
        <f t="shared" si="2"/>
        <v>B. B. Caesar  introduced football to ancient Rome</v>
      </c>
      <c r="Q38" s="1" t="str">
        <f t="shared" si="3"/>
        <v>C. C. The bronze head of Caesar is in a gallery in Rome</v>
      </c>
      <c r="R38" s="1" t="str">
        <f t="shared" si="4"/>
        <v>D. D. The tousled hair makes Caesar look old</v>
      </c>
    </row>
    <row r="39" spans="1:18" s="8" customFormat="1" ht="15" customHeight="1" x14ac:dyDescent="0.25">
      <c r="A39" s="9"/>
      <c r="B39" s="9"/>
      <c r="C39" s="10"/>
      <c r="D39" s="10"/>
      <c r="E39" s="10">
        <v>38</v>
      </c>
      <c r="F39" s="10" t="s">
        <v>1751</v>
      </c>
      <c r="G39" s="10" t="s">
        <v>132</v>
      </c>
      <c r="H39" s="10">
        <v>1</v>
      </c>
      <c r="I39" s="9">
        <v>20</v>
      </c>
      <c r="J39" s="9" t="s">
        <v>138</v>
      </c>
      <c r="K39" s="9" t="s">
        <v>139</v>
      </c>
      <c r="L39" s="9" t="s">
        <v>140</v>
      </c>
      <c r="M39" s="9" t="s">
        <v>141</v>
      </c>
      <c r="N39" s="45" t="str">
        <f t="shared" si="5"/>
        <v>A. A. Some clients tortured their financial advisor</v>
      </c>
      <c r="O39" s="1" t="str">
        <f t="shared" si="1"/>
        <v>A. A. Some clients tortured their financial advisor</v>
      </c>
      <c r="P39" s="1" t="str">
        <f t="shared" si="2"/>
        <v>B. B. The financial advisor was on trial for the sub-prime melt-down</v>
      </c>
      <c r="Q39" s="1" t="str">
        <f t="shared" si="3"/>
        <v>C. C. The financial advisor was taken on a holiday for four days</v>
      </c>
      <c r="R39" s="1" t="str">
        <f t="shared" si="4"/>
        <v>D. D. The pensioners had risked their money on real estate</v>
      </c>
    </row>
    <row r="40" spans="1:18" s="8" customFormat="1" ht="15" customHeight="1" x14ac:dyDescent="0.25">
      <c r="A40" s="9"/>
      <c r="B40" s="9"/>
      <c r="C40" s="10"/>
      <c r="D40" s="10"/>
      <c r="E40" s="10">
        <v>39</v>
      </c>
      <c r="F40" s="10" t="s">
        <v>1752</v>
      </c>
      <c r="G40" s="10" t="s">
        <v>136</v>
      </c>
      <c r="H40" s="10">
        <v>1</v>
      </c>
      <c r="I40" s="9">
        <v>20</v>
      </c>
      <c r="J40" s="9" t="s">
        <v>395</v>
      </c>
      <c r="K40" s="9" t="s">
        <v>1737</v>
      </c>
      <c r="L40" s="9" t="s">
        <v>1738</v>
      </c>
      <c r="M40" s="9" t="s">
        <v>1739</v>
      </c>
      <c r="N40" s="45" t="str">
        <f t="shared" si="5"/>
        <v>A. A. The Andes mountain range is 7,000 miles long</v>
      </c>
      <c r="O40" s="1" t="str">
        <f t="shared" si="1"/>
        <v>A. A. The Andes mountain range is 7,000 miles long</v>
      </c>
      <c r="P40" s="1" t="str">
        <f t="shared" si="2"/>
        <v>B. B. Michael Palin wanted to see a series of different landscapes</v>
      </c>
      <c r="Q40" s="1" t="str">
        <f t="shared" si="3"/>
        <v>C. C. The journey took more than a year</v>
      </c>
      <c r="R40" s="1" t="str">
        <f t="shared" si="4"/>
        <v>D. D. Extreme weather made the journey difficult</v>
      </c>
    </row>
    <row r="41" spans="1:18" s="8" customFormat="1" ht="15" customHeight="1" x14ac:dyDescent="0.25">
      <c r="A41" s="9"/>
      <c r="B41" s="9"/>
      <c r="C41" s="10"/>
      <c r="D41" s="10"/>
      <c r="E41" s="10">
        <v>40</v>
      </c>
      <c r="F41" s="10" t="s">
        <v>1753</v>
      </c>
      <c r="G41" s="10" t="s">
        <v>137</v>
      </c>
      <c r="H41" s="10">
        <v>1</v>
      </c>
      <c r="I41" s="9">
        <v>20</v>
      </c>
      <c r="J41" s="9" t="s">
        <v>1740</v>
      </c>
      <c r="K41" s="9" t="s">
        <v>1741</v>
      </c>
      <c r="L41" s="9" t="s">
        <v>406</v>
      </c>
      <c r="M41" s="9" t="s">
        <v>410</v>
      </c>
      <c r="N41" s="45" t="str">
        <f t="shared" si="5"/>
        <v>A. A. Pay-by-phone parking means people save money</v>
      </c>
      <c r="O41" s="1" t="str">
        <f t="shared" si="1"/>
        <v>A. A. Pay-by-phone parking means people save money</v>
      </c>
      <c r="P41" s="1" t="str">
        <f t="shared" si="2"/>
        <v>B. B. Pay-by-phone parking has been the norm in Europe for a long time</v>
      </c>
      <c r="Q41" s="1" t="str">
        <f t="shared" si="3"/>
        <v>C. C. Westminster sold all its old parking metres on eBay</v>
      </c>
      <c r="R41" s="1" t="str">
        <f t="shared" si="4"/>
        <v>D. D. There are no coin-operated parking meters in Westminster anymore</v>
      </c>
    </row>
    <row r="42" spans="1:18" x14ac:dyDescent="0.25">
      <c r="A42" s="11"/>
      <c r="B42" s="11"/>
      <c r="C42" s="11">
        <v>2</v>
      </c>
      <c r="D42" s="11" t="s">
        <v>35</v>
      </c>
      <c r="E42" s="11">
        <v>1</v>
      </c>
      <c r="F42" s="13" t="s">
        <v>416</v>
      </c>
      <c r="G42" s="11" t="s">
        <v>1236</v>
      </c>
      <c r="H42" s="13">
        <v>1</v>
      </c>
      <c r="I42" s="13">
        <v>20</v>
      </c>
      <c r="J42" s="13" t="s">
        <v>188</v>
      </c>
      <c r="K42" s="13" t="s">
        <v>208</v>
      </c>
      <c r="L42" s="13" t="s">
        <v>228</v>
      </c>
      <c r="M42" s="13" t="s">
        <v>248</v>
      </c>
      <c r="N42" s="47" t="str">
        <f t="shared" ref="N42:N57" si="6">CONCATENATE("A. ",(J42))</f>
        <v>A. A. It was okay where I left my car</v>
      </c>
    </row>
    <row r="43" spans="1:18" x14ac:dyDescent="0.25">
      <c r="A43" s="11"/>
      <c r="B43" s="11"/>
      <c r="C43" s="11"/>
      <c r="D43" s="11" t="s">
        <v>2070</v>
      </c>
      <c r="E43" s="11">
        <v>2</v>
      </c>
      <c r="F43" s="13" t="s">
        <v>417</v>
      </c>
      <c r="G43" s="11" t="s">
        <v>1237</v>
      </c>
      <c r="H43" s="13">
        <v>1</v>
      </c>
      <c r="I43" s="13">
        <v>20</v>
      </c>
      <c r="J43" s="13" t="s">
        <v>189</v>
      </c>
      <c r="K43" s="13" t="s">
        <v>209</v>
      </c>
      <c r="L43" s="13" t="s">
        <v>229</v>
      </c>
      <c r="M43" s="13" t="s">
        <v>249</v>
      </c>
      <c r="N43" s="47" t="str">
        <f t="shared" si="6"/>
        <v>A. A. We helped the bulldog</v>
      </c>
    </row>
    <row r="44" spans="1:18" x14ac:dyDescent="0.25">
      <c r="A44" s="11"/>
      <c r="B44" s="11"/>
      <c r="C44" s="11"/>
      <c r="D44" s="9" t="s">
        <v>16</v>
      </c>
      <c r="E44" s="11">
        <v>3</v>
      </c>
      <c r="F44" s="13" t="s">
        <v>418</v>
      </c>
      <c r="G44" s="11" t="s">
        <v>1238</v>
      </c>
      <c r="H44" s="13">
        <v>1</v>
      </c>
      <c r="I44" s="13">
        <v>20</v>
      </c>
      <c r="J44" s="13" t="s">
        <v>190</v>
      </c>
      <c r="K44" s="13" t="s">
        <v>210</v>
      </c>
      <c r="L44" s="13" t="s">
        <v>230</v>
      </c>
      <c r="M44" s="13" t="s">
        <v>250</v>
      </c>
      <c r="N44" s="47" t="str">
        <f t="shared" si="6"/>
        <v>A. A. I haven’t drunk too much coffee.</v>
      </c>
    </row>
    <row r="45" spans="1:18" x14ac:dyDescent="0.25">
      <c r="A45" s="11"/>
      <c r="B45" s="11"/>
      <c r="C45" s="11"/>
      <c r="D45" s="11"/>
      <c r="E45" s="11">
        <v>4</v>
      </c>
      <c r="F45" s="13" t="s">
        <v>419</v>
      </c>
      <c r="G45" s="11" t="s">
        <v>1239</v>
      </c>
      <c r="H45" s="13">
        <v>1</v>
      </c>
      <c r="I45" s="13">
        <v>20</v>
      </c>
      <c r="J45" s="13" t="s">
        <v>191</v>
      </c>
      <c r="K45" s="13" t="s">
        <v>211</v>
      </c>
      <c r="L45" s="13" t="s">
        <v>231</v>
      </c>
      <c r="M45" s="13" t="s">
        <v>251</v>
      </c>
      <c r="N45" s="47" t="str">
        <f t="shared" si="6"/>
        <v>A. A. Motivation and experience determine success.</v>
      </c>
    </row>
    <row r="46" spans="1:18" x14ac:dyDescent="0.25">
      <c r="A46" s="11"/>
      <c r="B46" s="11"/>
      <c r="C46" s="11"/>
      <c r="D46" s="11"/>
      <c r="E46" s="11">
        <v>5</v>
      </c>
      <c r="F46" s="13" t="s">
        <v>420</v>
      </c>
      <c r="G46" s="11" t="s">
        <v>1240</v>
      </c>
      <c r="H46" s="13">
        <v>1</v>
      </c>
      <c r="I46" s="13">
        <v>20</v>
      </c>
      <c r="J46" s="13" t="s">
        <v>192</v>
      </c>
      <c r="K46" s="13" t="s">
        <v>212</v>
      </c>
      <c r="L46" s="13" t="s">
        <v>232</v>
      </c>
      <c r="M46" s="13" t="s">
        <v>252</v>
      </c>
      <c r="N46" s="47" t="str">
        <f t="shared" si="6"/>
        <v>A. A. I’m dying to get the new Harry Potter book.</v>
      </c>
    </row>
    <row r="47" spans="1:18" x14ac:dyDescent="0.25">
      <c r="A47" s="11"/>
      <c r="B47" s="11"/>
      <c r="C47" s="11"/>
      <c r="D47" s="11"/>
      <c r="E47" s="11">
        <v>6</v>
      </c>
      <c r="F47" s="13" t="s">
        <v>421</v>
      </c>
      <c r="G47" s="11" t="s">
        <v>1241</v>
      </c>
      <c r="H47" s="13">
        <v>1</v>
      </c>
      <c r="I47" s="13">
        <v>20</v>
      </c>
      <c r="J47" s="13" t="s">
        <v>193</v>
      </c>
      <c r="K47" s="13" t="s">
        <v>213</v>
      </c>
      <c r="L47" s="13" t="s">
        <v>233</v>
      </c>
      <c r="M47" s="13" t="s">
        <v>253</v>
      </c>
      <c r="N47" s="47" t="str">
        <f t="shared" si="6"/>
        <v>A. A. Before long it will be summer.</v>
      </c>
    </row>
    <row r="48" spans="1:18" x14ac:dyDescent="0.25">
      <c r="A48" s="11"/>
      <c r="B48" s="11"/>
      <c r="C48" s="11"/>
      <c r="D48" s="11"/>
      <c r="E48" s="11">
        <v>7</v>
      </c>
      <c r="F48" s="13" t="s">
        <v>415</v>
      </c>
      <c r="G48" s="11" t="s">
        <v>1242</v>
      </c>
      <c r="H48" s="13">
        <v>1</v>
      </c>
      <c r="I48" s="13">
        <v>20</v>
      </c>
      <c r="J48" s="13" t="s">
        <v>194</v>
      </c>
      <c r="K48" s="13" t="s">
        <v>214</v>
      </c>
      <c r="L48" s="13" t="s">
        <v>234</v>
      </c>
      <c r="M48" s="13" t="s">
        <v>254</v>
      </c>
      <c r="N48" s="47" t="str">
        <f t="shared" si="6"/>
        <v>A. A. John has forgotten the man</v>
      </c>
    </row>
    <row r="49" spans="1:17" x14ac:dyDescent="0.25">
      <c r="A49" s="11"/>
      <c r="B49" s="11"/>
      <c r="C49" s="11"/>
      <c r="D49" s="11"/>
      <c r="E49" s="11">
        <v>8</v>
      </c>
      <c r="F49" s="13" t="s">
        <v>422</v>
      </c>
      <c r="G49" s="11" t="s">
        <v>1243</v>
      </c>
      <c r="H49" s="13">
        <v>1</v>
      </c>
      <c r="I49" s="13">
        <v>20</v>
      </c>
      <c r="J49" s="13" t="s">
        <v>195</v>
      </c>
      <c r="K49" s="13" t="s">
        <v>215</v>
      </c>
      <c r="L49" s="13" t="s">
        <v>235</v>
      </c>
      <c r="M49" s="13" t="s">
        <v>255</v>
      </c>
      <c r="N49" s="47" t="str">
        <f t="shared" si="6"/>
        <v>A. A. Weather permitting, the barbecue will take place.</v>
      </c>
    </row>
    <row r="50" spans="1:17" x14ac:dyDescent="0.25">
      <c r="A50" s="11"/>
      <c r="B50" s="11"/>
      <c r="C50" s="11"/>
      <c r="D50" s="11"/>
      <c r="E50" s="11">
        <v>9</v>
      </c>
      <c r="F50" s="13" t="s">
        <v>142</v>
      </c>
      <c r="G50" s="11" t="s">
        <v>1244</v>
      </c>
      <c r="H50" s="13">
        <v>1</v>
      </c>
      <c r="I50" s="13">
        <v>20</v>
      </c>
      <c r="J50" s="13" t="s">
        <v>196</v>
      </c>
      <c r="K50" s="13" t="s">
        <v>216</v>
      </c>
      <c r="L50" s="13" t="s">
        <v>236</v>
      </c>
      <c r="M50" s="13" t="s">
        <v>256</v>
      </c>
      <c r="N50" s="47" t="str">
        <f t="shared" si="6"/>
        <v>A. A. He is faced with a wide selection of hats.</v>
      </c>
    </row>
    <row r="51" spans="1:17" x14ac:dyDescent="0.25">
      <c r="A51" s="11"/>
      <c r="B51" s="11"/>
      <c r="C51" s="11"/>
      <c r="D51" s="11"/>
      <c r="E51" s="11">
        <v>10</v>
      </c>
      <c r="F51" s="13" t="s">
        <v>143</v>
      </c>
      <c r="G51" s="13" t="s">
        <v>440</v>
      </c>
      <c r="H51" s="13">
        <v>1</v>
      </c>
      <c r="I51" s="13">
        <v>20</v>
      </c>
      <c r="J51" s="13" t="s">
        <v>197</v>
      </c>
      <c r="K51" s="13" t="s">
        <v>217</v>
      </c>
      <c r="L51" s="13" t="s">
        <v>237</v>
      </c>
      <c r="M51" s="13" t="s">
        <v>257</v>
      </c>
      <c r="N51" s="47" t="str">
        <f t="shared" si="6"/>
        <v xml:space="preserve">A. A. The woman’s offer fell short. </v>
      </c>
    </row>
    <row r="52" spans="1:17" x14ac:dyDescent="0.25">
      <c r="A52" s="11"/>
      <c r="B52" s="11"/>
      <c r="C52" s="11"/>
      <c r="D52" s="11"/>
      <c r="E52" s="11">
        <v>11</v>
      </c>
      <c r="F52" s="13" t="s">
        <v>144</v>
      </c>
      <c r="G52" s="13" t="s">
        <v>441</v>
      </c>
      <c r="H52" s="13">
        <v>1</v>
      </c>
      <c r="I52" s="13">
        <v>20</v>
      </c>
      <c r="J52" s="13" t="s">
        <v>198</v>
      </c>
      <c r="K52" s="13" t="s">
        <v>218</v>
      </c>
      <c r="L52" s="13" t="s">
        <v>238</v>
      </c>
      <c r="M52" s="13" t="s">
        <v>258</v>
      </c>
      <c r="N52" s="47" t="str">
        <f t="shared" si="6"/>
        <v>A. A. Mike’s Porsche is red not black</v>
      </c>
    </row>
    <row r="53" spans="1:17" x14ac:dyDescent="0.25">
      <c r="A53" s="11"/>
      <c r="B53" s="11"/>
      <c r="C53" s="11"/>
      <c r="D53" s="11"/>
      <c r="E53" s="11">
        <v>12</v>
      </c>
      <c r="F53" s="13" t="s">
        <v>414</v>
      </c>
      <c r="G53" s="13" t="s">
        <v>442</v>
      </c>
      <c r="H53" s="13">
        <v>1</v>
      </c>
      <c r="I53" s="13">
        <v>20</v>
      </c>
      <c r="J53" s="13" t="s">
        <v>199</v>
      </c>
      <c r="K53" s="13" t="s">
        <v>219</v>
      </c>
      <c r="L53" s="13" t="s">
        <v>239</v>
      </c>
      <c r="M53" s="13" t="s">
        <v>259</v>
      </c>
      <c r="N53" s="47" t="str">
        <f t="shared" si="6"/>
        <v>A. A. This war was shorter than the last.</v>
      </c>
    </row>
    <row r="54" spans="1:17" x14ac:dyDescent="0.25">
      <c r="A54" s="11"/>
      <c r="B54" s="11"/>
      <c r="C54" s="11"/>
      <c r="D54" s="11"/>
      <c r="E54" s="11">
        <v>13</v>
      </c>
      <c r="F54" s="13" t="s">
        <v>145</v>
      </c>
      <c r="G54" s="13" t="s">
        <v>443</v>
      </c>
      <c r="H54" s="13">
        <v>1</v>
      </c>
      <c r="I54" s="13">
        <v>20</v>
      </c>
      <c r="J54" s="13" t="s">
        <v>200</v>
      </c>
      <c r="K54" s="13" t="s">
        <v>220</v>
      </c>
      <c r="L54" s="13" t="s">
        <v>240</v>
      </c>
      <c r="M54" s="13" t="s">
        <v>260</v>
      </c>
      <c r="N54" s="47" t="str">
        <f t="shared" si="6"/>
        <v>A. A. She has trouble with her eyesight</v>
      </c>
    </row>
    <row r="55" spans="1:17" x14ac:dyDescent="0.25">
      <c r="A55" s="11"/>
      <c r="B55" s="11"/>
      <c r="C55" s="11"/>
      <c r="D55" s="11"/>
      <c r="E55" s="11">
        <v>14</v>
      </c>
      <c r="F55" s="13" t="s">
        <v>146</v>
      </c>
      <c r="G55" s="13" t="s">
        <v>444</v>
      </c>
      <c r="H55" s="13">
        <v>1</v>
      </c>
      <c r="I55" s="13">
        <v>20</v>
      </c>
      <c r="J55" s="13" t="s">
        <v>201</v>
      </c>
      <c r="K55" s="13" t="s">
        <v>221</v>
      </c>
      <c r="L55" s="13" t="s">
        <v>241</v>
      </c>
      <c r="M55" s="13" t="s">
        <v>261</v>
      </c>
      <c r="N55" s="47" t="str">
        <f t="shared" si="6"/>
        <v>A. A. He will fix the problem with the lift himself</v>
      </c>
    </row>
    <row r="56" spans="1:17" x14ac:dyDescent="0.25">
      <c r="A56" s="11"/>
      <c r="B56" s="11"/>
      <c r="C56" s="11"/>
      <c r="D56" s="11"/>
      <c r="E56" s="11">
        <v>15</v>
      </c>
      <c r="F56" s="13" t="s">
        <v>147</v>
      </c>
      <c r="G56" s="13" t="s">
        <v>445</v>
      </c>
      <c r="H56" s="13">
        <v>1</v>
      </c>
      <c r="I56" s="13">
        <v>20</v>
      </c>
      <c r="J56" s="13" t="s">
        <v>202</v>
      </c>
      <c r="K56" s="13" t="s">
        <v>222</v>
      </c>
      <c r="L56" s="13" t="s">
        <v>242</v>
      </c>
      <c r="M56" s="13" t="s">
        <v>262</v>
      </c>
      <c r="N56" s="47" t="str">
        <f t="shared" si="6"/>
        <v>A. A. A TV programme to begin.</v>
      </c>
    </row>
    <row r="57" spans="1:17" x14ac:dyDescent="0.25">
      <c r="A57" s="11"/>
      <c r="B57" s="11"/>
      <c r="C57" s="11"/>
      <c r="D57" s="11"/>
      <c r="E57" s="11">
        <v>16</v>
      </c>
      <c r="F57" s="13" t="s">
        <v>148</v>
      </c>
      <c r="G57" s="13" t="s">
        <v>446</v>
      </c>
      <c r="H57" s="13">
        <v>1</v>
      </c>
      <c r="I57" s="13">
        <v>20</v>
      </c>
      <c r="J57" s="13" t="s">
        <v>203</v>
      </c>
      <c r="K57" s="13" t="s">
        <v>223</v>
      </c>
      <c r="L57" s="13" t="s">
        <v>243</v>
      </c>
      <c r="M57" s="13" t="s">
        <v>263</v>
      </c>
      <c r="N57" s="47" t="str">
        <f t="shared" si="6"/>
        <v>A. A. Wars are being presented as entertainment.</v>
      </c>
    </row>
    <row r="58" spans="1:17" x14ac:dyDescent="0.25">
      <c r="A58" s="11"/>
      <c r="B58" s="11"/>
      <c r="C58" s="11"/>
      <c r="D58" s="11"/>
      <c r="E58" s="11">
        <v>17</v>
      </c>
      <c r="F58" s="13" t="s">
        <v>149</v>
      </c>
      <c r="G58" s="13" t="s">
        <v>447</v>
      </c>
      <c r="H58" s="13">
        <v>1</v>
      </c>
      <c r="I58" s="13">
        <v>20</v>
      </c>
      <c r="J58" s="13" t="s">
        <v>204</v>
      </c>
      <c r="K58" s="13" t="s">
        <v>224</v>
      </c>
      <c r="L58" s="13" t="s">
        <v>244</v>
      </c>
      <c r="M58" s="13" t="s">
        <v>264</v>
      </c>
      <c r="N58" s="47" t="str">
        <f t="shared" ref="N58:N89" si="7">CONCATENATE("A. ",(J58))</f>
        <v>A. A. Her client is confessing his guilt.</v>
      </c>
    </row>
    <row r="59" spans="1:17" x14ac:dyDescent="0.25">
      <c r="A59" s="11"/>
      <c r="B59" s="11"/>
      <c r="C59" s="11"/>
      <c r="D59" s="11"/>
      <c r="E59" s="11">
        <v>18</v>
      </c>
      <c r="F59" s="13" t="s">
        <v>150</v>
      </c>
      <c r="G59" s="13" t="s">
        <v>448</v>
      </c>
      <c r="H59" s="13">
        <v>1</v>
      </c>
      <c r="I59" s="13">
        <v>20</v>
      </c>
      <c r="J59" s="13" t="s">
        <v>205</v>
      </c>
      <c r="K59" s="13" t="s">
        <v>225</v>
      </c>
      <c r="L59" s="13" t="s">
        <v>245</v>
      </c>
      <c r="M59" s="13" t="s">
        <v>265</v>
      </c>
      <c r="N59" s="47" t="str">
        <f t="shared" si="7"/>
        <v xml:space="preserve">A. A. Strides have been made in modern warfare. </v>
      </c>
    </row>
    <row r="60" spans="1:17" x14ac:dyDescent="0.25">
      <c r="A60" s="11"/>
      <c r="B60" s="11"/>
      <c r="C60" s="11"/>
      <c r="D60" s="11"/>
      <c r="E60" s="11">
        <v>19</v>
      </c>
      <c r="F60" s="13" t="s">
        <v>151</v>
      </c>
      <c r="G60" s="13" t="s">
        <v>449</v>
      </c>
      <c r="H60" s="13">
        <v>1</v>
      </c>
      <c r="I60" s="13">
        <v>20</v>
      </c>
      <c r="J60" s="13" t="s">
        <v>206</v>
      </c>
      <c r="K60" s="13" t="s">
        <v>226</v>
      </c>
      <c r="L60" s="13" t="s">
        <v>246</v>
      </c>
      <c r="M60" s="13" t="s">
        <v>266</v>
      </c>
      <c r="N60" s="47" t="str">
        <f t="shared" si="7"/>
        <v>A. A. He guesses their friends will be over for an hour.</v>
      </c>
    </row>
    <row r="61" spans="1:17" ht="15" customHeight="1" x14ac:dyDescent="0.25">
      <c r="A61" s="11"/>
      <c r="B61" s="11"/>
      <c r="C61" s="11"/>
      <c r="D61" s="11"/>
      <c r="E61" s="11">
        <v>20</v>
      </c>
      <c r="F61" s="11" t="s">
        <v>152</v>
      </c>
      <c r="G61" s="13" t="s">
        <v>450</v>
      </c>
      <c r="H61" s="13">
        <v>1</v>
      </c>
      <c r="I61" s="13">
        <v>20</v>
      </c>
      <c r="J61" s="13" t="s">
        <v>207</v>
      </c>
      <c r="K61" s="13" t="s">
        <v>227</v>
      </c>
      <c r="L61" s="13" t="s">
        <v>247</v>
      </c>
      <c r="M61" s="13" t="s">
        <v>267</v>
      </c>
      <c r="N61" s="47" t="str">
        <f t="shared" si="7"/>
        <v>A. A. Journalists cover wars for financial reasons.</v>
      </c>
    </row>
    <row r="62" spans="1:17" ht="15" customHeight="1" x14ac:dyDescent="0.25">
      <c r="A62" s="11"/>
      <c r="B62" s="11"/>
      <c r="C62" s="11"/>
      <c r="D62" s="11"/>
      <c r="E62" s="11">
        <v>21</v>
      </c>
      <c r="F62" s="11" t="s">
        <v>1994</v>
      </c>
      <c r="G62" s="13" t="s">
        <v>451</v>
      </c>
      <c r="H62" s="13">
        <v>1</v>
      </c>
      <c r="I62" s="13">
        <v>20</v>
      </c>
      <c r="J62" s="13" t="s">
        <v>2014</v>
      </c>
      <c r="K62" s="13" t="s">
        <v>400</v>
      </c>
      <c r="L62" s="13" t="s">
        <v>2015</v>
      </c>
      <c r="M62" s="13" t="s">
        <v>2016</v>
      </c>
      <c r="N62" s="47" t="str">
        <f t="shared" si="7"/>
        <v>A. A. The Pentagon  wanted to establish what the deposits are worth</v>
      </c>
      <c r="O62" s="1" t="str">
        <f>CONCATENATE("B. ",(K62))</f>
        <v>B. B. It is unclear how much the mineral resources are worth</v>
      </c>
      <c r="P62" s="1" t="str">
        <f>CONCATENATE("C. ",(L62))</f>
        <v>C. C. Some resources have already been exploited</v>
      </c>
      <c r="Q62" s="1" t="str">
        <f>CONCATENATE("D. ",(M62))</f>
        <v>D. D. The Pentagon task-force did not include Afghan members</v>
      </c>
    </row>
    <row r="63" spans="1:17" ht="15" customHeight="1" x14ac:dyDescent="0.25">
      <c r="A63" s="11"/>
      <c r="B63" s="11"/>
      <c r="C63" s="11"/>
      <c r="D63" s="11"/>
      <c r="E63" s="11">
        <v>22</v>
      </c>
      <c r="F63" s="11" t="s">
        <v>1995</v>
      </c>
      <c r="G63" s="13" t="s">
        <v>452</v>
      </c>
      <c r="H63" s="13">
        <v>1</v>
      </c>
      <c r="I63" s="13">
        <v>20</v>
      </c>
      <c r="J63" s="13" t="s">
        <v>2017</v>
      </c>
      <c r="K63" s="13" t="s">
        <v>2018</v>
      </c>
      <c r="L63" s="13" t="s">
        <v>405</v>
      </c>
      <c r="M63" s="13" t="s">
        <v>2019</v>
      </c>
      <c r="N63" s="47" t="str">
        <f t="shared" si="7"/>
        <v xml:space="preserve">A. A. The Obama inauguration took place on a weekend </v>
      </c>
      <c r="O63" s="1" t="str">
        <f t="shared" ref="O63:O81" si="8">CONCATENATE("B. ",(K63))</f>
        <v>B. B. Internet traffic was less when people saw matches on TV</v>
      </c>
      <c r="P63" s="1" t="str">
        <f t="shared" ref="P63:P81" si="9">CONCATENATE("C. ",(L63))</f>
        <v>C. C. People have TV sets at work so they can see the matches</v>
      </c>
      <c r="Q63" s="1" t="str">
        <f t="shared" ref="Q63:Q81" si="10">CONCATENATE("D. ",(M63))</f>
        <v>D. D. The  World Cup has collapsed the Internet</v>
      </c>
    </row>
    <row r="64" spans="1:17" ht="15" customHeight="1" x14ac:dyDescent="0.25">
      <c r="A64" s="11"/>
      <c r="B64" s="11"/>
      <c r="C64" s="11"/>
      <c r="D64" s="11"/>
      <c r="E64" s="11">
        <v>23</v>
      </c>
      <c r="F64" s="11" t="s">
        <v>1996</v>
      </c>
      <c r="G64" s="13" t="s">
        <v>453</v>
      </c>
      <c r="H64" s="13">
        <v>1</v>
      </c>
      <c r="I64" s="13">
        <v>20</v>
      </c>
      <c r="J64" s="13" t="s">
        <v>2020</v>
      </c>
      <c r="K64" s="13" t="s">
        <v>401</v>
      </c>
      <c r="L64" s="13" t="s">
        <v>2021</v>
      </c>
      <c r="M64" s="13" t="s">
        <v>2022</v>
      </c>
      <c r="N64" s="47" t="str">
        <f t="shared" si="7"/>
        <v>A. A. McChrystal was reprimanded for his comments</v>
      </c>
      <c r="O64" s="1" t="str">
        <f t="shared" si="8"/>
        <v>B. B. McChrystal was fired for revealing details of war policy</v>
      </c>
      <c r="P64" s="1" t="str">
        <f t="shared" si="9"/>
        <v>C. C. Petreaus has a proven track record in civilian-military relations</v>
      </c>
      <c r="Q64" s="1" t="str">
        <f t="shared" si="10"/>
        <v>D. D. Relations between McChrystal and civilian leaders were acceptable</v>
      </c>
    </row>
    <row r="65" spans="1:17" ht="15" customHeight="1" x14ac:dyDescent="0.25">
      <c r="A65" s="11"/>
      <c r="B65" s="11"/>
      <c r="C65" s="11"/>
      <c r="D65" s="11"/>
      <c r="E65" s="11">
        <v>24</v>
      </c>
      <c r="F65" s="11" t="s">
        <v>1997</v>
      </c>
      <c r="G65" s="13" t="s">
        <v>454</v>
      </c>
      <c r="H65" s="13">
        <v>1</v>
      </c>
      <c r="I65" s="13">
        <v>20</v>
      </c>
      <c r="J65" s="13" t="s">
        <v>2023</v>
      </c>
      <c r="K65" s="13" t="s">
        <v>2024</v>
      </c>
      <c r="L65" s="13" t="s">
        <v>2025</v>
      </c>
      <c r="M65" s="13" t="s">
        <v>411</v>
      </c>
      <c r="N65" s="47" t="str">
        <f t="shared" si="7"/>
        <v>A. A. The Zeta cartel had permission to cut off the  city’s main thoroughfares</v>
      </c>
      <c r="O65" s="1" t="str">
        <f t="shared" si="8"/>
        <v>B. B. Monterey is not a thriving city</v>
      </c>
      <c r="P65" s="1" t="str">
        <f t="shared" si="9"/>
        <v>C. C. The military captured a Zeta member earlier in the month</v>
      </c>
      <c r="Q65" s="1" t="str">
        <f t="shared" si="10"/>
        <v>D. D. Trucks buses and cars were set alight after the drivers had been removed</v>
      </c>
    </row>
    <row r="66" spans="1:17" ht="15" customHeight="1" x14ac:dyDescent="0.25">
      <c r="A66" s="11"/>
      <c r="B66" s="11"/>
      <c r="C66" s="11"/>
      <c r="D66" s="11"/>
      <c r="E66" s="11">
        <v>25</v>
      </c>
      <c r="F66" s="11" t="s">
        <v>1998</v>
      </c>
      <c r="G66" s="13" t="s">
        <v>455</v>
      </c>
      <c r="H66" s="13">
        <v>1</v>
      </c>
      <c r="I66" s="13">
        <v>20</v>
      </c>
      <c r="J66" s="13" t="s">
        <v>2026</v>
      </c>
      <c r="K66" s="13" t="s">
        <v>2027</v>
      </c>
      <c r="L66" s="13" t="s">
        <v>2028</v>
      </c>
      <c r="M66" s="13" t="s">
        <v>2029</v>
      </c>
      <c r="N66" s="47" t="str">
        <f t="shared" si="7"/>
        <v>A. A. It may be a good idea for couples of different religions</v>
      </c>
      <c r="O66" s="1" t="str">
        <f t="shared" si="8"/>
        <v>B. B. The clergy believes it causes couples to lose their faith</v>
      </c>
      <c r="P66" s="1" t="str">
        <f t="shared" si="9"/>
        <v>C. C. Though the friends may be uncertified, this is not a problem</v>
      </c>
      <c r="Q66" s="1" t="str">
        <f t="shared" si="10"/>
        <v>D. D. It can be done over the Internet</v>
      </c>
    </row>
    <row r="67" spans="1:17" ht="15" customHeight="1" x14ac:dyDescent="0.25">
      <c r="A67" s="11"/>
      <c r="B67" s="11"/>
      <c r="C67" s="11"/>
      <c r="D67" s="11"/>
      <c r="E67" s="11">
        <v>26</v>
      </c>
      <c r="F67" s="11" t="s">
        <v>1999</v>
      </c>
      <c r="G67" s="13" t="s">
        <v>456</v>
      </c>
      <c r="H67" s="13">
        <v>1</v>
      </c>
      <c r="I67" s="13">
        <v>20</v>
      </c>
      <c r="J67" s="13" t="s">
        <v>2030</v>
      </c>
      <c r="K67" s="13" t="s">
        <v>402</v>
      </c>
      <c r="L67" s="13" t="s">
        <v>2031</v>
      </c>
      <c r="M67" s="13" t="s">
        <v>2032</v>
      </c>
      <c r="N67" s="47" t="str">
        <f t="shared" si="7"/>
        <v>A. A. Gene’s dad survived a the tunnel collapse</v>
      </c>
      <c r="O67" s="1" t="str">
        <f t="shared" si="8"/>
        <v>B. B. Gene’s description of the mine is first hand</v>
      </c>
      <c r="P67" s="1" t="str">
        <f t="shared" si="9"/>
        <v>C. C. Miners were paid well in West Virginia</v>
      </c>
      <c r="Q67" s="1" t="str">
        <f t="shared" si="10"/>
        <v>D. D. Work in the mine commenced after elementary school</v>
      </c>
    </row>
    <row r="68" spans="1:17" ht="15" customHeight="1" x14ac:dyDescent="0.25">
      <c r="A68" s="11"/>
      <c r="B68" s="11"/>
      <c r="C68" s="11"/>
      <c r="D68" s="11"/>
      <c r="E68" s="11">
        <v>27</v>
      </c>
      <c r="F68" s="11" t="s">
        <v>2000</v>
      </c>
      <c r="G68" s="13" t="s">
        <v>457</v>
      </c>
      <c r="H68" s="13">
        <v>1</v>
      </c>
      <c r="I68" s="13">
        <v>20</v>
      </c>
      <c r="J68" s="13" t="s">
        <v>396</v>
      </c>
      <c r="K68" s="13" t="s">
        <v>2033</v>
      </c>
      <c r="L68" s="13" t="s">
        <v>2034</v>
      </c>
      <c r="M68" s="13" t="s">
        <v>412</v>
      </c>
      <c r="N68" s="47" t="str">
        <f t="shared" si="7"/>
        <v>A. A. The president of FIFA believes human error makes soccer exciting</v>
      </c>
      <c r="O68" s="1" t="str">
        <f t="shared" si="8"/>
        <v>B. B. Referees from Uruguay have changed the nature of the game</v>
      </c>
      <c r="P68" s="1" t="str">
        <f t="shared" si="9"/>
        <v>C. C. TV replays are always controversial</v>
      </c>
      <c r="Q68" s="1" t="str">
        <f t="shared" si="10"/>
        <v>D. D. FIFA is willing to adopt new technologies in football</v>
      </c>
    </row>
    <row r="69" spans="1:17" ht="15" customHeight="1" x14ac:dyDescent="0.25">
      <c r="A69" s="11"/>
      <c r="B69" s="11"/>
      <c r="C69" s="11"/>
      <c r="D69" s="11"/>
      <c r="E69" s="11">
        <v>28</v>
      </c>
      <c r="F69" s="11" t="s">
        <v>1993</v>
      </c>
      <c r="G69" s="13" t="s">
        <v>458</v>
      </c>
      <c r="H69" s="13">
        <v>1</v>
      </c>
      <c r="I69" s="13">
        <v>20</v>
      </c>
      <c r="J69" s="13" t="s">
        <v>2035</v>
      </c>
      <c r="K69" s="13" t="s">
        <v>2036</v>
      </c>
      <c r="L69" s="13" t="s">
        <v>407</v>
      </c>
      <c r="M69" s="13" t="s">
        <v>2037</v>
      </c>
      <c r="N69" s="47" t="str">
        <f t="shared" si="7"/>
        <v>A. A. The G20 countries all have increasing government debt</v>
      </c>
      <c r="O69" s="1" t="str">
        <f t="shared" si="8"/>
        <v>B. B. Aid promised in previous meetings has not been transferred</v>
      </c>
      <c r="P69" s="1" t="str">
        <f t="shared" si="9"/>
        <v>C. C. The Middle East will not be discussed this time round</v>
      </c>
      <c r="Q69" s="1" t="str">
        <f t="shared" si="10"/>
        <v>D. D. Security is quite lax as there have been few problems</v>
      </c>
    </row>
    <row r="70" spans="1:17" ht="15" customHeight="1" x14ac:dyDescent="0.25">
      <c r="A70" s="11"/>
      <c r="B70" s="11"/>
      <c r="C70" s="11"/>
      <c r="D70" s="11"/>
      <c r="E70" s="11">
        <v>29</v>
      </c>
      <c r="F70" s="11" t="s">
        <v>2001</v>
      </c>
      <c r="G70" s="13" t="s">
        <v>459</v>
      </c>
      <c r="H70" s="13">
        <v>1</v>
      </c>
      <c r="I70" s="13">
        <v>20</v>
      </c>
      <c r="J70" s="13" t="s">
        <v>2038</v>
      </c>
      <c r="K70" s="13" t="s">
        <v>2039</v>
      </c>
      <c r="L70" s="13" t="s">
        <v>2040</v>
      </c>
      <c r="M70" s="13" t="s">
        <v>2041</v>
      </c>
      <c r="N70" s="47" t="str">
        <f t="shared" si="7"/>
        <v>A. A. They have been given temporary contracts</v>
      </c>
      <c r="O70" s="1" t="str">
        <f t="shared" si="8"/>
        <v>B. B. KPMG owes money to 200 staff</v>
      </c>
      <c r="P70" s="1" t="str">
        <f t="shared" si="9"/>
        <v>C. C. The administrators did not arrive for a union meeting</v>
      </c>
      <c r="Q70" s="1" t="str">
        <f t="shared" si="10"/>
        <v>D. D. They wanted to stage a twenty-four hour protest</v>
      </c>
    </row>
    <row r="71" spans="1:17" ht="15" customHeight="1" x14ac:dyDescent="0.25">
      <c r="A71" s="11"/>
      <c r="B71" s="11"/>
      <c r="C71" s="11"/>
      <c r="D71" s="11"/>
      <c r="E71" s="11">
        <v>30</v>
      </c>
      <c r="F71" s="11" t="s">
        <v>2002</v>
      </c>
      <c r="G71" s="13" t="s">
        <v>460</v>
      </c>
      <c r="H71" s="13">
        <v>1</v>
      </c>
      <c r="I71" s="13">
        <v>20</v>
      </c>
      <c r="J71" s="13" t="s">
        <v>2042</v>
      </c>
      <c r="K71" s="13" t="s">
        <v>2043</v>
      </c>
      <c r="L71" s="13" t="s">
        <v>2044</v>
      </c>
      <c r="M71" s="13" t="s">
        <v>2045</v>
      </c>
      <c r="N71" s="47" t="str">
        <f t="shared" si="7"/>
        <v>A. A. He had a fight with the immigration judge</v>
      </c>
      <c r="O71" s="1" t="str">
        <f t="shared" si="8"/>
        <v>B. B. He would like to do the entrance exams for Harvard</v>
      </c>
      <c r="P71" s="1" t="str">
        <f t="shared" si="9"/>
        <v>C. C. He was visiting his mother in Boston</v>
      </c>
      <c r="Q71" s="1" t="str">
        <f t="shared" si="10"/>
        <v>D. D. Harvard will try to help him resolve the situation</v>
      </c>
    </row>
    <row r="72" spans="1:17" ht="15" customHeight="1" x14ac:dyDescent="0.25">
      <c r="A72" s="11"/>
      <c r="B72" s="11"/>
      <c r="C72" s="11"/>
      <c r="D72" s="11"/>
      <c r="E72" s="11">
        <v>31</v>
      </c>
      <c r="F72" s="11" t="s">
        <v>2003</v>
      </c>
      <c r="G72" s="13" t="s">
        <v>439</v>
      </c>
      <c r="H72" s="13">
        <v>1</v>
      </c>
      <c r="I72" s="13">
        <v>20</v>
      </c>
      <c r="J72" s="13" t="s">
        <v>2046</v>
      </c>
      <c r="K72" s="13" t="s">
        <v>2047</v>
      </c>
      <c r="L72" s="13" t="s">
        <v>408</v>
      </c>
      <c r="M72" s="13" t="s">
        <v>413</v>
      </c>
      <c r="N72" s="47" t="str">
        <f t="shared" si="7"/>
        <v>A. A. The head in question is made of bronze</v>
      </c>
      <c r="O72" s="1" t="str">
        <f t="shared" si="8"/>
        <v>B. B. The head is of an African warrior</v>
      </c>
      <c r="P72" s="1" t="str">
        <f t="shared" si="9"/>
        <v>C. C. The head symbolizes a culture that left us no evidence in writing</v>
      </c>
      <c r="Q72" s="1" t="str">
        <f t="shared" si="10"/>
        <v>D. D. Heads were discovered in Ife at the turn of the last century</v>
      </c>
    </row>
    <row r="73" spans="1:17" ht="15" customHeight="1" x14ac:dyDescent="0.25">
      <c r="A73" s="11"/>
      <c r="B73" s="11"/>
      <c r="C73" s="11"/>
      <c r="D73" s="11"/>
      <c r="E73" s="11">
        <v>32</v>
      </c>
      <c r="F73" s="11" t="s">
        <v>2004</v>
      </c>
      <c r="G73" s="13" t="s">
        <v>438</v>
      </c>
      <c r="H73" s="13">
        <v>1</v>
      </c>
      <c r="I73" s="13">
        <v>20</v>
      </c>
      <c r="J73" s="13" t="s">
        <v>397</v>
      </c>
      <c r="K73" s="13" t="s">
        <v>403</v>
      </c>
      <c r="L73" s="13" t="s">
        <v>2048</v>
      </c>
      <c r="M73" s="13" t="s">
        <v>2049</v>
      </c>
      <c r="N73" s="47" t="str">
        <f t="shared" si="7"/>
        <v>A. A. Current conflicts show a sense of ideology</v>
      </c>
      <c r="O73" s="1" t="str">
        <f t="shared" si="8"/>
        <v>B. B. Previous liberation movements wanted to change society</v>
      </c>
      <c r="P73" s="1" t="str">
        <f t="shared" si="9"/>
        <v>C. C. Nowadays  whole societies back criminal groups</v>
      </c>
      <c r="Q73" s="1" t="str">
        <f t="shared" si="10"/>
        <v>D. D. The aim of the liberation movement in Eritrea was literacy</v>
      </c>
    </row>
    <row r="74" spans="1:17" ht="15" customHeight="1" x14ac:dyDescent="0.25">
      <c r="A74" s="11"/>
      <c r="B74" s="11"/>
      <c r="C74" s="11"/>
      <c r="D74" s="11"/>
      <c r="E74" s="11">
        <v>33</v>
      </c>
      <c r="F74" s="11" t="s">
        <v>2005</v>
      </c>
      <c r="G74" s="13" t="s">
        <v>437</v>
      </c>
      <c r="H74" s="13">
        <v>1</v>
      </c>
      <c r="I74" s="13">
        <v>20</v>
      </c>
      <c r="J74" s="13" t="s">
        <v>398</v>
      </c>
      <c r="K74" s="13" t="s">
        <v>404</v>
      </c>
      <c r="L74" s="13" t="s">
        <v>2050</v>
      </c>
      <c r="M74" s="13" t="s">
        <v>2051</v>
      </c>
      <c r="N74" s="47" t="str">
        <f t="shared" si="7"/>
        <v>A. A. He likes to wear the traditional dress of the Cofan Indians</v>
      </c>
      <c r="O74" s="1" t="str">
        <f t="shared" si="8"/>
        <v>B. B. He helps them to acquire rainforest territory</v>
      </c>
      <c r="P74" s="1" t="str">
        <f t="shared" si="9"/>
        <v>C. C. He took Cofan lessons before coming to Ecuador</v>
      </c>
      <c r="Q74" s="1" t="str">
        <f t="shared" si="10"/>
        <v>D. D. He doesn’t mind living in a forest</v>
      </c>
    </row>
    <row r="75" spans="1:17" ht="15" customHeight="1" x14ac:dyDescent="0.25">
      <c r="A75" s="11"/>
      <c r="B75" s="11"/>
      <c r="C75" s="11"/>
      <c r="D75" s="11"/>
      <c r="E75" s="11">
        <v>34</v>
      </c>
      <c r="F75" s="11" t="s">
        <v>2006</v>
      </c>
      <c r="G75" s="13" t="s">
        <v>436</v>
      </c>
      <c r="H75" s="13">
        <v>1</v>
      </c>
      <c r="I75" s="13">
        <v>20</v>
      </c>
      <c r="J75" s="13" t="s">
        <v>399</v>
      </c>
      <c r="K75" s="13" t="s">
        <v>2052</v>
      </c>
      <c r="L75" s="13" t="s">
        <v>409</v>
      </c>
      <c r="M75" s="13" t="s">
        <v>2053</v>
      </c>
      <c r="N75" s="47" t="str">
        <f t="shared" si="7"/>
        <v>A. A. Several assassination attempts on Ted Kennedy’s life</v>
      </c>
      <c r="O75" s="1" t="str">
        <f t="shared" si="8"/>
        <v>B. B. That Ted Kennedy killed someone</v>
      </c>
      <c r="P75" s="1" t="str">
        <f t="shared" si="9"/>
        <v>C. C. The Kennedys  were partial to being monitored</v>
      </c>
      <c r="Q75" s="1" t="str">
        <f t="shared" si="10"/>
        <v>D. D. That Ted Kennedy’s life  was continuously under threat</v>
      </c>
    </row>
    <row r="76" spans="1:17" ht="15" customHeight="1" x14ac:dyDescent="0.25">
      <c r="A76" s="11"/>
      <c r="B76" s="11"/>
      <c r="C76" s="11"/>
      <c r="D76" s="11"/>
      <c r="E76" s="11">
        <v>35</v>
      </c>
      <c r="F76" s="11" t="s">
        <v>2007</v>
      </c>
      <c r="G76" s="13" t="s">
        <v>435</v>
      </c>
      <c r="H76" s="13">
        <v>1</v>
      </c>
      <c r="I76" s="13">
        <v>20</v>
      </c>
      <c r="J76" s="13" t="s">
        <v>2054</v>
      </c>
      <c r="K76" s="13" t="s">
        <v>2055</v>
      </c>
      <c r="L76" s="13" t="s">
        <v>2056</v>
      </c>
      <c r="M76" s="13" t="s">
        <v>2057</v>
      </c>
      <c r="N76" s="47" t="str">
        <f t="shared" si="7"/>
        <v>A. A. Clyde Marcel operates a dating agency</v>
      </c>
      <c r="O76" s="1" t="str">
        <f t="shared" si="8"/>
        <v>B. B. Beach weddings are no longer an attractive option for couples</v>
      </c>
      <c r="P76" s="1" t="str">
        <f t="shared" si="9"/>
        <v>C. C. Tar balls and oil mousse attract people to the Mississippi coast</v>
      </c>
      <c r="Q76" s="1" t="str">
        <f t="shared" si="10"/>
        <v>D. D. Clyde is worried about his health</v>
      </c>
    </row>
    <row r="77" spans="1:17" ht="15" customHeight="1" x14ac:dyDescent="0.25">
      <c r="A77" s="11"/>
      <c r="B77" s="11"/>
      <c r="C77" s="11"/>
      <c r="D77" s="11"/>
      <c r="E77" s="11">
        <v>36</v>
      </c>
      <c r="F77" s="11" t="s">
        <v>2008</v>
      </c>
      <c r="G77" s="13" t="s">
        <v>434</v>
      </c>
      <c r="H77" s="13">
        <v>1</v>
      </c>
      <c r="I77" s="13">
        <v>20</v>
      </c>
      <c r="J77" s="13" t="s">
        <v>2058</v>
      </c>
      <c r="K77" s="13" t="s">
        <v>2059</v>
      </c>
      <c r="L77" s="13" t="s">
        <v>2060</v>
      </c>
      <c r="M77" s="13" t="s">
        <v>2061</v>
      </c>
      <c r="N77" s="47" t="str">
        <f t="shared" si="7"/>
        <v xml:space="preserve">A. A. The  US has intervened to bring about the amnesty </v>
      </c>
      <c r="O77" s="1" t="str">
        <f t="shared" si="8"/>
        <v>B. B. Relations between the Catholic Church and Cuba have improved</v>
      </c>
      <c r="P77" s="1" t="str">
        <f t="shared" si="9"/>
        <v>C. C. Fidel Castro released all prisoners when he came to power</v>
      </c>
      <c r="Q77" s="1" t="str">
        <f t="shared" si="10"/>
        <v>D. D. Such a large number of prisoners has never been released</v>
      </c>
    </row>
    <row r="78" spans="1:17" ht="15" customHeight="1" x14ac:dyDescent="0.25">
      <c r="A78" s="11"/>
      <c r="B78" s="11"/>
      <c r="C78" s="11"/>
      <c r="D78" s="11"/>
      <c r="E78" s="11">
        <v>37</v>
      </c>
      <c r="F78" s="11" t="s">
        <v>2009</v>
      </c>
      <c r="G78" s="13" t="s">
        <v>433</v>
      </c>
      <c r="H78" s="13">
        <v>1</v>
      </c>
      <c r="I78" s="13">
        <v>20</v>
      </c>
      <c r="J78" s="13" t="s">
        <v>2062</v>
      </c>
      <c r="K78" s="13" t="s">
        <v>2063</v>
      </c>
      <c r="L78" s="13" t="s">
        <v>2064</v>
      </c>
      <c r="M78" s="13" t="s">
        <v>2065</v>
      </c>
      <c r="N78" s="47" t="str">
        <f t="shared" si="7"/>
        <v>A. A. Gliding in loops</v>
      </c>
      <c r="O78" s="1" t="str">
        <f t="shared" si="8"/>
        <v>B. B. The Jura mountains</v>
      </c>
      <c r="P78" s="1" t="str">
        <f t="shared" si="9"/>
        <v>C. C. The plane made no noise</v>
      </c>
      <c r="Q78" s="1" t="str">
        <f t="shared" si="10"/>
        <v>D. D. There was so much sunlight</v>
      </c>
    </row>
    <row r="79" spans="1:17" ht="15" customHeight="1" x14ac:dyDescent="0.25">
      <c r="A79" s="11"/>
      <c r="B79" s="11"/>
      <c r="C79" s="11"/>
      <c r="D79" s="11"/>
      <c r="E79" s="11">
        <v>38</v>
      </c>
      <c r="F79" s="11" t="s">
        <v>2010</v>
      </c>
      <c r="G79" s="13" t="s">
        <v>432</v>
      </c>
      <c r="H79" s="13">
        <v>1</v>
      </c>
      <c r="I79" s="13">
        <v>20</v>
      </c>
      <c r="J79" s="13" t="s">
        <v>555</v>
      </c>
      <c r="K79" s="13" t="s">
        <v>596</v>
      </c>
      <c r="L79" s="13" t="s">
        <v>633</v>
      </c>
      <c r="M79" s="13" t="s">
        <v>663</v>
      </c>
      <c r="N79" s="47" t="str">
        <f t="shared" si="7"/>
        <v>A. A. She spent eighty four days in prison</v>
      </c>
      <c r="O79" s="1" t="str">
        <f t="shared" si="8"/>
        <v xml:space="preserve">B. B. She has already had problems with the law </v>
      </c>
      <c r="P79" s="1" t="str">
        <f t="shared" si="9"/>
        <v>C. C. She failed a course on in adult education</v>
      </c>
      <c r="Q79" s="1" t="str">
        <f t="shared" si="10"/>
        <v>D. D. She was sentenced to immediate imprisonment</v>
      </c>
    </row>
    <row r="80" spans="1:17" ht="15" customHeight="1" x14ac:dyDescent="0.25">
      <c r="A80" s="11"/>
      <c r="B80" s="11"/>
      <c r="C80" s="11"/>
      <c r="D80" s="11"/>
      <c r="E80" s="11">
        <v>39</v>
      </c>
      <c r="F80" s="11" t="s">
        <v>2011</v>
      </c>
      <c r="G80" s="13" t="s">
        <v>431</v>
      </c>
      <c r="H80" s="13">
        <v>1</v>
      </c>
      <c r="I80" s="13">
        <v>20</v>
      </c>
      <c r="J80" s="13" t="s">
        <v>556</v>
      </c>
      <c r="K80" s="13" t="s">
        <v>595</v>
      </c>
      <c r="L80" s="13" t="s">
        <v>634</v>
      </c>
      <c r="M80" s="13" t="s">
        <v>2066</v>
      </c>
      <c r="N80" s="47" t="str">
        <f t="shared" si="7"/>
        <v>A. A. The extract considers the little-known side of food processing</v>
      </c>
      <c r="O80" s="1" t="str">
        <f t="shared" si="8"/>
        <v>B. B. The jam was tasted before the pails were sealed</v>
      </c>
      <c r="P80" s="1" t="str">
        <f t="shared" si="9"/>
        <v>C. C. Flies are part and parcel of jam making</v>
      </c>
      <c r="Q80" s="1" t="str">
        <f t="shared" si="10"/>
        <v>D. D. Filling  your trolley in the store, you think of food processing</v>
      </c>
    </row>
    <row r="81" spans="1:17" ht="15" customHeight="1" x14ac:dyDescent="0.25">
      <c r="A81" s="11"/>
      <c r="B81" s="11"/>
      <c r="C81" s="11"/>
      <c r="D81" s="11"/>
      <c r="E81" s="11">
        <v>40</v>
      </c>
      <c r="F81" s="11" t="s">
        <v>2012</v>
      </c>
      <c r="G81" s="13" t="s">
        <v>430</v>
      </c>
      <c r="H81" s="13">
        <v>1</v>
      </c>
      <c r="I81" s="13">
        <v>20</v>
      </c>
      <c r="J81" s="13" t="s">
        <v>557</v>
      </c>
      <c r="K81" s="13" t="s">
        <v>2067</v>
      </c>
      <c r="L81" s="13" t="s">
        <v>635</v>
      </c>
      <c r="M81" s="13" t="s">
        <v>661</v>
      </c>
      <c r="N81" s="47" t="str">
        <f t="shared" si="7"/>
        <v xml:space="preserve">A. A. Police are going to be tough on everyone in the street </v>
      </c>
      <c r="O81" s="1" t="str">
        <f t="shared" si="8"/>
        <v>B. B. Staying  away from school will be a serious offence</v>
      </c>
      <c r="P81" s="1" t="str">
        <f t="shared" si="9"/>
        <v>C. C. Youth workers will help sweep the streets during the crackdown</v>
      </c>
      <c r="Q81" s="1" t="str">
        <f t="shared" si="10"/>
        <v>D. D. Stealing among young offenders will be targeted</v>
      </c>
    </row>
    <row r="82" spans="1:17" x14ac:dyDescent="0.25">
      <c r="A82" s="12"/>
      <c r="B82" s="12"/>
      <c r="C82" s="12">
        <v>3</v>
      </c>
      <c r="D82" s="12" t="s">
        <v>153</v>
      </c>
      <c r="E82" s="12">
        <v>1</v>
      </c>
      <c r="F82" s="19" t="s">
        <v>154</v>
      </c>
      <c r="G82" s="12" t="s">
        <v>742</v>
      </c>
      <c r="H82" s="12">
        <v>1</v>
      </c>
      <c r="I82" s="12">
        <v>20</v>
      </c>
      <c r="J82" s="12" t="s">
        <v>542</v>
      </c>
      <c r="K82" s="12" t="s">
        <v>717</v>
      </c>
      <c r="L82" s="12" t="s">
        <v>718</v>
      </c>
      <c r="M82" s="12" t="s">
        <v>674</v>
      </c>
      <c r="N82" s="47" t="str">
        <f t="shared" si="7"/>
        <v>A. A. Billy wakes up early.</v>
      </c>
    </row>
    <row r="83" spans="1:17" x14ac:dyDescent="0.25">
      <c r="A83" s="12"/>
      <c r="B83" s="12"/>
      <c r="C83" s="12"/>
      <c r="D83" s="12" t="s">
        <v>1252</v>
      </c>
      <c r="E83" s="12">
        <v>2</v>
      </c>
      <c r="F83" s="19" t="s">
        <v>56</v>
      </c>
      <c r="G83" s="12" t="s">
        <v>743</v>
      </c>
      <c r="H83" s="12">
        <v>1</v>
      </c>
      <c r="I83" s="12">
        <v>20</v>
      </c>
      <c r="J83" s="12" t="s">
        <v>543</v>
      </c>
      <c r="K83" s="12" t="s">
        <v>575</v>
      </c>
      <c r="L83" s="12" t="s">
        <v>609</v>
      </c>
      <c r="M83" s="12" t="s">
        <v>719</v>
      </c>
      <c r="N83" s="47" t="str">
        <f t="shared" si="7"/>
        <v>A. A. I find it hard to live without the Internet.</v>
      </c>
    </row>
    <row r="84" spans="1:17" x14ac:dyDescent="0.25">
      <c r="A84" s="12"/>
      <c r="B84" s="12"/>
      <c r="C84" s="12"/>
      <c r="D84" s="12" t="s">
        <v>16</v>
      </c>
      <c r="E84" s="12">
        <v>3</v>
      </c>
      <c r="F84" s="19" t="s">
        <v>57</v>
      </c>
      <c r="G84" s="12" t="s">
        <v>744</v>
      </c>
      <c r="H84" s="12">
        <v>1</v>
      </c>
      <c r="I84" s="12">
        <v>20</v>
      </c>
      <c r="J84" s="12" t="s">
        <v>544</v>
      </c>
      <c r="K84" s="12" t="s">
        <v>576</v>
      </c>
      <c r="L84" s="12" t="s">
        <v>720</v>
      </c>
      <c r="M84" s="12" t="s">
        <v>721</v>
      </c>
      <c r="N84" s="47" t="str">
        <f t="shared" si="7"/>
        <v>A. A. Your mother wants to speak to you.</v>
      </c>
    </row>
    <row r="85" spans="1:17" x14ac:dyDescent="0.25">
      <c r="A85" s="12"/>
      <c r="B85" s="12"/>
      <c r="C85" s="12"/>
      <c r="D85" s="12"/>
      <c r="E85" s="12">
        <v>4</v>
      </c>
      <c r="F85" s="19" t="s">
        <v>155</v>
      </c>
      <c r="G85" s="12" t="s">
        <v>745</v>
      </c>
      <c r="H85" s="12">
        <v>1</v>
      </c>
      <c r="I85" s="12">
        <v>20</v>
      </c>
      <c r="J85" s="12" t="s">
        <v>722</v>
      </c>
      <c r="K85" s="12" t="s">
        <v>608</v>
      </c>
      <c r="L85" s="12" t="s">
        <v>610</v>
      </c>
      <c r="M85" s="12" t="s">
        <v>673</v>
      </c>
      <c r="N85" s="47" t="str">
        <f t="shared" si="7"/>
        <v>A. A. He and Raymond can't stand each other anymore.</v>
      </c>
    </row>
    <row r="86" spans="1:17" x14ac:dyDescent="0.25">
      <c r="A86" s="12"/>
      <c r="B86" s="12"/>
      <c r="C86" s="12"/>
      <c r="D86" s="12"/>
      <c r="E86" s="12">
        <v>5</v>
      </c>
      <c r="F86" s="19" t="s">
        <v>156</v>
      </c>
      <c r="G86" s="12" t="s">
        <v>746</v>
      </c>
      <c r="H86" s="12">
        <v>1</v>
      </c>
      <c r="I86" s="12">
        <v>20</v>
      </c>
      <c r="J86" s="12" t="s">
        <v>723</v>
      </c>
      <c r="K86" s="12" t="s">
        <v>607</v>
      </c>
      <c r="L86" s="12" t="s">
        <v>611</v>
      </c>
      <c r="M86" s="12" t="s">
        <v>672</v>
      </c>
      <c r="N86" s="47" t="str">
        <f t="shared" si="7"/>
        <v>A. A. I wasn't interested in finding the school.</v>
      </c>
    </row>
    <row r="87" spans="1:17" x14ac:dyDescent="0.25">
      <c r="A87" s="12"/>
      <c r="B87" s="12"/>
      <c r="C87" s="12"/>
      <c r="D87" s="12"/>
      <c r="E87" s="12">
        <v>6</v>
      </c>
      <c r="F87" s="19" t="s">
        <v>157</v>
      </c>
      <c r="G87" s="12" t="s">
        <v>747</v>
      </c>
      <c r="H87" s="12">
        <v>1</v>
      </c>
      <c r="I87" s="12">
        <v>20</v>
      </c>
      <c r="J87" s="12" t="s">
        <v>724</v>
      </c>
      <c r="K87" s="12" t="s">
        <v>606</v>
      </c>
      <c r="L87" s="12" t="s">
        <v>612</v>
      </c>
      <c r="M87" s="12" t="s">
        <v>725</v>
      </c>
      <c r="N87" s="47" t="str">
        <f t="shared" si="7"/>
        <v>A. A. Receive the woman's calls for her.</v>
      </c>
    </row>
    <row r="88" spans="1:17" x14ac:dyDescent="0.25">
      <c r="A88" s="12"/>
      <c r="B88" s="12"/>
      <c r="C88" s="12"/>
      <c r="D88" s="12"/>
      <c r="E88" s="12">
        <v>7</v>
      </c>
      <c r="F88" s="19" t="s">
        <v>158</v>
      </c>
      <c r="G88" s="12" t="s">
        <v>748</v>
      </c>
      <c r="H88" s="12">
        <v>1</v>
      </c>
      <c r="I88" s="12">
        <v>20</v>
      </c>
      <c r="J88" s="12" t="s">
        <v>726</v>
      </c>
      <c r="K88" s="12" t="s">
        <v>605</v>
      </c>
      <c r="L88" s="12" t="s">
        <v>727</v>
      </c>
      <c r="M88" s="12" t="s">
        <v>728</v>
      </c>
      <c r="N88" s="47" t="str">
        <f t="shared" si="7"/>
        <v>A. A. The man's culinary skills are not as bad as he thinks.</v>
      </c>
    </row>
    <row r="89" spans="1:17" x14ac:dyDescent="0.25">
      <c r="A89" s="12"/>
      <c r="B89" s="12"/>
      <c r="C89" s="12"/>
      <c r="D89" s="12"/>
      <c r="E89" s="12">
        <v>8</v>
      </c>
      <c r="F89" s="19" t="s">
        <v>159</v>
      </c>
      <c r="G89" s="12" t="s">
        <v>749</v>
      </c>
      <c r="H89" s="12">
        <v>1</v>
      </c>
      <c r="I89" s="12">
        <v>20</v>
      </c>
      <c r="J89" s="12" t="s">
        <v>545</v>
      </c>
      <c r="K89" s="12" t="s">
        <v>729</v>
      </c>
      <c r="L89" s="12" t="s">
        <v>613</v>
      </c>
      <c r="M89" s="12" t="s">
        <v>730</v>
      </c>
      <c r="N89" s="47" t="str">
        <f t="shared" si="7"/>
        <v>A. A. He gave Mary the sandwich that made her ill.</v>
      </c>
    </row>
    <row r="90" spans="1:17" x14ac:dyDescent="0.25">
      <c r="A90" s="12"/>
      <c r="B90" s="12"/>
      <c r="C90" s="12"/>
      <c r="D90" s="12"/>
      <c r="E90" s="12">
        <v>9</v>
      </c>
      <c r="F90" s="19" t="s">
        <v>160</v>
      </c>
      <c r="G90" s="12" t="s">
        <v>750</v>
      </c>
      <c r="H90" s="12">
        <v>1</v>
      </c>
      <c r="I90" s="12">
        <v>20</v>
      </c>
      <c r="J90" s="12" t="s">
        <v>546</v>
      </c>
      <c r="K90" s="12" t="s">
        <v>731</v>
      </c>
      <c r="L90" s="12" t="s">
        <v>614</v>
      </c>
      <c r="M90" s="12" t="s">
        <v>732</v>
      </c>
      <c r="N90" s="47" t="str">
        <f t="shared" ref="N90:N121" si="11">CONCATENATE("A. ",(J90))</f>
        <v>A. A. The woman is not yet in possession of the file.</v>
      </c>
    </row>
    <row r="91" spans="1:17" x14ac:dyDescent="0.25">
      <c r="A91" s="12"/>
      <c r="B91" s="12"/>
      <c r="C91" s="12"/>
      <c r="D91" s="12"/>
      <c r="E91" s="12">
        <v>10</v>
      </c>
      <c r="F91" s="19" t="s">
        <v>161</v>
      </c>
      <c r="G91" s="12" t="s">
        <v>468</v>
      </c>
      <c r="H91" s="12">
        <v>1</v>
      </c>
      <c r="I91" s="12">
        <v>20</v>
      </c>
      <c r="J91" s="12" t="s">
        <v>547</v>
      </c>
      <c r="K91" s="12" t="s">
        <v>604</v>
      </c>
      <c r="L91" s="12" t="s">
        <v>615</v>
      </c>
      <c r="M91" s="12" t="s">
        <v>671</v>
      </c>
      <c r="N91" s="47" t="str">
        <f t="shared" si="11"/>
        <v>A. A. The current mayor is to blame for the problem.</v>
      </c>
    </row>
    <row r="92" spans="1:17" x14ac:dyDescent="0.25">
      <c r="A92" s="12"/>
      <c r="B92" s="12"/>
      <c r="C92" s="12"/>
      <c r="D92" s="12"/>
      <c r="E92" s="12">
        <v>11</v>
      </c>
      <c r="F92" s="19" t="s">
        <v>162</v>
      </c>
      <c r="G92" s="12" t="s">
        <v>467</v>
      </c>
      <c r="H92" s="12">
        <v>1</v>
      </c>
      <c r="I92" s="12">
        <v>20</v>
      </c>
      <c r="J92" s="12" t="s">
        <v>548</v>
      </c>
      <c r="K92" s="12" t="s">
        <v>603</v>
      </c>
      <c r="L92" s="12" t="s">
        <v>733</v>
      </c>
      <c r="M92" s="12" t="s">
        <v>670</v>
      </c>
      <c r="N92" s="47" t="str">
        <f t="shared" si="11"/>
        <v>A. A. She was speechless when she heard the news.</v>
      </c>
    </row>
    <row r="93" spans="1:17" x14ac:dyDescent="0.25">
      <c r="A93" s="12"/>
      <c r="B93" s="12"/>
      <c r="C93" s="12"/>
      <c r="D93" s="12"/>
      <c r="E93" s="12">
        <v>12</v>
      </c>
      <c r="F93" s="19" t="s">
        <v>163</v>
      </c>
      <c r="G93" s="12" t="s">
        <v>466</v>
      </c>
      <c r="H93" s="12">
        <v>1</v>
      </c>
      <c r="I93" s="12">
        <v>20</v>
      </c>
      <c r="J93" s="12" t="s">
        <v>549</v>
      </c>
      <c r="K93" s="12" t="s">
        <v>602</v>
      </c>
      <c r="L93" s="12" t="s">
        <v>616</v>
      </c>
      <c r="M93" s="12" t="s">
        <v>669</v>
      </c>
      <c r="N93" s="47" t="str">
        <f t="shared" si="11"/>
        <v>A. A. The sooner they finish the assignment the better</v>
      </c>
    </row>
    <row r="94" spans="1:17" x14ac:dyDescent="0.25">
      <c r="A94" s="12"/>
      <c r="B94" s="12"/>
      <c r="C94" s="12"/>
      <c r="D94" s="12"/>
      <c r="E94" s="12">
        <v>13</v>
      </c>
      <c r="F94" s="19" t="s">
        <v>164</v>
      </c>
      <c r="G94" s="12" t="s">
        <v>465</v>
      </c>
      <c r="H94" s="12">
        <v>1</v>
      </c>
      <c r="I94" s="12">
        <v>20</v>
      </c>
      <c r="J94" s="12" t="s">
        <v>734</v>
      </c>
      <c r="K94" s="12" t="s">
        <v>735</v>
      </c>
      <c r="L94" s="12" t="s">
        <v>617</v>
      </c>
      <c r="M94" s="12" t="s">
        <v>736</v>
      </c>
      <c r="N94" s="47" t="str">
        <f t="shared" si="11"/>
        <v>A. A. He doesn't want Chloe to fret.</v>
      </c>
    </row>
    <row r="95" spans="1:17" x14ac:dyDescent="0.25">
      <c r="A95" s="12"/>
      <c r="B95" s="12"/>
      <c r="C95" s="12"/>
      <c r="D95" s="12"/>
      <c r="E95" s="12">
        <v>14</v>
      </c>
      <c r="F95" s="19" t="s">
        <v>165</v>
      </c>
      <c r="G95" s="12" t="s">
        <v>464</v>
      </c>
      <c r="H95" s="12">
        <v>1</v>
      </c>
      <c r="I95" s="12">
        <v>20</v>
      </c>
      <c r="J95" s="12" t="s">
        <v>550</v>
      </c>
      <c r="K95" s="12" t="s">
        <v>601</v>
      </c>
      <c r="L95" s="12" t="s">
        <v>618</v>
      </c>
      <c r="M95" s="12" t="s">
        <v>737</v>
      </c>
      <c r="N95" s="47" t="str">
        <f t="shared" si="11"/>
        <v>A. A. The police left the card behind.</v>
      </c>
    </row>
    <row r="96" spans="1:17" x14ac:dyDescent="0.25">
      <c r="A96" s="12"/>
      <c r="B96" s="12"/>
      <c r="C96" s="12"/>
      <c r="D96" s="12"/>
      <c r="E96" s="12">
        <v>15</v>
      </c>
      <c r="F96" s="19" t="s">
        <v>166</v>
      </c>
      <c r="G96" s="12" t="s">
        <v>463</v>
      </c>
      <c r="H96" s="12">
        <v>1</v>
      </c>
      <c r="I96" s="12">
        <v>20</v>
      </c>
      <c r="J96" s="12" t="s">
        <v>551</v>
      </c>
      <c r="K96" s="12" t="s">
        <v>738</v>
      </c>
      <c r="L96" s="12" t="s">
        <v>619</v>
      </c>
      <c r="M96" s="12" t="s">
        <v>739</v>
      </c>
      <c r="N96" s="47" t="str">
        <f t="shared" si="11"/>
        <v>A. A. She knew taxes were going to rise.</v>
      </c>
    </row>
    <row r="97" spans="1:14" x14ac:dyDescent="0.25">
      <c r="A97" s="12"/>
      <c r="B97" s="12"/>
      <c r="C97" s="12"/>
      <c r="D97" s="12"/>
      <c r="E97" s="12">
        <v>16</v>
      </c>
      <c r="F97" s="19" t="s">
        <v>167</v>
      </c>
      <c r="G97" s="12" t="s">
        <v>462</v>
      </c>
      <c r="H97" s="12">
        <v>1</v>
      </c>
      <c r="I97" s="12">
        <v>20</v>
      </c>
      <c r="J97" s="12" t="s">
        <v>552</v>
      </c>
      <c r="K97" s="12" t="s">
        <v>600</v>
      </c>
      <c r="L97" s="12" t="s">
        <v>620</v>
      </c>
      <c r="M97" s="12" t="s">
        <v>668</v>
      </c>
      <c r="N97" s="47" t="str">
        <f t="shared" si="11"/>
        <v>A. A. The restaurant has moved to a new location.</v>
      </c>
    </row>
    <row r="98" spans="1:14" x14ac:dyDescent="0.25">
      <c r="A98" s="12"/>
      <c r="B98" s="12"/>
      <c r="C98" s="12"/>
      <c r="D98" s="12"/>
      <c r="E98" s="12">
        <v>17</v>
      </c>
      <c r="F98" s="19" t="s">
        <v>384</v>
      </c>
      <c r="G98" s="12" t="s">
        <v>461</v>
      </c>
      <c r="H98" s="12">
        <v>1</v>
      </c>
      <c r="I98" s="12">
        <v>20</v>
      </c>
      <c r="J98" s="12" t="s">
        <v>553</v>
      </c>
      <c r="K98" s="12" t="s">
        <v>599</v>
      </c>
      <c r="L98" s="12" t="s">
        <v>621</v>
      </c>
      <c r="M98" s="12" t="s">
        <v>667</v>
      </c>
      <c r="N98" s="47" t="str">
        <f t="shared" si="11"/>
        <v>A. A. He believes that we are in the midst of the peak.</v>
      </c>
    </row>
    <row r="99" spans="1:14" x14ac:dyDescent="0.25">
      <c r="A99" s="12"/>
      <c r="B99" s="12"/>
      <c r="C99" s="12"/>
      <c r="D99" s="12"/>
      <c r="E99" s="12">
        <v>18</v>
      </c>
      <c r="F99" s="19" t="s">
        <v>168</v>
      </c>
      <c r="G99" s="12" t="s">
        <v>469</v>
      </c>
      <c r="H99" s="12">
        <v>1</v>
      </c>
      <c r="I99" s="12">
        <v>20</v>
      </c>
      <c r="J99" s="12" t="s">
        <v>554</v>
      </c>
      <c r="K99" s="12" t="s">
        <v>598</v>
      </c>
      <c r="L99" s="12" t="s">
        <v>630</v>
      </c>
      <c r="M99" s="12" t="s">
        <v>666</v>
      </c>
      <c r="N99" s="47" t="str">
        <f t="shared" si="11"/>
        <v>A. A. If the other man had ever stolen anything .</v>
      </c>
    </row>
    <row r="100" spans="1:14" x14ac:dyDescent="0.25">
      <c r="A100" s="12"/>
      <c r="B100" s="12"/>
      <c r="C100" s="12"/>
      <c r="D100" s="12"/>
      <c r="E100" s="12">
        <v>19</v>
      </c>
      <c r="F100" s="19" t="s">
        <v>151</v>
      </c>
      <c r="G100" s="12" t="s">
        <v>470</v>
      </c>
      <c r="H100" s="12">
        <v>1</v>
      </c>
      <c r="I100" s="12">
        <v>20</v>
      </c>
      <c r="J100" s="12" t="s">
        <v>715</v>
      </c>
      <c r="K100" s="12" t="s">
        <v>716</v>
      </c>
      <c r="L100" s="12" t="s">
        <v>631</v>
      </c>
      <c r="M100" s="12" t="s">
        <v>665</v>
      </c>
      <c r="N100" s="47" t="str">
        <f t="shared" si="11"/>
        <v>A. A. He believes the problem shouldn't have become a crisis.</v>
      </c>
    </row>
    <row r="101" spans="1:14" x14ac:dyDescent="0.25">
      <c r="A101" s="12"/>
      <c r="B101" s="12"/>
      <c r="C101" s="12"/>
      <c r="D101" s="12"/>
      <c r="E101" s="12">
        <v>20</v>
      </c>
      <c r="F101" s="19" t="s">
        <v>74</v>
      </c>
      <c r="G101" s="12" t="s">
        <v>471</v>
      </c>
      <c r="H101" s="12">
        <v>1</v>
      </c>
      <c r="I101" s="12">
        <v>20</v>
      </c>
      <c r="J101" s="12" t="s">
        <v>740</v>
      </c>
      <c r="K101" s="12" t="s">
        <v>597</v>
      </c>
      <c r="L101" s="12" t="s">
        <v>632</v>
      </c>
      <c r="M101" s="12" t="s">
        <v>664</v>
      </c>
      <c r="N101" s="47" t="str">
        <f t="shared" si="11"/>
        <v>A. A. A war journalist shouldn't always depend on the skill of the unit.</v>
      </c>
    </row>
    <row r="102" spans="1:14" x14ac:dyDescent="0.25">
      <c r="A102" s="12"/>
      <c r="B102" s="12"/>
      <c r="C102" s="12"/>
      <c r="D102" s="12"/>
      <c r="E102" s="12">
        <v>21</v>
      </c>
      <c r="F102" s="19" t="s">
        <v>523</v>
      </c>
      <c r="G102" s="12" t="s">
        <v>472</v>
      </c>
      <c r="H102" s="12">
        <v>1</v>
      </c>
      <c r="I102" s="12">
        <v>20</v>
      </c>
      <c r="J102" s="12" t="s">
        <v>555</v>
      </c>
      <c r="K102" s="12" t="s">
        <v>596</v>
      </c>
      <c r="L102" s="12" t="s">
        <v>633</v>
      </c>
      <c r="M102" s="12" t="s">
        <v>663</v>
      </c>
      <c r="N102" s="47" t="str">
        <f t="shared" si="11"/>
        <v>A. A. She spent eighty four days in prison</v>
      </c>
    </row>
    <row r="103" spans="1:14" x14ac:dyDescent="0.25">
      <c r="A103" s="12"/>
      <c r="B103" s="12"/>
      <c r="C103" s="12"/>
      <c r="D103" s="12"/>
      <c r="E103" s="12">
        <v>22</v>
      </c>
      <c r="F103" s="19" t="s">
        <v>524</v>
      </c>
      <c r="G103" s="12" t="s">
        <v>473</v>
      </c>
      <c r="H103" s="12">
        <v>1</v>
      </c>
      <c r="I103" s="12">
        <v>20</v>
      </c>
      <c r="J103" s="12" t="s">
        <v>556</v>
      </c>
      <c r="K103" s="12" t="s">
        <v>595</v>
      </c>
      <c r="L103" s="12" t="s">
        <v>634</v>
      </c>
      <c r="M103" s="12" t="s">
        <v>662</v>
      </c>
      <c r="N103" s="47" t="str">
        <f t="shared" si="11"/>
        <v>A. A. The extract considers the little-known side of food processing</v>
      </c>
    </row>
    <row r="104" spans="1:14" x14ac:dyDescent="0.25">
      <c r="A104" s="12"/>
      <c r="B104" s="12"/>
      <c r="C104" s="12"/>
      <c r="D104" s="12"/>
      <c r="E104" s="12">
        <v>23</v>
      </c>
      <c r="F104" s="19" t="s">
        <v>525</v>
      </c>
      <c r="G104" s="12" t="s">
        <v>474</v>
      </c>
      <c r="H104" s="12">
        <v>1</v>
      </c>
      <c r="I104" s="12">
        <v>20</v>
      </c>
      <c r="J104" s="12" t="s">
        <v>557</v>
      </c>
      <c r="K104" s="12" t="s">
        <v>594</v>
      </c>
      <c r="L104" s="12" t="s">
        <v>635</v>
      </c>
      <c r="M104" s="12" t="s">
        <v>661</v>
      </c>
      <c r="N104" s="47" t="str">
        <f t="shared" si="11"/>
        <v xml:space="preserve">A. A. Police are going to be tough on everyone in the street </v>
      </c>
    </row>
    <row r="105" spans="1:14" x14ac:dyDescent="0.25">
      <c r="A105" s="12"/>
      <c r="B105" s="12"/>
      <c r="C105" s="12"/>
      <c r="D105" s="12"/>
      <c r="E105" s="12">
        <v>24</v>
      </c>
      <c r="F105" s="19" t="s">
        <v>526</v>
      </c>
      <c r="G105" s="12" t="s">
        <v>475</v>
      </c>
      <c r="H105" s="12">
        <v>1</v>
      </c>
      <c r="I105" s="12">
        <v>20</v>
      </c>
      <c r="J105" s="12" t="s">
        <v>558</v>
      </c>
      <c r="K105" s="12" t="s">
        <v>593</v>
      </c>
      <c r="L105" s="12" t="s">
        <v>636</v>
      </c>
      <c r="M105" s="12" t="s">
        <v>660</v>
      </c>
      <c r="N105" s="47" t="str">
        <f t="shared" si="11"/>
        <v xml:space="preserve">A. A. He won despite suffering  from his knee injury during the match </v>
      </c>
    </row>
    <row r="106" spans="1:14" x14ac:dyDescent="0.25">
      <c r="A106" s="12"/>
      <c r="B106" s="12"/>
      <c r="C106" s="12"/>
      <c r="D106" s="12"/>
      <c r="E106" s="12">
        <v>25</v>
      </c>
      <c r="F106" s="19" t="s">
        <v>527</v>
      </c>
      <c r="G106" s="12" t="s">
        <v>476</v>
      </c>
      <c r="H106" s="12">
        <v>1</v>
      </c>
      <c r="I106" s="12">
        <v>20</v>
      </c>
      <c r="J106" s="12" t="s">
        <v>559</v>
      </c>
      <c r="K106" s="12" t="s">
        <v>592</v>
      </c>
      <c r="L106" s="12" t="s">
        <v>637</v>
      </c>
      <c r="M106" s="12" t="s">
        <v>659</v>
      </c>
      <c r="N106" s="47" t="str">
        <f t="shared" si="11"/>
        <v>A. A. They robbed an art gallery</v>
      </c>
    </row>
    <row r="107" spans="1:14" x14ac:dyDescent="0.25">
      <c r="A107" s="12"/>
      <c r="B107" s="12"/>
      <c r="C107" s="12"/>
      <c r="D107" s="12"/>
      <c r="E107" s="12">
        <v>26</v>
      </c>
      <c r="F107" s="19" t="s">
        <v>528</v>
      </c>
      <c r="G107" s="12" t="s">
        <v>477</v>
      </c>
      <c r="H107" s="12">
        <v>1</v>
      </c>
      <c r="I107" s="12">
        <v>20</v>
      </c>
      <c r="J107" s="12" t="s">
        <v>560</v>
      </c>
      <c r="K107" s="12" t="s">
        <v>591</v>
      </c>
      <c r="L107" s="12" t="s">
        <v>638</v>
      </c>
      <c r="M107" s="12" t="s">
        <v>658</v>
      </c>
      <c r="N107" s="47" t="str">
        <f t="shared" si="11"/>
        <v>A. A. Scotland Yard bugged his telephone</v>
      </c>
    </row>
    <row r="108" spans="1:14" x14ac:dyDescent="0.25">
      <c r="A108" s="12"/>
      <c r="B108" s="12"/>
      <c r="C108" s="12"/>
      <c r="D108" s="12"/>
      <c r="E108" s="12">
        <v>27</v>
      </c>
      <c r="F108" s="19" t="s">
        <v>529</v>
      </c>
      <c r="G108" s="12" t="s">
        <v>478</v>
      </c>
      <c r="H108" s="12">
        <v>1</v>
      </c>
      <c r="I108" s="12">
        <v>20</v>
      </c>
      <c r="J108" s="12" t="s">
        <v>561</v>
      </c>
      <c r="K108" s="12" t="s">
        <v>590</v>
      </c>
      <c r="L108" s="12" t="s">
        <v>639</v>
      </c>
      <c r="M108" s="12" t="s">
        <v>657</v>
      </c>
      <c r="N108" s="47" t="str">
        <f t="shared" si="11"/>
        <v>A. A. Hamas did not take part in the talks in Washington</v>
      </c>
    </row>
    <row r="109" spans="1:14" x14ac:dyDescent="0.25">
      <c r="A109" s="12"/>
      <c r="B109" s="12"/>
      <c r="C109" s="12"/>
      <c r="D109" s="12"/>
      <c r="E109" s="12">
        <v>28</v>
      </c>
      <c r="F109" s="19" t="s">
        <v>530</v>
      </c>
      <c r="G109" s="12" t="s">
        <v>479</v>
      </c>
      <c r="H109" s="12">
        <v>1</v>
      </c>
      <c r="I109" s="12">
        <v>20</v>
      </c>
      <c r="J109" s="12" t="s">
        <v>562</v>
      </c>
      <c r="K109" s="12" t="s">
        <v>589</v>
      </c>
      <c r="L109" s="12" t="s">
        <v>640</v>
      </c>
      <c r="M109" s="12" t="s">
        <v>656</v>
      </c>
      <c r="N109" s="47" t="str">
        <f t="shared" si="11"/>
        <v>A. A. It is very delicate</v>
      </c>
    </row>
    <row r="110" spans="1:14" x14ac:dyDescent="0.25">
      <c r="A110" s="12"/>
      <c r="B110" s="12"/>
      <c r="C110" s="12"/>
      <c r="D110" s="12"/>
      <c r="E110" s="12">
        <v>29</v>
      </c>
      <c r="F110" s="19" t="s">
        <v>531</v>
      </c>
      <c r="G110" s="12" t="s">
        <v>480</v>
      </c>
      <c r="H110" s="12">
        <v>1</v>
      </c>
      <c r="I110" s="12">
        <v>20</v>
      </c>
      <c r="J110" s="12" t="s">
        <v>563</v>
      </c>
      <c r="K110" s="12" t="s">
        <v>588</v>
      </c>
      <c r="L110" s="12" t="s">
        <v>641</v>
      </c>
      <c r="M110" s="12" t="s">
        <v>655</v>
      </c>
      <c r="N110" s="47" t="str">
        <f t="shared" si="11"/>
        <v>A. A. People start to drink alcohol between 16  and 24</v>
      </c>
    </row>
    <row r="111" spans="1:14" x14ac:dyDescent="0.25">
      <c r="A111" s="12"/>
      <c r="B111" s="12"/>
      <c r="C111" s="12"/>
      <c r="D111" s="12"/>
      <c r="E111" s="12">
        <v>30</v>
      </c>
      <c r="F111" s="19" t="s">
        <v>532</v>
      </c>
      <c r="G111" s="12" t="s">
        <v>481</v>
      </c>
      <c r="H111" s="12">
        <v>1</v>
      </c>
      <c r="I111" s="12">
        <v>20</v>
      </c>
      <c r="J111" s="12" t="s">
        <v>564</v>
      </c>
      <c r="K111" s="12" t="s">
        <v>587</v>
      </c>
      <c r="L111" s="12" t="s">
        <v>642</v>
      </c>
      <c r="M111" s="12" t="s">
        <v>654</v>
      </c>
      <c r="N111" s="47" t="str">
        <f t="shared" si="11"/>
        <v>A. A. He made a speech last Monday</v>
      </c>
    </row>
    <row r="112" spans="1:14" x14ac:dyDescent="0.25">
      <c r="A112" s="12"/>
      <c r="B112" s="12"/>
      <c r="C112" s="12"/>
      <c r="D112" s="12"/>
      <c r="E112" s="12">
        <v>31</v>
      </c>
      <c r="F112" s="19" t="s">
        <v>533</v>
      </c>
      <c r="G112" s="12" t="s">
        <v>482</v>
      </c>
      <c r="H112" s="12">
        <v>1</v>
      </c>
      <c r="I112" s="12">
        <v>20</v>
      </c>
      <c r="J112" s="12" t="s">
        <v>565</v>
      </c>
      <c r="K112" s="12" t="s">
        <v>586</v>
      </c>
      <c r="L112" s="12" t="s">
        <v>643</v>
      </c>
      <c r="M112" s="12" t="s">
        <v>653</v>
      </c>
      <c r="N112" s="47" t="str">
        <f t="shared" si="11"/>
        <v>A. A. Police have established the purity of drugs on the streets</v>
      </c>
    </row>
    <row r="113" spans="1:14" x14ac:dyDescent="0.25">
      <c r="A113" s="12"/>
      <c r="B113" s="12"/>
      <c r="C113" s="12"/>
      <c r="D113" s="12"/>
      <c r="E113" s="12">
        <v>32</v>
      </c>
      <c r="F113" s="19" t="s">
        <v>393</v>
      </c>
      <c r="G113" s="12" t="s">
        <v>483</v>
      </c>
      <c r="H113" s="12">
        <v>1</v>
      </c>
      <c r="I113" s="12">
        <v>20</v>
      </c>
      <c r="J113" s="12" t="s">
        <v>566</v>
      </c>
      <c r="K113" s="12" t="s">
        <v>585</v>
      </c>
      <c r="L113" s="12" t="s">
        <v>644</v>
      </c>
      <c r="M113" s="12" t="s">
        <v>652</v>
      </c>
      <c r="N113" s="47" t="str">
        <f t="shared" si="11"/>
        <v>A. A. In the Imagination Playground structures are not fixed</v>
      </c>
    </row>
    <row r="114" spans="1:14" x14ac:dyDescent="0.25">
      <c r="A114" s="12"/>
      <c r="B114" s="12"/>
      <c r="C114" s="12"/>
      <c r="D114" s="12"/>
      <c r="E114" s="12">
        <v>33</v>
      </c>
      <c r="F114" s="19" t="s">
        <v>534</v>
      </c>
      <c r="G114" s="12" t="s">
        <v>484</v>
      </c>
      <c r="H114" s="12">
        <v>1</v>
      </c>
      <c r="I114" s="12">
        <v>20</v>
      </c>
      <c r="J114" s="12" t="s">
        <v>567</v>
      </c>
      <c r="K114" s="12" t="s">
        <v>584</v>
      </c>
      <c r="L114" s="12" t="s">
        <v>629</v>
      </c>
      <c r="M114" s="12" t="s">
        <v>651</v>
      </c>
      <c r="N114" s="47" t="str">
        <f t="shared" si="11"/>
        <v>A. A. Three people were sentenced to life imprisonment</v>
      </c>
    </row>
    <row r="115" spans="1:14" x14ac:dyDescent="0.25">
      <c r="A115" s="12"/>
      <c r="B115" s="12"/>
      <c r="C115" s="12"/>
      <c r="D115" s="12"/>
      <c r="E115" s="12">
        <v>34</v>
      </c>
      <c r="F115" s="19" t="s">
        <v>535</v>
      </c>
      <c r="G115" s="12" t="s">
        <v>485</v>
      </c>
      <c r="H115" s="12">
        <v>1</v>
      </c>
      <c r="I115" s="12">
        <v>20</v>
      </c>
      <c r="J115" s="12" t="s">
        <v>568</v>
      </c>
      <c r="K115" s="12" t="s">
        <v>583</v>
      </c>
      <c r="L115" s="12" t="s">
        <v>628</v>
      </c>
      <c r="M115" s="12" t="s">
        <v>650</v>
      </c>
      <c r="N115" s="47" t="str">
        <f t="shared" si="11"/>
        <v xml:space="preserve">A. A. The Reno Cure was only for women </v>
      </c>
    </row>
    <row r="116" spans="1:14" x14ac:dyDescent="0.25">
      <c r="A116" s="12"/>
      <c r="B116" s="12"/>
      <c r="C116" s="12"/>
      <c r="D116" s="12"/>
      <c r="E116" s="12">
        <v>35</v>
      </c>
      <c r="F116" s="19" t="s">
        <v>536</v>
      </c>
      <c r="G116" s="12" t="s">
        <v>486</v>
      </c>
      <c r="H116" s="12">
        <v>1</v>
      </c>
      <c r="I116" s="12">
        <v>20</v>
      </c>
      <c r="J116" s="12" t="s">
        <v>569</v>
      </c>
      <c r="K116" s="12" t="s">
        <v>582</v>
      </c>
      <c r="L116" s="12" t="s">
        <v>627</v>
      </c>
      <c r="M116" s="12" t="s">
        <v>649</v>
      </c>
      <c r="N116" s="47" t="str">
        <f t="shared" si="11"/>
        <v>A. A. It will be closed for five years</v>
      </c>
    </row>
    <row r="117" spans="1:14" x14ac:dyDescent="0.25">
      <c r="A117" s="12"/>
      <c r="B117" s="12"/>
      <c r="C117" s="12"/>
      <c r="D117" s="12"/>
      <c r="E117" s="12">
        <v>36</v>
      </c>
      <c r="F117" s="19" t="s">
        <v>537</v>
      </c>
      <c r="G117" s="12" t="s">
        <v>487</v>
      </c>
      <c r="H117" s="12">
        <v>1</v>
      </c>
      <c r="I117" s="12">
        <v>20</v>
      </c>
      <c r="J117" s="12" t="s">
        <v>570</v>
      </c>
      <c r="K117" s="12" t="s">
        <v>581</v>
      </c>
      <c r="L117" s="12" t="s">
        <v>626</v>
      </c>
      <c r="M117" s="12" t="s">
        <v>648</v>
      </c>
      <c r="N117" s="47" t="str">
        <f t="shared" si="11"/>
        <v>A. A. The miners will be rescued this weekend</v>
      </c>
    </row>
    <row r="118" spans="1:14" x14ac:dyDescent="0.25">
      <c r="A118" s="12"/>
      <c r="B118" s="12"/>
      <c r="C118" s="12"/>
      <c r="D118" s="12"/>
      <c r="E118" s="12">
        <v>37</v>
      </c>
      <c r="F118" s="19" t="s">
        <v>538</v>
      </c>
      <c r="G118" s="12" t="s">
        <v>488</v>
      </c>
      <c r="H118" s="12">
        <v>1</v>
      </c>
      <c r="I118" s="12">
        <v>20</v>
      </c>
      <c r="J118" s="12" t="s">
        <v>571</v>
      </c>
      <c r="K118" s="12" t="s">
        <v>580</v>
      </c>
      <c r="L118" s="12" t="s">
        <v>625</v>
      </c>
      <c r="M118" s="12" t="s">
        <v>647</v>
      </c>
      <c r="N118" s="47" t="str">
        <f t="shared" si="11"/>
        <v>A. A. There is a competition organised to divide up the Artic region</v>
      </c>
    </row>
    <row r="119" spans="1:14" x14ac:dyDescent="0.25">
      <c r="A119" s="12"/>
      <c r="B119" s="12"/>
      <c r="C119" s="12"/>
      <c r="D119" s="12"/>
      <c r="E119" s="12">
        <v>38</v>
      </c>
      <c r="F119" s="19" t="s">
        <v>539</v>
      </c>
      <c r="G119" s="12" t="s">
        <v>489</v>
      </c>
      <c r="H119" s="12">
        <v>1</v>
      </c>
      <c r="I119" s="12">
        <v>20</v>
      </c>
      <c r="J119" s="12" t="s">
        <v>572</v>
      </c>
      <c r="K119" s="12" t="s">
        <v>579</v>
      </c>
      <c r="L119" s="12" t="s">
        <v>624</v>
      </c>
      <c r="M119" s="12" t="s">
        <v>646</v>
      </c>
      <c r="N119" s="47" t="str">
        <f t="shared" si="11"/>
        <v xml:space="preserve">A. A. She previously ran for  President in Columbia </v>
      </c>
    </row>
    <row r="120" spans="1:14" x14ac:dyDescent="0.25">
      <c r="A120" s="12"/>
      <c r="B120" s="12"/>
      <c r="C120" s="12"/>
      <c r="D120" s="12"/>
      <c r="E120" s="12">
        <v>39</v>
      </c>
      <c r="F120" s="19" t="s">
        <v>540</v>
      </c>
      <c r="G120" s="12" t="s">
        <v>490</v>
      </c>
      <c r="H120" s="12">
        <v>1</v>
      </c>
      <c r="I120" s="12">
        <v>20</v>
      </c>
      <c r="J120" s="12" t="s">
        <v>573</v>
      </c>
      <c r="K120" s="12" t="s">
        <v>578</v>
      </c>
      <c r="L120" s="12" t="s">
        <v>623</v>
      </c>
      <c r="M120" s="12" t="s">
        <v>645</v>
      </c>
      <c r="N120" s="47" t="str">
        <f t="shared" si="11"/>
        <v>A. A. One in 40 people are obese since their teens</v>
      </c>
    </row>
    <row r="121" spans="1:14" x14ac:dyDescent="0.25">
      <c r="A121" s="12"/>
      <c r="B121" s="12"/>
      <c r="C121" s="12"/>
      <c r="D121" s="12"/>
      <c r="E121" s="12">
        <v>40</v>
      </c>
      <c r="F121" s="19" t="s">
        <v>541</v>
      </c>
      <c r="G121" s="12" t="s">
        <v>491</v>
      </c>
      <c r="H121" s="12">
        <v>1</v>
      </c>
      <c r="I121" s="12">
        <v>20</v>
      </c>
      <c r="J121" s="12" t="s">
        <v>574</v>
      </c>
      <c r="K121" s="12" t="s">
        <v>577</v>
      </c>
      <c r="L121" s="12" t="s">
        <v>622</v>
      </c>
      <c r="M121" s="12" t="s">
        <v>741</v>
      </c>
      <c r="N121" s="47" t="str">
        <f t="shared" si="11"/>
        <v>A. A. Many young people rebel against dictates on marriage</v>
      </c>
    </row>
    <row r="122" spans="1:14" x14ac:dyDescent="0.25">
      <c r="A122" s="14"/>
      <c r="B122" s="14"/>
      <c r="C122" s="14">
        <v>4</v>
      </c>
      <c r="D122" s="14" t="s">
        <v>275</v>
      </c>
      <c r="E122" s="14">
        <v>1</v>
      </c>
      <c r="F122" s="15" t="s">
        <v>675</v>
      </c>
      <c r="G122" s="14" t="s">
        <v>751</v>
      </c>
      <c r="H122" s="14">
        <v>1</v>
      </c>
      <c r="I122" s="14">
        <v>20</v>
      </c>
      <c r="J122" s="15" t="s">
        <v>760</v>
      </c>
      <c r="K122" s="15" t="s">
        <v>800</v>
      </c>
      <c r="L122" s="15" t="s">
        <v>839</v>
      </c>
      <c r="M122" s="15" t="s">
        <v>879</v>
      </c>
    </row>
    <row r="123" spans="1:14" x14ac:dyDescent="0.25">
      <c r="A123" s="14"/>
      <c r="B123" s="14"/>
      <c r="C123" s="14"/>
      <c r="D123" s="14" t="s">
        <v>1988</v>
      </c>
      <c r="E123" s="14">
        <v>2</v>
      </c>
      <c r="F123" s="15" t="s">
        <v>676</v>
      </c>
      <c r="G123" s="14" t="s">
        <v>752</v>
      </c>
      <c r="H123" s="14">
        <v>1</v>
      </c>
      <c r="I123" s="14">
        <v>20</v>
      </c>
      <c r="J123" s="15" t="s">
        <v>761</v>
      </c>
      <c r="K123" s="15" t="s">
        <v>801</v>
      </c>
      <c r="L123" s="15" t="s">
        <v>840</v>
      </c>
      <c r="M123" s="15" t="s">
        <v>880</v>
      </c>
    </row>
    <row r="124" spans="1:14" x14ac:dyDescent="0.25">
      <c r="A124" s="14"/>
      <c r="B124" s="14"/>
      <c r="C124" s="14"/>
      <c r="D124" s="14" t="s">
        <v>16</v>
      </c>
      <c r="E124" s="14">
        <v>3</v>
      </c>
      <c r="F124" s="15" t="s">
        <v>677</v>
      </c>
      <c r="G124" s="14" t="s">
        <v>753</v>
      </c>
      <c r="H124" s="14">
        <v>1</v>
      </c>
      <c r="I124" s="14">
        <v>20</v>
      </c>
      <c r="J124" s="15" t="s">
        <v>762</v>
      </c>
      <c r="K124" s="15" t="s">
        <v>802</v>
      </c>
      <c r="L124" s="15" t="s">
        <v>841</v>
      </c>
      <c r="M124" s="15" t="s">
        <v>881</v>
      </c>
    </row>
    <row r="125" spans="1:14" x14ac:dyDescent="0.25">
      <c r="A125" s="14"/>
      <c r="B125" s="14"/>
      <c r="C125" s="14"/>
      <c r="D125" s="14"/>
      <c r="E125" s="14">
        <v>4</v>
      </c>
      <c r="F125" s="15" t="s">
        <v>678</v>
      </c>
      <c r="G125" s="14" t="s">
        <v>754</v>
      </c>
      <c r="H125" s="14">
        <v>1</v>
      </c>
      <c r="I125" s="14">
        <v>20</v>
      </c>
      <c r="J125" s="15" t="s">
        <v>763</v>
      </c>
      <c r="K125" s="15" t="s">
        <v>803</v>
      </c>
      <c r="L125" s="15" t="s">
        <v>842</v>
      </c>
      <c r="M125" s="15" t="s">
        <v>882</v>
      </c>
    </row>
    <row r="126" spans="1:14" x14ac:dyDescent="0.25">
      <c r="A126" s="14"/>
      <c r="B126" s="14"/>
      <c r="C126" s="14"/>
      <c r="D126" s="14"/>
      <c r="E126" s="14">
        <v>5</v>
      </c>
      <c r="F126" s="15" t="s">
        <v>679</v>
      </c>
      <c r="G126" s="14" t="s">
        <v>755</v>
      </c>
      <c r="H126" s="14">
        <v>1</v>
      </c>
      <c r="I126" s="14">
        <v>20</v>
      </c>
      <c r="J126" s="15" t="s">
        <v>764</v>
      </c>
      <c r="K126" s="15" t="s">
        <v>804</v>
      </c>
      <c r="L126" s="15" t="s">
        <v>843</v>
      </c>
      <c r="M126" s="15" t="s">
        <v>883</v>
      </c>
    </row>
    <row r="127" spans="1:14" x14ac:dyDescent="0.25">
      <c r="A127" s="14"/>
      <c r="B127" s="14"/>
      <c r="C127" s="14"/>
      <c r="D127" s="14"/>
      <c r="E127" s="14">
        <v>6</v>
      </c>
      <c r="F127" s="15" t="s">
        <v>680</v>
      </c>
      <c r="G127" s="14" t="s">
        <v>756</v>
      </c>
      <c r="H127" s="14">
        <v>1</v>
      </c>
      <c r="I127" s="14">
        <v>20</v>
      </c>
      <c r="J127" s="15" t="s">
        <v>765</v>
      </c>
      <c r="K127" s="15" t="s">
        <v>805</v>
      </c>
      <c r="L127" s="15" t="s">
        <v>844</v>
      </c>
      <c r="M127" s="15" t="s">
        <v>884</v>
      </c>
    </row>
    <row r="128" spans="1:14" x14ac:dyDescent="0.25">
      <c r="A128" s="14"/>
      <c r="B128" s="14"/>
      <c r="C128" s="14"/>
      <c r="D128" s="14"/>
      <c r="E128" s="14">
        <v>7</v>
      </c>
      <c r="F128" s="15" t="s">
        <v>681</v>
      </c>
      <c r="G128" s="14" t="s">
        <v>757</v>
      </c>
      <c r="H128" s="14">
        <v>1</v>
      </c>
      <c r="I128" s="14">
        <v>20</v>
      </c>
      <c r="J128" s="15" t="s">
        <v>766</v>
      </c>
      <c r="K128" s="15" t="s">
        <v>806</v>
      </c>
      <c r="L128" s="15" t="s">
        <v>845</v>
      </c>
      <c r="M128" s="15" t="s">
        <v>885</v>
      </c>
    </row>
    <row r="129" spans="1:13" x14ac:dyDescent="0.25">
      <c r="A129" s="14"/>
      <c r="B129" s="14"/>
      <c r="C129" s="14"/>
      <c r="D129" s="14"/>
      <c r="E129" s="14">
        <v>8</v>
      </c>
      <c r="F129" s="15" t="s">
        <v>682</v>
      </c>
      <c r="G129" s="14" t="s">
        <v>758</v>
      </c>
      <c r="H129" s="14">
        <v>1</v>
      </c>
      <c r="I129" s="14">
        <v>20</v>
      </c>
      <c r="J129" s="15" t="s">
        <v>767</v>
      </c>
      <c r="K129" s="15" t="s">
        <v>807</v>
      </c>
      <c r="L129" s="15" t="s">
        <v>846</v>
      </c>
      <c r="M129" s="15" t="s">
        <v>886</v>
      </c>
    </row>
    <row r="130" spans="1:13" x14ac:dyDescent="0.25">
      <c r="A130" s="14"/>
      <c r="B130" s="14"/>
      <c r="C130" s="14"/>
      <c r="D130" s="14"/>
      <c r="E130" s="14">
        <v>9</v>
      </c>
      <c r="F130" s="15" t="s">
        <v>683</v>
      </c>
      <c r="G130" s="14" t="s">
        <v>759</v>
      </c>
      <c r="H130" s="14">
        <v>1</v>
      </c>
      <c r="I130" s="14">
        <v>20</v>
      </c>
      <c r="J130" s="15" t="s">
        <v>768</v>
      </c>
      <c r="K130" s="15" t="s">
        <v>808</v>
      </c>
      <c r="L130" s="15" t="s">
        <v>847</v>
      </c>
      <c r="M130" s="15" t="s">
        <v>887</v>
      </c>
    </row>
    <row r="131" spans="1:13" x14ac:dyDescent="0.25">
      <c r="A131" s="14"/>
      <c r="B131" s="14"/>
      <c r="C131" s="14"/>
      <c r="D131" s="14"/>
      <c r="E131" s="14">
        <v>10</v>
      </c>
      <c r="F131" s="15" t="s">
        <v>64</v>
      </c>
      <c r="G131" s="14" t="s">
        <v>684</v>
      </c>
      <c r="H131" s="14">
        <v>1</v>
      </c>
      <c r="I131" s="14">
        <v>20</v>
      </c>
      <c r="J131" s="15" t="s">
        <v>769</v>
      </c>
      <c r="K131" s="15" t="s">
        <v>809</v>
      </c>
      <c r="L131" s="15" t="s">
        <v>848</v>
      </c>
      <c r="M131" s="15" t="s">
        <v>888</v>
      </c>
    </row>
    <row r="132" spans="1:13" x14ac:dyDescent="0.25">
      <c r="A132" s="14"/>
      <c r="B132" s="14"/>
      <c r="C132" s="14"/>
      <c r="D132" s="14"/>
      <c r="E132" s="14">
        <v>11</v>
      </c>
      <c r="F132" s="15" t="s">
        <v>1003</v>
      </c>
      <c r="G132" s="14" t="s">
        <v>685</v>
      </c>
      <c r="H132" s="14">
        <v>1</v>
      </c>
      <c r="I132" s="14">
        <v>20</v>
      </c>
      <c r="J132" s="15" t="s">
        <v>770</v>
      </c>
      <c r="K132" s="15" t="s">
        <v>810</v>
      </c>
      <c r="L132" s="15" t="s">
        <v>849</v>
      </c>
      <c r="M132" s="15" t="s">
        <v>889</v>
      </c>
    </row>
    <row r="133" spans="1:13" x14ac:dyDescent="0.25">
      <c r="A133" s="14"/>
      <c r="B133" s="14"/>
      <c r="C133" s="14"/>
      <c r="D133" s="14"/>
      <c r="E133" s="14">
        <v>12</v>
      </c>
      <c r="F133" s="15" t="s">
        <v>1004</v>
      </c>
      <c r="G133" s="14" t="s">
        <v>686</v>
      </c>
      <c r="H133" s="14">
        <v>1</v>
      </c>
      <c r="I133" s="14">
        <v>20</v>
      </c>
      <c r="J133" s="15" t="s">
        <v>771</v>
      </c>
      <c r="K133" s="15" t="s">
        <v>811</v>
      </c>
      <c r="L133" s="15" t="s">
        <v>850</v>
      </c>
      <c r="M133" s="15" t="s">
        <v>890</v>
      </c>
    </row>
    <row r="134" spans="1:13" x14ac:dyDescent="0.25">
      <c r="A134" s="14"/>
      <c r="B134" s="14"/>
      <c r="C134" s="14"/>
      <c r="D134" s="14"/>
      <c r="E134" s="14">
        <v>13</v>
      </c>
      <c r="F134" s="15" t="s">
        <v>1005</v>
      </c>
      <c r="G134" s="14" t="s">
        <v>687</v>
      </c>
      <c r="H134" s="14">
        <v>1</v>
      </c>
      <c r="I134" s="14">
        <v>20</v>
      </c>
      <c r="J134" s="15" t="s">
        <v>772</v>
      </c>
      <c r="K134" s="15" t="s">
        <v>812</v>
      </c>
      <c r="L134" s="15" t="s">
        <v>851</v>
      </c>
      <c r="M134" s="15" t="s">
        <v>891</v>
      </c>
    </row>
    <row r="135" spans="1:13" x14ac:dyDescent="0.25">
      <c r="A135" s="14"/>
      <c r="B135" s="16"/>
      <c r="C135" s="14"/>
      <c r="D135" s="14"/>
      <c r="E135" s="14">
        <v>14</v>
      </c>
      <c r="F135" s="15" t="s">
        <v>1006</v>
      </c>
      <c r="G135" s="14" t="s">
        <v>688</v>
      </c>
      <c r="H135" s="14">
        <v>1</v>
      </c>
      <c r="I135" s="14">
        <v>20</v>
      </c>
      <c r="J135" s="15" t="s">
        <v>773</v>
      </c>
      <c r="K135" s="15" t="s">
        <v>813</v>
      </c>
      <c r="L135" s="15" t="s">
        <v>852</v>
      </c>
      <c r="M135" s="15" t="s">
        <v>892</v>
      </c>
    </row>
    <row r="136" spans="1:13" x14ac:dyDescent="0.25">
      <c r="A136" s="14"/>
      <c r="B136" s="16"/>
      <c r="C136" s="14"/>
      <c r="D136" s="14"/>
      <c r="E136" s="14">
        <v>15</v>
      </c>
      <c r="F136" s="15" t="s">
        <v>1007</v>
      </c>
      <c r="G136" s="14" t="s">
        <v>689</v>
      </c>
      <c r="H136" s="14">
        <v>1</v>
      </c>
      <c r="I136" s="14">
        <v>20</v>
      </c>
      <c r="J136" s="15" t="s">
        <v>774</v>
      </c>
      <c r="K136" s="15" t="s">
        <v>814</v>
      </c>
      <c r="L136" s="15" t="s">
        <v>853</v>
      </c>
      <c r="M136" s="15" t="s">
        <v>893</v>
      </c>
    </row>
    <row r="137" spans="1:13" x14ac:dyDescent="0.25">
      <c r="A137" s="14"/>
      <c r="B137" s="16"/>
      <c r="C137" s="14"/>
      <c r="D137" s="14"/>
      <c r="E137" s="14">
        <v>16</v>
      </c>
      <c r="F137" s="15" t="s">
        <v>1008</v>
      </c>
      <c r="G137" s="14" t="s">
        <v>690</v>
      </c>
      <c r="H137" s="14">
        <v>1</v>
      </c>
      <c r="I137" s="14">
        <v>20</v>
      </c>
      <c r="J137" s="15" t="s">
        <v>775</v>
      </c>
      <c r="K137" s="15" t="s">
        <v>815</v>
      </c>
      <c r="L137" s="15" t="s">
        <v>854</v>
      </c>
      <c r="M137" s="15" t="s">
        <v>894</v>
      </c>
    </row>
    <row r="138" spans="1:13" x14ac:dyDescent="0.25">
      <c r="A138" s="14"/>
      <c r="B138" s="16"/>
      <c r="C138" s="14"/>
      <c r="D138" s="14"/>
      <c r="E138" s="14">
        <v>17</v>
      </c>
      <c r="F138" s="15" t="s">
        <v>1009</v>
      </c>
      <c r="G138" s="14" t="s">
        <v>691</v>
      </c>
      <c r="H138" s="14">
        <v>1</v>
      </c>
      <c r="I138" s="14">
        <v>20</v>
      </c>
      <c r="J138" s="15" t="s">
        <v>776</v>
      </c>
      <c r="K138" s="15" t="s">
        <v>816</v>
      </c>
      <c r="L138" s="15" t="s">
        <v>855</v>
      </c>
      <c r="M138" s="15" t="s">
        <v>895</v>
      </c>
    </row>
    <row r="139" spans="1:13" x14ac:dyDescent="0.25">
      <c r="A139" s="14"/>
      <c r="B139" s="16"/>
      <c r="C139" s="14"/>
      <c r="D139" s="14"/>
      <c r="E139" s="14">
        <v>18</v>
      </c>
      <c r="F139" s="15" t="s">
        <v>1010</v>
      </c>
      <c r="G139" s="14" t="s">
        <v>692</v>
      </c>
      <c r="H139" s="14">
        <v>1</v>
      </c>
      <c r="I139" s="14">
        <v>20</v>
      </c>
      <c r="J139" s="15" t="s">
        <v>777</v>
      </c>
      <c r="K139" s="15" t="s">
        <v>817</v>
      </c>
      <c r="L139" s="15" t="s">
        <v>856</v>
      </c>
      <c r="M139" s="15" t="s">
        <v>896</v>
      </c>
    </row>
    <row r="140" spans="1:13" x14ac:dyDescent="0.25">
      <c r="A140" s="14"/>
      <c r="B140" s="16"/>
      <c r="C140" s="14"/>
      <c r="D140" s="14"/>
      <c r="E140" s="14">
        <v>19</v>
      </c>
      <c r="F140" s="15" t="s">
        <v>1011</v>
      </c>
      <c r="G140" s="14" t="s">
        <v>693</v>
      </c>
      <c r="H140" s="14">
        <v>1</v>
      </c>
      <c r="I140" s="14">
        <v>20</v>
      </c>
      <c r="J140" s="15" t="s">
        <v>778</v>
      </c>
      <c r="K140" s="15" t="s">
        <v>818</v>
      </c>
      <c r="L140" s="15" t="s">
        <v>857</v>
      </c>
      <c r="M140" s="15" t="s">
        <v>897</v>
      </c>
    </row>
    <row r="141" spans="1:13" x14ac:dyDescent="0.25">
      <c r="A141" s="14"/>
      <c r="B141" s="16"/>
      <c r="C141" s="14"/>
      <c r="D141" s="14"/>
      <c r="E141" s="14">
        <v>20</v>
      </c>
      <c r="F141" s="15" t="s">
        <v>1012</v>
      </c>
      <c r="G141" s="14" t="s">
        <v>694</v>
      </c>
      <c r="H141" s="14">
        <v>1</v>
      </c>
      <c r="I141" s="14">
        <v>20</v>
      </c>
      <c r="J141" s="15" t="s">
        <v>779</v>
      </c>
      <c r="K141" s="15" t="s">
        <v>819</v>
      </c>
      <c r="L141" s="15" t="s">
        <v>858</v>
      </c>
      <c r="M141" s="15" t="s">
        <v>898</v>
      </c>
    </row>
    <row r="142" spans="1:13" x14ac:dyDescent="0.25">
      <c r="A142" s="14"/>
      <c r="B142" s="16"/>
      <c r="C142" s="14"/>
      <c r="D142" s="14"/>
      <c r="E142" s="14">
        <v>21</v>
      </c>
      <c r="F142" s="15" t="s">
        <v>1013</v>
      </c>
      <c r="G142" s="14" t="s">
        <v>695</v>
      </c>
      <c r="H142" s="14">
        <v>1</v>
      </c>
      <c r="I142" s="14">
        <v>20</v>
      </c>
      <c r="J142" s="15" t="s">
        <v>780</v>
      </c>
      <c r="K142" s="15" t="s">
        <v>820</v>
      </c>
      <c r="L142" s="15" t="s">
        <v>859</v>
      </c>
      <c r="M142" s="15" t="s">
        <v>899</v>
      </c>
    </row>
    <row r="143" spans="1:13" x14ac:dyDescent="0.25">
      <c r="A143" s="14"/>
      <c r="B143" s="16"/>
      <c r="C143" s="14"/>
      <c r="D143" s="14"/>
      <c r="E143" s="14">
        <v>22</v>
      </c>
      <c r="F143" s="15" t="s">
        <v>1014</v>
      </c>
      <c r="G143" s="14" t="s">
        <v>696</v>
      </c>
      <c r="H143" s="14">
        <v>1</v>
      </c>
      <c r="I143" s="14">
        <v>20</v>
      </c>
      <c r="J143" s="15" t="s">
        <v>781</v>
      </c>
      <c r="K143" s="15" t="s">
        <v>821</v>
      </c>
      <c r="L143" s="15" t="s">
        <v>860</v>
      </c>
      <c r="M143" s="15" t="s">
        <v>900</v>
      </c>
    </row>
    <row r="144" spans="1:13" x14ac:dyDescent="0.25">
      <c r="A144" s="14"/>
      <c r="B144" s="16"/>
      <c r="C144" s="14"/>
      <c r="D144" s="14"/>
      <c r="E144" s="14">
        <v>23</v>
      </c>
      <c r="F144" s="15" t="s">
        <v>1015</v>
      </c>
      <c r="G144" s="14" t="s">
        <v>697</v>
      </c>
      <c r="H144" s="14">
        <v>1</v>
      </c>
      <c r="I144" s="14">
        <v>20</v>
      </c>
      <c r="J144" s="15" t="s">
        <v>782</v>
      </c>
      <c r="K144" s="15" t="s">
        <v>822</v>
      </c>
      <c r="L144" s="15" t="s">
        <v>861</v>
      </c>
      <c r="M144" s="15" t="s">
        <v>901</v>
      </c>
    </row>
    <row r="145" spans="1:13" x14ac:dyDescent="0.25">
      <c r="A145" s="14"/>
      <c r="B145" s="16"/>
      <c r="C145" s="16"/>
      <c r="D145" s="16"/>
      <c r="E145" s="14">
        <v>24</v>
      </c>
      <c r="F145" s="15" t="s">
        <v>1016</v>
      </c>
      <c r="G145" s="14" t="s">
        <v>698</v>
      </c>
      <c r="H145" s="14">
        <v>1</v>
      </c>
      <c r="I145" s="14">
        <v>20</v>
      </c>
      <c r="J145" s="15" t="s">
        <v>783</v>
      </c>
      <c r="K145" s="15" t="s">
        <v>823</v>
      </c>
      <c r="L145" s="15" t="s">
        <v>862</v>
      </c>
      <c r="M145" s="15" t="s">
        <v>902</v>
      </c>
    </row>
    <row r="146" spans="1:13" x14ac:dyDescent="0.25">
      <c r="A146" s="14"/>
      <c r="B146" s="16"/>
      <c r="C146" s="16"/>
      <c r="D146" s="16"/>
      <c r="E146" s="14">
        <v>25</v>
      </c>
      <c r="F146" s="15" t="s">
        <v>1017</v>
      </c>
      <c r="G146" s="14" t="s">
        <v>699</v>
      </c>
      <c r="H146" s="14">
        <v>1</v>
      </c>
      <c r="I146" s="14">
        <v>20</v>
      </c>
      <c r="J146" s="15" t="s">
        <v>784</v>
      </c>
      <c r="K146" s="15" t="s">
        <v>824</v>
      </c>
      <c r="L146" s="15" t="s">
        <v>863</v>
      </c>
      <c r="M146" s="15" t="s">
        <v>903</v>
      </c>
    </row>
    <row r="147" spans="1:13" x14ac:dyDescent="0.25">
      <c r="A147" s="14"/>
      <c r="B147" s="16"/>
      <c r="C147" s="16"/>
      <c r="D147" s="16"/>
      <c r="E147" s="14">
        <v>26</v>
      </c>
      <c r="F147" s="15" t="s">
        <v>1018</v>
      </c>
      <c r="G147" s="14" t="s">
        <v>700</v>
      </c>
      <c r="H147" s="14">
        <v>1</v>
      </c>
      <c r="I147" s="14">
        <v>20</v>
      </c>
      <c r="J147" s="15" t="s">
        <v>785</v>
      </c>
      <c r="K147" s="15" t="s">
        <v>825</v>
      </c>
      <c r="L147" s="15" t="s">
        <v>864</v>
      </c>
      <c r="M147" s="15" t="s">
        <v>904</v>
      </c>
    </row>
    <row r="148" spans="1:13" x14ac:dyDescent="0.25">
      <c r="A148" s="14"/>
      <c r="B148" s="16"/>
      <c r="C148" s="16"/>
      <c r="D148" s="16"/>
      <c r="E148" s="14">
        <v>27</v>
      </c>
      <c r="F148" s="15" t="s">
        <v>529</v>
      </c>
      <c r="G148" s="14" t="s">
        <v>701</v>
      </c>
      <c r="H148" s="14">
        <v>1</v>
      </c>
      <c r="I148" s="14">
        <v>20</v>
      </c>
      <c r="J148" s="15" t="s">
        <v>786</v>
      </c>
      <c r="K148" s="15" t="s">
        <v>826</v>
      </c>
      <c r="L148" s="15" t="s">
        <v>865</v>
      </c>
      <c r="M148" s="15" t="s">
        <v>905</v>
      </c>
    </row>
    <row r="149" spans="1:13" x14ac:dyDescent="0.25">
      <c r="A149" s="14"/>
      <c r="B149" s="16"/>
      <c r="C149" s="16"/>
      <c r="D149" s="16"/>
      <c r="E149" s="14">
        <v>28</v>
      </c>
      <c r="F149" s="15" t="s">
        <v>1019</v>
      </c>
      <c r="G149" s="14" t="s">
        <v>702</v>
      </c>
      <c r="H149" s="14">
        <v>1</v>
      </c>
      <c r="I149" s="14">
        <v>20</v>
      </c>
      <c r="J149" s="15" t="s">
        <v>787</v>
      </c>
      <c r="K149" s="15" t="s">
        <v>827</v>
      </c>
      <c r="L149" s="15" t="s">
        <v>866</v>
      </c>
      <c r="M149" s="15" t="s">
        <v>906</v>
      </c>
    </row>
    <row r="150" spans="1:13" x14ac:dyDescent="0.25">
      <c r="A150" s="14"/>
      <c r="B150" s="16"/>
      <c r="C150" s="16"/>
      <c r="D150" s="16"/>
      <c r="E150" s="14">
        <v>29</v>
      </c>
      <c r="F150" s="15" t="s">
        <v>1020</v>
      </c>
      <c r="G150" s="14" t="s">
        <v>703</v>
      </c>
      <c r="H150" s="14">
        <v>1</v>
      </c>
      <c r="I150" s="14">
        <v>20</v>
      </c>
      <c r="J150" s="15" t="s">
        <v>788</v>
      </c>
      <c r="K150" s="15" t="s">
        <v>828</v>
      </c>
      <c r="L150" s="15" t="s">
        <v>867</v>
      </c>
      <c r="M150" s="15" t="s">
        <v>907</v>
      </c>
    </row>
    <row r="151" spans="1:13" x14ac:dyDescent="0.25">
      <c r="A151" s="14"/>
      <c r="B151" s="16"/>
      <c r="C151" s="16"/>
      <c r="D151" s="16"/>
      <c r="E151" s="14">
        <v>30</v>
      </c>
      <c r="F151" s="15" t="s">
        <v>1021</v>
      </c>
      <c r="G151" s="14" t="s">
        <v>704</v>
      </c>
      <c r="H151" s="14">
        <v>1</v>
      </c>
      <c r="I151" s="14">
        <v>20</v>
      </c>
      <c r="J151" s="15" t="s">
        <v>789</v>
      </c>
      <c r="K151" s="15" t="s">
        <v>829</v>
      </c>
      <c r="L151" s="15" t="s">
        <v>868</v>
      </c>
      <c r="M151" s="15" t="s">
        <v>908</v>
      </c>
    </row>
    <row r="152" spans="1:13" x14ac:dyDescent="0.25">
      <c r="A152" s="14"/>
      <c r="B152" s="16"/>
      <c r="C152" s="16"/>
      <c r="D152" s="16"/>
      <c r="E152" s="14">
        <v>31</v>
      </c>
      <c r="F152" s="15" t="s">
        <v>1022</v>
      </c>
      <c r="G152" s="14" t="s">
        <v>705</v>
      </c>
      <c r="H152" s="14">
        <v>1</v>
      </c>
      <c r="I152" s="14">
        <v>20</v>
      </c>
      <c r="J152" s="15" t="s">
        <v>790</v>
      </c>
      <c r="K152" s="15" t="s">
        <v>830</v>
      </c>
      <c r="L152" s="15" t="s">
        <v>869</v>
      </c>
      <c r="M152" s="15" t="s">
        <v>909</v>
      </c>
    </row>
    <row r="153" spans="1:13" x14ac:dyDescent="0.25">
      <c r="A153" s="14"/>
      <c r="B153" s="16"/>
      <c r="C153" s="16"/>
      <c r="D153" s="16"/>
      <c r="E153" s="14">
        <v>32</v>
      </c>
      <c r="F153" s="15" t="s">
        <v>1023</v>
      </c>
      <c r="G153" s="14" t="s">
        <v>706</v>
      </c>
      <c r="H153" s="14">
        <v>1</v>
      </c>
      <c r="I153" s="14">
        <v>20</v>
      </c>
      <c r="J153" s="15" t="s">
        <v>791</v>
      </c>
      <c r="K153" s="15" t="s">
        <v>831</v>
      </c>
      <c r="L153" s="15" t="s">
        <v>870</v>
      </c>
      <c r="M153" s="15" t="s">
        <v>910</v>
      </c>
    </row>
    <row r="154" spans="1:13" x14ac:dyDescent="0.25">
      <c r="A154" s="14"/>
      <c r="B154" s="16"/>
      <c r="C154" s="16"/>
      <c r="D154" s="16"/>
      <c r="E154" s="14">
        <v>33</v>
      </c>
      <c r="F154" s="15" t="s">
        <v>1024</v>
      </c>
      <c r="G154" s="14" t="s">
        <v>707</v>
      </c>
      <c r="H154" s="14">
        <v>1</v>
      </c>
      <c r="I154" s="14">
        <v>20</v>
      </c>
      <c r="J154" s="15" t="s">
        <v>792</v>
      </c>
      <c r="K154" s="15" t="s">
        <v>7992</v>
      </c>
      <c r="L154" s="15" t="s">
        <v>871</v>
      </c>
      <c r="M154" s="15" t="s">
        <v>911</v>
      </c>
    </row>
    <row r="155" spans="1:13" x14ac:dyDescent="0.25">
      <c r="A155" s="14"/>
      <c r="B155" s="16"/>
      <c r="C155" s="16"/>
      <c r="D155" s="16"/>
      <c r="E155" s="14">
        <v>34</v>
      </c>
      <c r="F155" s="15" t="s">
        <v>1025</v>
      </c>
      <c r="G155" s="14" t="s">
        <v>708</v>
      </c>
      <c r="H155" s="14">
        <v>1</v>
      </c>
      <c r="I155" s="14">
        <v>20</v>
      </c>
      <c r="J155" s="15" t="s">
        <v>793</v>
      </c>
      <c r="K155" s="15" t="s">
        <v>832</v>
      </c>
      <c r="L155" s="15" t="s">
        <v>872</v>
      </c>
      <c r="M155" s="15" t="s">
        <v>912</v>
      </c>
    </row>
    <row r="156" spans="1:13" x14ac:dyDescent="0.25">
      <c r="A156" s="14"/>
      <c r="B156" s="16"/>
      <c r="C156" s="16"/>
      <c r="D156" s="16"/>
      <c r="E156" s="14">
        <v>35</v>
      </c>
      <c r="F156" s="15" t="s">
        <v>1026</v>
      </c>
      <c r="G156" s="14" t="s">
        <v>709</v>
      </c>
      <c r="H156" s="14">
        <v>1</v>
      </c>
      <c r="I156" s="14">
        <v>20</v>
      </c>
      <c r="J156" s="15" t="s">
        <v>794</v>
      </c>
      <c r="K156" s="15" t="s">
        <v>833</v>
      </c>
      <c r="L156" s="15" t="s">
        <v>873</v>
      </c>
      <c r="M156" s="15" t="s">
        <v>913</v>
      </c>
    </row>
    <row r="157" spans="1:13" x14ac:dyDescent="0.25">
      <c r="A157" s="14"/>
      <c r="B157" s="16"/>
      <c r="C157" s="16"/>
      <c r="D157" s="16"/>
      <c r="E157" s="14">
        <v>36</v>
      </c>
      <c r="F157" s="15" t="s">
        <v>1027</v>
      </c>
      <c r="G157" s="14" t="s">
        <v>710</v>
      </c>
      <c r="H157" s="14">
        <v>1</v>
      </c>
      <c r="I157" s="14">
        <v>20</v>
      </c>
      <c r="J157" s="15" t="s">
        <v>795</v>
      </c>
      <c r="K157" s="15" t="s">
        <v>834</v>
      </c>
      <c r="L157" s="15" t="s">
        <v>874</v>
      </c>
      <c r="M157" s="15" t="s">
        <v>1079</v>
      </c>
    </row>
    <row r="158" spans="1:13" x14ac:dyDescent="0.25">
      <c r="A158" s="14"/>
      <c r="B158" s="16"/>
      <c r="C158" s="16"/>
      <c r="D158" s="16"/>
      <c r="E158" s="14">
        <v>37</v>
      </c>
      <c r="F158" s="15" t="s">
        <v>424</v>
      </c>
      <c r="G158" s="14" t="s">
        <v>711</v>
      </c>
      <c r="H158" s="14">
        <v>1</v>
      </c>
      <c r="I158" s="14">
        <v>20</v>
      </c>
      <c r="J158" s="15" t="s">
        <v>796</v>
      </c>
      <c r="K158" s="15" t="s">
        <v>835</v>
      </c>
      <c r="L158" s="15" t="s">
        <v>875</v>
      </c>
      <c r="M158" s="15" t="s">
        <v>914</v>
      </c>
    </row>
    <row r="159" spans="1:13" x14ac:dyDescent="0.25">
      <c r="A159" s="14"/>
      <c r="B159" s="16"/>
      <c r="C159" s="16"/>
      <c r="D159" s="16"/>
      <c r="E159" s="14">
        <v>38</v>
      </c>
      <c r="F159" s="15" t="s">
        <v>1028</v>
      </c>
      <c r="G159" s="14" t="s">
        <v>712</v>
      </c>
      <c r="H159" s="14">
        <v>1</v>
      </c>
      <c r="I159" s="14">
        <v>20</v>
      </c>
      <c r="J159" s="15" t="s">
        <v>797</v>
      </c>
      <c r="K159" s="15" t="s">
        <v>836</v>
      </c>
      <c r="L159" s="15" t="s">
        <v>876</v>
      </c>
      <c r="M159" s="15" t="s">
        <v>915</v>
      </c>
    </row>
    <row r="160" spans="1:13" x14ac:dyDescent="0.25">
      <c r="A160" s="14"/>
      <c r="B160" s="16"/>
      <c r="C160" s="16"/>
      <c r="D160" s="16"/>
      <c r="E160" s="14">
        <v>39</v>
      </c>
      <c r="F160" s="15" t="s">
        <v>425</v>
      </c>
      <c r="G160" s="14" t="s">
        <v>713</v>
      </c>
      <c r="H160" s="14">
        <v>1</v>
      </c>
      <c r="I160" s="14">
        <v>20</v>
      </c>
      <c r="J160" s="15" t="s">
        <v>798</v>
      </c>
      <c r="K160" s="15" t="s">
        <v>837</v>
      </c>
      <c r="L160" s="15" t="s">
        <v>877</v>
      </c>
      <c r="M160" s="15" t="s">
        <v>916</v>
      </c>
    </row>
    <row r="161" spans="1:13" x14ac:dyDescent="0.25">
      <c r="A161" s="14"/>
      <c r="B161" s="22"/>
      <c r="C161" s="22"/>
      <c r="D161" s="22"/>
      <c r="E161" s="23">
        <v>40</v>
      </c>
      <c r="F161" s="24" t="s">
        <v>1029</v>
      </c>
      <c r="G161" s="23" t="s">
        <v>714</v>
      </c>
      <c r="H161" s="23">
        <v>1</v>
      </c>
      <c r="I161" s="14">
        <v>20</v>
      </c>
      <c r="J161" s="24" t="s">
        <v>799</v>
      </c>
      <c r="K161" s="24" t="s">
        <v>838</v>
      </c>
      <c r="L161" s="24" t="s">
        <v>878</v>
      </c>
      <c r="M161" s="24" t="s">
        <v>917</v>
      </c>
    </row>
    <row r="162" spans="1:13" s="44" customFormat="1" x14ac:dyDescent="0.25">
      <c r="A162" s="57"/>
      <c r="B162" s="57"/>
      <c r="C162" s="58">
        <v>5</v>
      </c>
      <c r="D162" s="58" t="s">
        <v>1030</v>
      </c>
      <c r="E162" s="58">
        <v>1</v>
      </c>
      <c r="F162" s="59" t="s">
        <v>2212</v>
      </c>
      <c r="G162" s="58" t="s">
        <v>1031</v>
      </c>
      <c r="H162" s="58">
        <v>1</v>
      </c>
      <c r="I162" s="58">
        <v>20</v>
      </c>
      <c r="J162" s="58" t="s">
        <v>1080</v>
      </c>
      <c r="K162" s="58" t="s">
        <v>1099</v>
      </c>
      <c r="L162" s="58" t="s">
        <v>1118</v>
      </c>
      <c r="M162" s="58" t="s">
        <v>1137</v>
      </c>
    </row>
    <row r="163" spans="1:13" s="44" customFormat="1" x14ac:dyDescent="0.25">
      <c r="A163" s="57"/>
      <c r="B163" s="57"/>
      <c r="C163" s="58"/>
      <c r="D163" s="58" t="s">
        <v>1988</v>
      </c>
      <c r="E163" s="58">
        <v>2</v>
      </c>
      <c r="F163" s="90" t="s">
        <v>2180</v>
      </c>
      <c r="G163" s="58" t="s">
        <v>1032</v>
      </c>
      <c r="H163" s="58">
        <v>1</v>
      </c>
      <c r="I163" s="58">
        <v>20</v>
      </c>
      <c r="J163" s="58" t="s">
        <v>1081</v>
      </c>
      <c r="K163" s="58" t="s">
        <v>1100</v>
      </c>
      <c r="L163" s="58" t="s">
        <v>1119</v>
      </c>
      <c r="M163" s="58" t="s">
        <v>1138</v>
      </c>
    </row>
    <row r="164" spans="1:13" s="44" customFormat="1" x14ac:dyDescent="0.25">
      <c r="A164" s="57"/>
      <c r="B164" s="57"/>
      <c r="C164" s="58"/>
      <c r="D164" s="58" t="s">
        <v>8972</v>
      </c>
      <c r="E164" s="58">
        <v>3</v>
      </c>
      <c r="F164" s="59" t="s">
        <v>2181</v>
      </c>
      <c r="G164" s="58" t="s">
        <v>1033</v>
      </c>
      <c r="H164" s="58">
        <v>1</v>
      </c>
      <c r="I164" s="58">
        <v>20</v>
      </c>
      <c r="J164" s="58" t="s">
        <v>1082</v>
      </c>
      <c r="K164" s="58" t="s">
        <v>1101</v>
      </c>
      <c r="L164" s="58" t="s">
        <v>1120</v>
      </c>
      <c r="M164" s="58" t="s">
        <v>1139</v>
      </c>
    </row>
    <row r="165" spans="1:13" s="44" customFormat="1" x14ac:dyDescent="0.25">
      <c r="A165" s="57"/>
      <c r="B165" s="57"/>
      <c r="C165" s="58"/>
      <c r="D165" s="58"/>
      <c r="E165" s="58">
        <v>4</v>
      </c>
      <c r="F165" s="59" t="s">
        <v>2182</v>
      </c>
      <c r="G165" s="58" t="s">
        <v>1034</v>
      </c>
      <c r="H165" s="58">
        <v>1</v>
      </c>
      <c r="I165" s="58">
        <v>20</v>
      </c>
      <c r="J165" s="58" t="s">
        <v>1083</v>
      </c>
      <c r="K165" s="58" t="s">
        <v>1102</v>
      </c>
      <c r="L165" s="58" t="s">
        <v>1121</v>
      </c>
      <c r="M165" s="58" t="s">
        <v>1140</v>
      </c>
    </row>
    <row r="166" spans="1:13" s="44" customFormat="1" x14ac:dyDescent="0.25">
      <c r="A166" s="57"/>
      <c r="B166" s="57"/>
      <c r="C166" s="58"/>
      <c r="D166" s="58"/>
      <c r="E166" s="58">
        <v>5</v>
      </c>
      <c r="F166" s="59" t="s">
        <v>2183</v>
      </c>
      <c r="G166" s="58" t="s">
        <v>1035</v>
      </c>
      <c r="H166" s="58">
        <v>1</v>
      </c>
      <c r="I166" s="58">
        <v>20</v>
      </c>
      <c r="J166" s="58" t="s">
        <v>1084</v>
      </c>
      <c r="K166" s="58" t="s">
        <v>1103</v>
      </c>
      <c r="L166" s="58" t="s">
        <v>1122</v>
      </c>
      <c r="M166" s="58" t="s">
        <v>1141</v>
      </c>
    </row>
    <row r="167" spans="1:13" s="44" customFormat="1" x14ac:dyDescent="0.25">
      <c r="A167" s="57"/>
      <c r="B167" s="57"/>
      <c r="C167" s="58"/>
      <c r="D167" s="58"/>
      <c r="E167" s="58">
        <v>6</v>
      </c>
      <c r="F167" s="59" t="s">
        <v>2184</v>
      </c>
      <c r="G167" s="58" t="s">
        <v>1036</v>
      </c>
      <c r="H167" s="58">
        <v>1</v>
      </c>
      <c r="I167" s="58">
        <v>20</v>
      </c>
      <c r="J167" s="58" t="s">
        <v>1085</v>
      </c>
      <c r="K167" s="58" t="s">
        <v>1104</v>
      </c>
      <c r="L167" s="58" t="s">
        <v>1123</v>
      </c>
      <c r="M167" s="58" t="s">
        <v>1142</v>
      </c>
    </row>
    <row r="168" spans="1:13" s="44" customFormat="1" x14ac:dyDescent="0.25">
      <c r="A168" s="57"/>
      <c r="B168" s="57"/>
      <c r="C168" s="58"/>
      <c r="D168" s="58"/>
      <c r="E168" s="58">
        <v>7</v>
      </c>
      <c r="F168" s="59" t="s">
        <v>1070</v>
      </c>
      <c r="G168" s="58" t="s">
        <v>1037</v>
      </c>
      <c r="H168" s="58">
        <v>1</v>
      </c>
      <c r="I168" s="58">
        <v>20</v>
      </c>
      <c r="J168" s="58" t="s">
        <v>1086</v>
      </c>
      <c r="K168" s="58" t="s">
        <v>1105</v>
      </c>
      <c r="L168" s="58" t="s">
        <v>1124</v>
      </c>
      <c r="M168" s="58" t="s">
        <v>1143</v>
      </c>
    </row>
    <row r="169" spans="1:13" s="44" customFormat="1" x14ac:dyDescent="0.25">
      <c r="A169" s="57"/>
      <c r="B169" s="57"/>
      <c r="C169" s="58"/>
      <c r="D169" s="58"/>
      <c r="E169" s="58">
        <v>8</v>
      </c>
      <c r="F169" s="59" t="s">
        <v>1071</v>
      </c>
      <c r="G169" s="58" t="s">
        <v>1038</v>
      </c>
      <c r="H169" s="58">
        <v>1</v>
      </c>
      <c r="I169" s="58">
        <v>20</v>
      </c>
      <c r="J169" s="58" t="s">
        <v>1087</v>
      </c>
      <c r="K169" s="58" t="s">
        <v>1106</v>
      </c>
      <c r="L169" s="58" t="s">
        <v>1125</v>
      </c>
      <c r="M169" s="58" t="s">
        <v>1144</v>
      </c>
    </row>
    <row r="170" spans="1:13" s="44" customFormat="1" x14ac:dyDescent="0.25">
      <c r="A170" s="57"/>
      <c r="B170" s="57"/>
      <c r="C170" s="58"/>
      <c r="D170" s="58"/>
      <c r="E170" s="58">
        <v>9</v>
      </c>
      <c r="F170" s="59" t="s">
        <v>1072</v>
      </c>
      <c r="G170" s="58" t="s">
        <v>1039</v>
      </c>
      <c r="H170" s="58">
        <v>1</v>
      </c>
      <c r="I170" s="58">
        <v>20</v>
      </c>
      <c r="J170" s="58" t="s">
        <v>1088</v>
      </c>
      <c r="K170" s="58" t="s">
        <v>1107</v>
      </c>
      <c r="L170" s="58" t="s">
        <v>1126</v>
      </c>
      <c r="M170" s="58" t="s">
        <v>1145</v>
      </c>
    </row>
    <row r="171" spans="1:13" s="44" customFormat="1" x14ac:dyDescent="0.25">
      <c r="A171" s="57"/>
      <c r="B171" s="57"/>
      <c r="C171" s="58"/>
      <c r="D171" s="58"/>
      <c r="E171" s="58">
        <v>10</v>
      </c>
      <c r="F171" s="59" t="s">
        <v>143</v>
      </c>
      <c r="G171" s="58" t="s">
        <v>1040</v>
      </c>
      <c r="H171" s="58">
        <v>1</v>
      </c>
      <c r="I171" s="58">
        <v>20</v>
      </c>
      <c r="J171" s="58" t="s">
        <v>1089</v>
      </c>
      <c r="K171" s="58" t="s">
        <v>1108</v>
      </c>
      <c r="L171" s="58" t="s">
        <v>1127</v>
      </c>
      <c r="M171" s="58" t="s">
        <v>1146</v>
      </c>
    </row>
    <row r="172" spans="1:13" s="44" customFormat="1" x14ac:dyDescent="0.25">
      <c r="A172" s="57"/>
      <c r="B172" s="57"/>
      <c r="C172" s="58"/>
      <c r="D172" s="58"/>
      <c r="E172" s="58">
        <v>11</v>
      </c>
      <c r="F172" s="59" t="s">
        <v>162</v>
      </c>
      <c r="G172" s="58" t="s">
        <v>1041</v>
      </c>
      <c r="H172" s="58">
        <v>1</v>
      </c>
      <c r="I172" s="58">
        <v>20</v>
      </c>
      <c r="J172" s="58" t="s">
        <v>1090</v>
      </c>
      <c r="K172" s="58" t="s">
        <v>1109</v>
      </c>
      <c r="L172" s="58" t="s">
        <v>1128</v>
      </c>
      <c r="M172" s="58" t="s">
        <v>1147</v>
      </c>
    </row>
    <row r="173" spans="1:13" s="44" customFormat="1" x14ac:dyDescent="0.25">
      <c r="A173" s="57"/>
      <c r="B173" s="57"/>
      <c r="C173" s="58"/>
      <c r="D173" s="58"/>
      <c r="E173" s="58">
        <v>12</v>
      </c>
      <c r="F173" s="59" t="s">
        <v>1073</v>
      </c>
      <c r="G173" s="58" t="s">
        <v>1042</v>
      </c>
      <c r="H173" s="58">
        <v>1</v>
      </c>
      <c r="I173" s="58">
        <v>20</v>
      </c>
      <c r="J173" s="58" t="s">
        <v>1091</v>
      </c>
      <c r="K173" s="58" t="s">
        <v>1110</v>
      </c>
      <c r="L173" s="58" t="s">
        <v>1129</v>
      </c>
      <c r="M173" s="58" t="s">
        <v>1148</v>
      </c>
    </row>
    <row r="174" spans="1:13" s="44" customFormat="1" x14ac:dyDescent="0.25">
      <c r="A174" s="57"/>
      <c r="B174" s="57"/>
      <c r="C174" s="58"/>
      <c r="D174" s="58"/>
      <c r="E174" s="58">
        <v>13</v>
      </c>
      <c r="F174" s="59" t="s">
        <v>1005</v>
      </c>
      <c r="G174" s="58" t="s">
        <v>1043</v>
      </c>
      <c r="H174" s="58">
        <v>1</v>
      </c>
      <c r="I174" s="58">
        <v>20</v>
      </c>
      <c r="J174" s="58" t="s">
        <v>1092</v>
      </c>
      <c r="K174" s="58" t="s">
        <v>1111</v>
      </c>
      <c r="L174" s="58" t="s">
        <v>1130</v>
      </c>
      <c r="M174" s="58" t="s">
        <v>1149</v>
      </c>
    </row>
    <row r="175" spans="1:13" s="44" customFormat="1" x14ac:dyDescent="0.25">
      <c r="A175" s="57"/>
      <c r="B175" s="57"/>
      <c r="C175" s="58"/>
      <c r="D175" s="58"/>
      <c r="E175" s="58">
        <v>14</v>
      </c>
      <c r="F175" s="59" t="s">
        <v>1074</v>
      </c>
      <c r="G175" s="58" t="s">
        <v>1044</v>
      </c>
      <c r="H175" s="58">
        <v>1</v>
      </c>
      <c r="I175" s="58">
        <v>20</v>
      </c>
      <c r="J175" s="58" t="s">
        <v>1093</v>
      </c>
      <c r="K175" s="58" t="s">
        <v>1112</v>
      </c>
      <c r="L175" s="58" t="s">
        <v>1131</v>
      </c>
      <c r="M175" s="58" t="s">
        <v>1150</v>
      </c>
    </row>
    <row r="176" spans="1:13" s="44" customFormat="1" x14ac:dyDescent="0.25">
      <c r="A176" s="57"/>
      <c r="B176" s="57"/>
      <c r="C176" s="58"/>
      <c r="D176" s="58"/>
      <c r="E176" s="58">
        <v>15</v>
      </c>
      <c r="F176" s="59" t="s">
        <v>1007</v>
      </c>
      <c r="G176" s="58" t="s">
        <v>1045</v>
      </c>
      <c r="H176" s="58">
        <v>1</v>
      </c>
      <c r="I176" s="58">
        <v>20</v>
      </c>
      <c r="J176" s="58" t="s">
        <v>1094</v>
      </c>
      <c r="K176" s="58" t="s">
        <v>1113</v>
      </c>
      <c r="L176" s="58" t="s">
        <v>1132</v>
      </c>
      <c r="M176" s="58" t="s">
        <v>1151</v>
      </c>
    </row>
    <row r="177" spans="1:13" s="44" customFormat="1" x14ac:dyDescent="0.25">
      <c r="A177" s="57"/>
      <c r="B177" s="57"/>
      <c r="C177" s="58"/>
      <c r="D177" s="58"/>
      <c r="E177" s="58">
        <v>16</v>
      </c>
      <c r="F177" s="59" t="s">
        <v>1075</v>
      </c>
      <c r="G177" s="58" t="s">
        <v>1046</v>
      </c>
      <c r="H177" s="58">
        <v>1</v>
      </c>
      <c r="I177" s="58">
        <v>20</v>
      </c>
      <c r="J177" s="58" t="s">
        <v>1095</v>
      </c>
      <c r="K177" s="58" t="s">
        <v>1114</v>
      </c>
      <c r="L177" s="58" t="s">
        <v>1133</v>
      </c>
      <c r="M177" s="58" t="s">
        <v>1152</v>
      </c>
    </row>
    <row r="178" spans="1:13" s="44" customFormat="1" x14ac:dyDescent="0.25">
      <c r="A178" s="57"/>
      <c r="B178" s="57"/>
      <c r="C178" s="58"/>
      <c r="D178" s="58"/>
      <c r="E178" s="58">
        <v>17</v>
      </c>
      <c r="F178" s="59" t="s">
        <v>1076</v>
      </c>
      <c r="G178" s="58" t="s">
        <v>1047</v>
      </c>
      <c r="H178" s="58">
        <v>1</v>
      </c>
      <c r="I178" s="58">
        <v>20</v>
      </c>
      <c r="J178" s="58" t="s">
        <v>1096</v>
      </c>
      <c r="K178" s="58" t="s">
        <v>1115</v>
      </c>
      <c r="L178" s="58" t="s">
        <v>1134</v>
      </c>
      <c r="M178" s="58" t="s">
        <v>1153</v>
      </c>
    </row>
    <row r="179" spans="1:13" s="44" customFormat="1" x14ac:dyDescent="0.25">
      <c r="A179" s="57"/>
      <c r="B179" s="57"/>
      <c r="C179" s="58"/>
      <c r="D179" s="58"/>
      <c r="E179" s="58">
        <v>18</v>
      </c>
      <c r="F179" s="59" t="s">
        <v>1077</v>
      </c>
      <c r="G179" s="58" t="s">
        <v>1048</v>
      </c>
      <c r="H179" s="58">
        <v>1</v>
      </c>
      <c r="I179" s="58">
        <v>20</v>
      </c>
      <c r="J179" s="58" t="s">
        <v>1097</v>
      </c>
      <c r="K179" s="58" t="s">
        <v>1116</v>
      </c>
      <c r="L179" s="58" t="s">
        <v>1135</v>
      </c>
      <c r="M179" s="58" t="s">
        <v>1154</v>
      </c>
    </row>
    <row r="180" spans="1:13" s="44" customFormat="1" x14ac:dyDescent="0.25">
      <c r="A180" s="57"/>
      <c r="B180" s="57"/>
      <c r="C180" s="58"/>
      <c r="D180" s="58"/>
      <c r="E180" s="58">
        <v>19</v>
      </c>
      <c r="F180" s="59" t="s">
        <v>1078</v>
      </c>
      <c r="G180" s="58" t="s">
        <v>1049</v>
      </c>
      <c r="H180" s="58">
        <v>1</v>
      </c>
      <c r="I180" s="58">
        <v>20</v>
      </c>
      <c r="J180" s="58" t="s">
        <v>1098</v>
      </c>
      <c r="K180" s="58" t="s">
        <v>1117</v>
      </c>
      <c r="L180" s="58" t="s">
        <v>1136</v>
      </c>
      <c r="M180" s="58" t="s">
        <v>1155</v>
      </c>
    </row>
    <row r="181" spans="1:13" s="44" customFormat="1" x14ac:dyDescent="0.25">
      <c r="A181" s="57"/>
      <c r="B181" s="57"/>
      <c r="C181" s="58"/>
      <c r="D181" s="58"/>
      <c r="E181" s="58">
        <v>20</v>
      </c>
      <c r="F181" s="59" t="s">
        <v>1012</v>
      </c>
      <c r="G181" s="58" t="s">
        <v>1050</v>
      </c>
      <c r="H181" s="58">
        <v>1</v>
      </c>
      <c r="I181" s="58">
        <v>20</v>
      </c>
      <c r="J181" s="58" t="s">
        <v>1207</v>
      </c>
      <c r="K181" s="58" t="s">
        <v>1189</v>
      </c>
      <c r="L181" s="58" t="s">
        <v>1171</v>
      </c>
      <c r="M181" s="58" t="s">
        <v>1156</v>
      </c>
    </row>
    <row r="182" spans="1:13" s="44" customFormat="1" ht="15" customHeight="1" x14ac:dyDescent="0.25">
      <c r="A182" s="57"/>
      <c r="B182" s="57"/>
      <c r="C182" s="58"/>
      <c r="D182" s="58"/>
      <c r="E182" s="58">
        <v>21</v>
      </c>
      <c r="F182" s="60" t="s">
        <v>2185</v>
      </c>
      <c r="G182" s="58" t="s">
        <v>1051</v>
      </c>
      <c r="H182" s="58">
        <v>1</v>
      </c>
      <c r="I182" s="58">
        <v>20</v>
      </c>
      <c r="J182" s="58" t="s">
        <v>2186</v>
      </c>
      <c r="K182" s="58" t="s">
        <v>2187</v>
      </c>
      <c r="L182" s="61" t="s">
        <v>2188</v>
      </c>
      <c r="M182" s="58" t="s">
        <v>2189</v>
      </c>
    </row>
    <row r="183" spans="1:13" s="44" customFormat="1" ht="15" customHeight="1" x14ac:dyDescent="0.25">
      <c r="A183" s="57"/>
      <c r="B183" s="57"/>
      <c r="C183" s="58"/>
      <c r="D183" s="58"/>
      <c r="E183" s="58">
        <v>22</v>
      </c>
      <c r="F183" s="60" t="s">
        <v>2190</v>
      </c>
      <c r="G183" s="58" t="s">
        <v>1052</v>
      </c>
      <c r="H183" s="58">
        <v>1</v>
      </c>
      <c r="I183" s="58">
        <v>20</v>
      </c>
      <c r="J183" s="58" t="s">
        <v>1208</v>
      </c>
      <c r="K183" s="58" t="s">
        <v>1190</v>
      </c>
      <c r="L183" s="58" t="s">
        <v>1172</v>
      </c>
      <c r="M183" s="58" t="s">
        <v>1157</v>
      </c>
    </row>
    <row r="184" spans="1:13" s="44" customFormat="1" ht="15" customHeight="1" x14ac:dyDescent="0.25">
      <c r="A184" s="57"/>
      <c r="B184" s="57"/>
      <c r="C184" s="58"/>
      <c r="D184" s="58"/>
      <c r="E184" s="58">
        <v>23</v>
      </c>
      <c r="F184" s="57" t="s">
        <v>2191</v>
      </c>
      <c r="G184" s="58" t="s">
        <v>1225</v>
      </c>
      <c r="H184" s="58">
        <v>1</v>
      </c>
      <c r="I184" s="58">
        <v>20</v>
      </c>
      <c r="J184" s="58" t="s">
        <v>1871</v>
      </c>
      <c r="K184" s="58" t="s">
        <v>1191</v>
      </c>
      <c r="L184" s="58" t="s">
        <v>1173</v>
      </c>
      <c r="M184" s="61" t="s">
        <v>2192</v>
      </c>
    </row>
    <row r="185" spans="1:13" s="44" customFormat="1" ht="15" customHeight="1" x14ac:dyDescent="0.25">
      <c r="A185" s="57"/>
      <c r="B185" s="57"/>
      <c r="C185" s="57"/>
      <c r="D185" s="57"/>
      <c r="E185" s="58">
        <v>24</v>
      </c>
      <c r="F185" s="57" t="s">
        <v>2193</v>
      </c>
      <c r="G185" s="58" t="s">
        <v>1053</v>
      </c>
      <c r="H185" s="58">
        <v>1</v>
      </c>
      <c r="I185" s="58">
        <v>20</v>
      </c>
      <c r="J185" s="58" t="s">
        <v>1209</v>
      </c>
      <c r="K185" s="58" t="s">
        <v>1192</v>
      </c>
      <c r="L185" s="58" t="s">
        <v>1174</v>
      </c>
      <c r="M185" s="58" t="s">
        <v>1158</v>
      </c>
    </row>
    <row r="186" spans="1:13" s="44" customFormat="1" ht="15" customHeight="1" x14ac:dyDescent="0.25">
      <c r="A186" s="57"/>
      <c r="B186" s="57"/>
      <c r="C186" s="57"/>
      <c r="D186" s="57"/>
      <c r="E186" s="58">
        <v>25</v>
      </c>
      <c r="F186" s="57" t="s">
        <v>2194</v>
      </c>
      <c r="G186" s="58" t="s">
        <v>1054</v>
      </c>
      <c r="H186" s="58">
        <v>1</v>
      </c>
      <c r="I186" s="58">
        <v>20</v>
      </c>
      <c r="J186" s="58" t="s">
        <v>1210</v>
      </c>
      <c r="K186" s="58" t="s">
        <v>1193</v>
      </c>
      <c r="L186" s="58" t="s">
        <v>1175</v>
      </c>
      <c r="M186" s="58" t="s">
        <v>1159</v>
      </c>
    </row>
    <row r="187" spans="1:13" s="44" customFormat="1" ht="15" customHeight="1" x14ac:dyDescent="0.25">
      <c r="A187" s="57"/>
      <c r="B187" s="57"/>
      <c r="C187" s="57"/>
      <c r="D187" s="57"/>
      <c r="E187" s="58">
        <v>26</v>
      </c>
      <c r="F187" s="57" t="s">
        <v>2163</v>
      </c>
      <c r="G187" s="58" t="s">
        <v>1055</v>
      </c>
      <c r="H187" s="58">
        <v>1</v>
      </c>
      <c r="I187" s="58">
        <v>20</v>
      </c>
      <c r="J187" s="58" t="s">
        <v>1211</v>
      </c>
      <c r="K187" s="58" t="s">
        <v>1194</v>
      </c>
      <c r="L187" s="58" t="s">
        <v>1176</v>
      </c>
      <c r="M187" s="58" t="s">
        <v>1160</v>
      </c>
    </row>
    <row r="188" spans="1:13" s="44" customFormat="1" ht="15" customHeight="1" x14ac:dyDescent="0.25">
      <c r="A188" s="57"/>
      <c r="B188" s="57"/>
      <c r="C188" s="57"/>
      <c r="D188" s="57"/>
      <c r="E188" s="58">
        <v>27</v>
      </c>
      <c r="F188" s="57" t="s">
        <v>2195</v>
      </c>
      <c r="G188" s="58" t="s">
        <v>1056</v>
      </c>
      <c r="H188" s="58">
        <v>1</v>
      </c>
      <c r="I188" s="58">
        <v>20</v>
      </c>
      <c r="J188" s="58" t="s">
        <v>1212</v>
      </c>
      <c r="K188" s="58" t="s">
        <v>1195</v>
      </c>
      <c r="L188" s="58" t="s">
        <v>1177</v>
      </c>
      <c r="M188" s="58" t="s">
        <v>2196</v>
      </c>
    </row>
    <row r="189" spans="1:13" s="44" customFormat="1" ht="15" customHeight="1" x14ac:dyDescent="0.25">
      <c r="A189" s="57"/>
      <c r="B189" s="57"/>
      <c r="C189" s="57"/>
      <c r="D189" s="57"/>
      <c r="E189" s="58">
        <v>28</v>
      </c>
      <c r="F189" s="57" t="s">
        <v>2197</v>
      </c>
      <c r="G189" s="58" t="s">
        <v>1057</v>
      </c>
      <c r="H189" s="58">
        <v>1</v>
      </c>
      <c r="I189" s="58">
        <v>20</v>
      </c>
      <c r="J189" s="58" t="s">
        <v>1213</v>
      </c>
      <c r="K189" s="58" t="s">
        <v>1196</v>
      </c>
      <c r="L189" s="58" t="s">
        <v>1178</v>
      </c>
      <c r="M189" s="58" t="s">
        <v>1161</v>
      </c>
    </row>
    <row r="190" spans="1:13" s="44" customFormat="1" ht="15" customHeight="1" x14ac:dyDescent="0.25">
      <c r="A190" s="57"/>
      <c r="B190" s="57"/>
      <c r="C190" s="57"/>
      <c r="D190" s="57"/>
      <c r="E190" s="58">
        <v>29</v>
      </c>
      <c r="F190" s="57" t="s">
        <v>2198</v>
      </c>
      <c r="G190" s="58" t="s">
        <v>1058</v>
      </c>
      <c r="H190" s="58">
        <v>1</v>
      </c>
      <c r="I190" s="58">
        <v>20</v>
      </c>
      <c r="J190" s="58" t="s">
        <v>1214</v>
      </c>
      <c r="K190" s="58" t="s">
        <v>1197</v>
      </c>
      <c r="L190" s="58" t="s">
        <v>1179</v>
      </c>
      <c r="M190" s="58" t="s">
        <v>2199</v>
      </c>
    </row>
    <row r="191" spans="1:13" s="44" customFormat="1" ht="15" customHeight="1" x14ac:dyDescent="0.25">
      <c r="A191" s="57"/>
      <c r="B191" s="57"/>
      <c r="C191" s="57"/>
      <c r="D191" s="57"/>
      <c r="E191" s="58">
        <v>30</v>
      </c>
      <c r="F191" s="57" t="s">
        <v>2200</v>
      </c>
      <c r="G191" s="58" t="s">
        <v>1059</v>
      </c>
      <c r="H191" s="58">
        <v>1</v>
      </c>
      <c r="I191" s="58">
        <v>20</v>
      </c>
      <c r="J191" s="58" t="s">
        <v>1215</v>
      </c>
      <c r="K191" s="58" t="s">
        <v>1198</v>
      </c>
      <c r="L191" s="58" t="s">
        <v>1180</v>
      </c>
      <c r="M191" s="58" t="s">
        <v>1162</v>
      </c>
    </row>
    <row r="192" spans="1:13" s="44" customFormat="1" ht="15" customHeight="1" x14ac:dyDescent="0.25">
      <c r="A192" s="57"/>
      <c r="B192" s="57"/>
      <c r="C192" s="57"/>
      <c r="D192" s="57"/>
      <c r="E192" s="58">
        <v>31</v>
      </c>
      <c r="F192" s="57" t="s">
        <v>2201</v>
      </c>
      <c r="G192" s="58" t="s">
        <v>1060</v>
      </c>
      <c r="H192" s="58">
        <v>1</v>
      </c>
      <c r="I192" s="58">
        <v>20</v>
      </c>
      <c r="J192" s="58" t="s">
        <v>1872</v>
      </c>
      <c r="K192" s="58" t="s">
        <v>1199</v>
      </c>
      <c r="L192" s="58" t="s">
        <v>1181</v>
      </c>
      <c r="M192" s="58" t="s">
        <v>1163</v>
      </c>
    </row>
    <row r="193" spans="1:17" s="44" customFormat="1" ht="15" customHeight="1" x14ac:dyDescent="0.25">
      <c r="A193" s="57"/>
      <c r="B193" s="57"/>
      <c r="C193" s="57"/>
      <c r="D193" s="57"/>
      <c r="E193" s="58">
        <v>32</v>
      </c>
      <c r="F193" s="57" t="s">
        <v>2202</v>
      </c>
      <c r="G193" s="58" t="s">
        <v>1061</v>
      </c>
      <c r="H193" s="58">
        <v>1</v>
      </c>
      <c r="I193" s="58">
        <v>20</v>
      </c>
      <c r="J193" s="58" t="s">
        <v>1216</v>
      </c>
      <c r="K193" s="58" t="s">
        <v>2203</v>
      </c>
      <c r="L193" s="58" t="s">
        <v>1868</v>
      </c>
      <c r="M193" s="58" t="s">
        <v>1164</v>
      </c>
    </row>
    <row r="194" spans="1:17" s="44" customFormat="1" ht="15" customHeight="1" x14ac:dyDescent="0.25">
      <c r="A194" s="57"/>
      <c r="B194" s="57"/>
      <c r="C194" s="57"/>
      <c r="D194" s="57"/>
      <c r="E194" s="58">
        <v>33</v>
      </c>
      <c r="F194" s="57" t="s">
        <v>2204</v>
      </c>
      <c r="G194" s="58" t="s">
        <v>1062</v>
      </c>
      <c r="H194" s="58">
        <v>1</v>
      </c>
      <c r="I194" s="58">
        <v>20</v>
      </c>
      <c r="J194" s="58" t="s">
        <v>1217</v>
      </c>
      <c r="K194" s="58" t="s">
        <v>1200</v>
      </c>
      <c r="L194" s="58" t="s">
        <v>1182</v>
      </c>
      <c r="M194" s="58" t="s">
        <v>1165</v>
      </c>
    </row>
    <row r="195" spans="1:17" s="44" customFormat="1" ht="15" customHeight="1" x14ac:dyDescent="0.25">
      <c r="A195" s="57"/>
      <c r="B195" s="57"/>
      <c r="C195" s="57"/>
      <c r="D195" s="57"/>
      <c r="E195" s="58">
        <v>34</v>
      </c>
      <c r="F195" s="57" t="s">
        <v>2205</v>
      </c>
      <c r="G195" s="58" t="s">
        <v>1063</v>
      </c>
      <c r="H195" s="58">
        <v>1</v>
      </c>
      <c r="I195" s="58">
        <v>20</v>
      </c>
      <c r="J195" s="58" t="s">
        <v>1218</v>
      </c>
      <c r="K195" s="58" t="s">
        <v>1201</v>
      </c>
      <c r="L195" s="58" t="s">
        <v>1183</v>
      </c>
      <c r="M195" s="58" t="s">
        <v>1166</v>
      </c>
    </row>
    <row r="196" spans="1:17" s="44" customFormat="1" ht="15" customHeight="1" x14ac:dyDescent="0.25">
      <c r="A196" s="57"/>
      <c r="B196" s="57"/>
      <c r="C196" s="57"/>
      <c r="D196" s="57"/>
      <c r="E196" s="58">
        <v>35</v>
      </c>
      <c r="F196" s="57" t="s">
        <v>2206</v>
      </c>
      <c r="G196" s="58" t="s">
        <v>1064</v>
      </c>
      <c r="H196" s="58">
        <v>1</v>
      </c>
      <c r="I196" s="58">
        <v>20</v>
      </c>
      <c r="J196" s="58" t="s">
        <v>1219</v>
      </c>
      <c r="K196" s="58" t="s">
        <v>1202</v>
      </c>
      <c r="L196" s="58" t="s">
        <v>1184</v>
      </c>
      <c r="M196" s="58" t="s">
        <v>1167</v>
      </c>
    </row>
    <row r="197" spans="1:17" s="44" customFormat="1" ht="15" customHeight="1" x14ac:dyDescent="0.25">
      <c r="A197" s="57"/>
      <c r="B197" s="57"/>
      <c r="C197" s="57"/>
      <c r="D197" s="57"/>
      <c r="E197" s="58">
        <v>36</v>
      </c>
      <c r="F197" s="57" t="s">
        <v>2207</v>
      </c>
      <c r="G197" s="58" t="s">
        <v>1065</v>
      </c>
      <c r="H197" s="58">
        <v>1</v>
      </c>
      <c r="I197" s="58">
        <v>20</v>
      </c>
      <c r="J197" s="58" t="s">
        <v>1220</v>
      </c>
      <c r="K197" s="58" t="s">
        <v>1203</v>
      </c>
      <c r="L197" s="58" t="s">
        <v>1185</v>
      </c>
      <c r="M197" s="58" t="s">
        <v>1168</v>
      </c>
    </row>
    <row r="198" spans="1:17" s="44" customFormat="1" ht="15" customHeight="1" x14ac:dyDescent="0.25">
      <c r="A198" s="57"/>
      <c r="B198" s="57"/>
      <c r="C198" s="57"/>
      <c r="D198" s="57"/>
      <c r="E198" s="58">
        <v>37</v>
      </c>
      <c r="F198" s="57" t="s">
        <v>2208</v>
      </c>
      <c r="G198" s="58" t="s">
        <v>1066</v>
      </c>
      <c r="H198" s="58">
        <v>1</v>
      </c>
      <c r="I198" s="58">
        <v>20</v>
      </c>
      <c r="J198" s="58" t="s">
        <v>1221</v>
      </c>
      <c r="K198" s="58" t="s">
        <v>1204</v>
      </c>
      <c r="L198" s="58" t="s">
        <v>1186</v>
      </c>
      <c r="M198" s="58" t="s">
        <v>1169</v>
      </c>
    </row>
    <row r="199" spans="1:17" s="44" customFormat="1" ht="15" customHeight="1" x14ac:dyDescent="0.25">
      <c r="A199" s="57"/>
      <c r="B199" s="57"/>
      <c r="C199" s="57"/>
      <c r="D199" s="57"/>
      <c r="E199" s="58">
        <v>38</v>
      </c>
      <c r="F199" s="57" t="s">
        <v>2209</v>
      </c>
      <c r="G199" s="58" t="s">
        <v>1067</v>
      </c>
      <c r="H199" s="58">
        <v>1</v>
      </c>
      <c r="I199" s="58">
        <v>20</v>
      </c>
      <c r="J199" s="58" t="s">
        <v>1222</v>
      </c>
      <c r="K199" s="58" t="s">
        <v>1205</v>
      </c>
      <c r="L199" s="58" t="s">
        <v>1187</v>
      </c>
      <c r="M199" s="58" t="s">
        <v>1170</v>
      </c>
    </row>
    <row r="200" spans="1:17" s="44" customFormat="1" ht="15" customHeight="1" x14ac:dyDescent="0.25">
      <c r="A200" s="57"/>
      <c r="B200" s="57"/>
      <c r="C200" s="57"/>
      <c r="D200" s="57"/>
      <c r="E200" s="58">
        <v>39</v>
      </c>
      <c r="F200" s="57" t="s">
        <v>2210</v>
      </c>
      <c r="G200" s="58" t="s">
        <v>1068</v>
      </c>
      <c r="H200" s="58">
        <v>1</v>
      </c>
      <c r="I200" s="58">
        <v>20</v>
      </c>
      <c r="J200" s="58" t="s">
        <v>1873</v>
      </c>
      <c r="K200" s="58" t="s">
        <v>1870</v>
      </c>
      <c r="L200" s="58" t="s">
        <v>1869</v>
      </c>
      <c r="M200" s="58" t="s">
        <v>1866</v>
      </c>
    </row>
    <row r="201" spans="1:17" s="44" customFormat="1" ht="15" customHeight="1" x14ac:dyDescent="0.25">
      <c r="A201" s="57"/>
      <c r="B201" s="57"/>
      <c r="C201" s="57"/>
      <c r="D201" s="57"/>
      <c r="E201" s="58">
        <v>40</v>
      </c>
      <c r="F201" s="57" t="s">
        <v>2211</v>
      </c>
      <c r="G201" s="58" t="s">
        <v>1069</v>
      </c>
      <c r="H201" s="58">
        <v>1</v>
      </c>
      <c r="I201" s="58">
        <v>20</v>
      </c>
      <c r="J201" s="58" t="s">
        <v>1223</v>
      </c>
      <c r="K201" s="58" t="s">
        <v>1206</v>
      </c>
      <c r="L201" s="58" t="s">
        <v>1188</v>
      </c>
      <c r="M201" s="58" t="s">
        <v>1867</v>
      </c>
    </row>
    <row r="202" spans="1:17" s="44" customFormat="1" ht="15" customHeight="1" x14ac:dyDescent="0.25">
      <c r="A202" s="62"/>
      <c r="B202" s="62"/>
      <c r="C202" s="62">
        <v>6</v>
      </c>
      <c r="D202" s="62" t="s">
        <v>1249</v>
      </c>
      <c r="E202" s="62">
        <v>1</v>
      </c>
      <c r="F202" s="64" t="s">
        <v>2538</v>
      </c>
      <c r="G202" s="62" t="s">
        <v>2338</v>
      </c>
      <c r="H202" s="62">
        <v>1</v>
      </c>
      <c r="I202" s="62">
        <v>20</v>
      </c>
      <c r="J202" s="63" t="s">
        <v>2378</v>
      </c>
      <c r="K202" s="63" t="s">
        <v>2379</v>
      </c>
      <c r="L202" s="63" t="s">
        <v>2380</v>
      </c>
      <c r="M202" s="63" t="s">
        <v>2381</v>
      </c>
      <c r="N202" s="44" t="str">
        <f>CONCATENATE("a. ",(J202))</f>
        <v>a. a. He left his son in Egypt.</v>
      </c>
      <c r="O202" s="44" t="str">
        <f>CONCATENATE("b. ",(K202))</f>
        <v>b. b. He became king when he was a baby.</v>
      </c>
      <c r="P202" s="44" t="str">
        <f>CONCATENATE("c. ",(L202))</f>
        <v>c. c. He participated in the overthrow of Hosni Mubarak.</v>
      </c>
      <c r="Q202" s="44" t="str">
        <f>CONCATENATE("d. ",(M202))</f>
        <v>d. d. He has declared plans to return to Egypt.</v>
      </c>
    </row>
    <row r="203" spans="1:17" s="44" customFormat="1" ht="15" customHeight="1" x14ac:dyDescent="0.25">
      <c r="A203" s="62"/>
      <c r="B203" s="62"/>
      <c r="C203" s="62"/>
      <c r="D203" s="62" t="s">
        <v>1988</v>
      </c>
      <c r="E203" s="62">
        <v>2</v>
      </c>
      <c r="F203" s="64" t="s">
        <v>2334</v>
      </c>
      <c r="G203" s="62" t="s">
        <v>2339</v>
      </c>
      <c r="H203" s="62">
        <v>1</v>
      </c>
      <c r="I203" s="62">
        <v>20</v>
      </c>
      <c r="J203" s="63" t="s">
        <v>2382</v>
      </c>
      <c r="K203" s="63" t="s">
        <v>2383</v>
      </c>
      <c r="L203" s="63" t="s">
        <v>2384</v>
      </c>
      <c r="M203" s="63" t="s">
        <v>2385</v>
      </c>
      <c r="N203" s="44" t="str">
        <f t="shared" ref="N203:N241" si="12">CONCATENATE("a. ",(J203))</f>
        <v>a. a. To get help with drug addiction.</v>
      </c>
      <c r="O203" s="44" t="str">
        <f t="shared" ref="O203:O241" si="13">CONCATENATE("b. ",(K203))</f>
        <v>b. b. To help a friend with behavioral problems.</v>
      </c>
      <c r="P203" s="44" t="str">
        <f t="shared" ref="P203:P241" si="14">CONCATENATE("c. ",(L203))</f>
        <v>c. c. To get help for a mental disorder.</v>
      </c>
      <c r="Q203" s="44" t="str">
        <f t="shared" ref="Q203:Q241" si="15">CONCATENATE("d. ",(M203))</f>
        <v xml:space="preserve">d. d. To research a novel.                                                                                                           </v>
      </c>
    </row>
    <row r="204" spans="1:17" s="44" customFormat="1" ht="15" customHeight="1" x14ac:dyDescent="0.25">
      <c r="A204" s="62"/>
      <c r="B204" s="62"/>
      <c r="C204" s="62"/>
      <c r="D204" s="62" t="s">
        <v>8972</v>
      </c>
      <c r="E204" s="62">
        <v>3</v>
      </c>
      <c r="F204" s="64" t="s">
        <v>2539</v>
      </c>
      <c r="G204" s="62" t="s">
        <v>2340</v>
      </c>
      <c r="H204" s="62">
        <v>1</v>
      </c>
      <c r="I204" s="62">
        <v>20</v>
      </c>
      <c r="J204" s="63" t="s">
        <v>2386</v>
      </c>
      <c r="K204" s="63" t="s">
        <v>2387</v>
      </c>
      <c r="L204" s="63" t="s">
        <v>2388</v>
      </c>
      <c r="M204" s="63" t="s">
        <v>2389</v>
      </c>
      <c r="N204" s="44" t="str">
        <f t="shared" si="12"/>
        <v>a. a. Markpress helped the Nigerian Government</v>
      </c>
      <c r="O204" s="44" t="str">
        <f t="shared" si="13"/>
        <v>b. b. A public relations agency changed the way people saw war</v>
      </c>
      <c r="P204" s="44" t="str">
        <f t="shared" si="14"/>
        <v>c. c. People in the west ignored  the Biafran war</v>
      </c>
      <c r="Q204" s="44" t="str">
        <f t="shared" si="15"/>
        <v>d. d. The Biafran  government transformed  relations with the West</v>
      </c>
    </row>
    <row r="205" spans="1:17" s="44" customFormat="1" ht="15" customHeight="1" x14ac:dyDescent="0.25">
      <c r="A205" s="62"/>
      <c r="B205" s="62"/>
      <c r="C205" s="62"/>
      <c r="D205" s="62"/>
      <c r="E205" s="62">
        <v>4</v>
      </c>
      <c r="F205" s="64" t="s">
        <v>2540</v>
      </c>
      <c r="G205" s="62" t="s">
        <v>2341</v>
      </c>
      <c r="H205" s="62">
        <v>1</v>
      </c>
      <c r="I205" s="62">
        <v>20</v>
      </c>
      <c r="J205" s="63" t="s">
        <v>2390</v>
      </c>
      <c r="K205" s="63" t="s">
        <v>2391</v>
      </c>
      <c r="L205" s="63" t="s">
        <v>2392</v>
      </c>
      <c r="M205" s="63" t="s">
        <v>2393</v>
      </c>
      <c r="N205" s="44" t="str">
        <f t="shared" si="12"/>
        <v>a. a. The truth about the seven dwarfs</v>
      </c>
      <c r="O205" s="44" t="str">
        <f t="shared" si="13"/>
        <v>b. b. There are no diamond mines any more</v>
      </c>
      <c r="P205" s="44" t="str">
        <f t="shared" si="14"/>
        <v>c. c. There is a shortage of miners</v>
      </c>
      <c r="Q205" s="44" t="str">
        <f t="shared" si="15"/>
        <v>d. d. Fewer Americans do physically demanding work</v>
      </c>
    </row>
    <row r="206" spans="1:17" s="44" customFormat="1" ht="15" customHeight="1" x14ac:dyDescent="0.25">
      <c r="A206" s="62"/>
      <c r="B206" s="62"/>
      <c r="C206" s="62"/>
      <c r="D206" s="62"/>
      <c r="E206" s="62">
        <v>5</v>
      </c>
      <c r="F206" s="64" t="s">
        <v>2541</v>
      </c>
      <c r="G206" s="62" t="s">
        <v>2342</v>
      </c>
      <c r="H206" s="62">
        <v>1</v>
      </c>
      <c r="I206" s="62">
        <v>20</v>
      </c>
      <c r="J206" s="63" t="s">
        <v>2394</v>
      </c>
      <c r="K206" s="63" t="s">
        <v>2395</v>
      </c>
      <c r="L206" s="63" t="s">
        <v>2396</v>
      </c>
      <c r="M206" s="63" t="s">
        <v>2397</v>
      </c>
      <c r="N206" s="44" t="str">
        <f t="shared" si="12"/>
        <v>a. a. It has cut economic ties with the Syrian regime</v>
      </c>
      <c r="O206" s="44" t="str">
        <f t="shared" si="13"/>
        <v>b. b. It has objected to Syrian  treatment of demonstrators</v>
      </c>
      <c r="P206" s="44" t="str">
        <f t="shared" si="14"/>
        <v>c. c. It found a new way to deal with dissidents</v>
      </c>
      <c r="Q206" s="44" t="str">
        <f t="shared" si="15"/>
        <v>d. d. It consulted with other Arab nations</v>
      </c>
    </row>
    <row r="207" spans="1:17" s="44" customFormat="1" ht="15" customHeight="1" x14ac:dyDescent="0.25">
      <c r="A207" s="62"/>
      <c r="B207" s="62"/>
      <c r="C207" s="62"/>
      <c r="D207" s="62"/>
      <c r="E207" s="62">
        <v>6</v>
      </c>
      <c r="F207" s="64" t="s">
        <v>2542</v>
      </c>
      <c r="G207" s="62" t="s">
        <v>2343</v>
      </c>
      <c r="H207" s="62">
        <v>1</v>
      </c>
      <c r="I207" s="62">
        <v>20</v>
      </c>
      <c r="J207" s="63" t="s">
        <v>2398</v>
      </c>
      <c r="K207" s="63" t="s">
        <v>2399</v>
      </c>
      <c r="L207" s="63" t="s">
        <v>2400</v>
      </c>
      <c r="M207" s="63" t="s">
        <v>2401</v>
      </c>
      <c r="N207" s="44" t="str">
        <f t="shared" si="12"/>
        <v>a. a. It favours  targeting coercive measures on Syria’s  natural resources</v>
      </c>
      <c r="O207" s="44" t="str">
        <f t="shared" si="13"/>
        <v xml:space="preserve">b. b. It has suggested December as a deadline for a decision to be taken </v>
      </c>
      <c r="P207" s="44" t="str">
        <f t="shared" si="14"/>
        <v>c. c. It wants to punish ordinary citizens</v>
      </c>
      <c r="Q207" s="44" t="str">
        <f t="shared" si="15"/>
        <v>d. d. It disagrees with Peter Harling’s assessment of sanctions</v>
      </c>
    </row>
    <row r="208" spans="1:17" s="44" customFormat="1" ht="15" customHeight="1" x14ac:dyDescent="0.25">
      <c r="A208" s="62"/>
      <c r="B208" s="62"/>
      <c r="C208" s="62"/>
      <c r="D208" s="62"/>
      <c r="E208" s="62">
        <v>7</v>
      </c>
      <c r="F208" s="64" t="s">
        <v>2543</v>
      </c>
      <c r="G208" s="62" t="s">
        <v>2344</v>
      </c>
      <c r="H208" s="62">
        <v>1</v>
      </c>
      <c r="I208" s="62">
        <v>20</v>
      </c>
      <c r="J208" s="63" t="s">
        <v>2402</v>
      </c>
      <c r="K208" s="63" t="s">
        <v>2403</v>
      </c>
      <c r="L208" s="63" t="s">
        <v>2404</v>
      </c>
      <c r="M208" s="63" t="s">
        <v>2405</v>
      </c>
      <c r="N208" s="44" t="str">
        <f t="shared" si="12"/>
        <v>a. a. It is a place to care for wounded troops</v>
      </c>
      <c r="O208" s="44" t="str">
        <f t="shared" si="13"/>
        <v>b. b. It is a hospital and research centre</v>
      </c>
      <c r="P208" s="44" t="str">
        <f t="shared" si="14"/>
        <v>c. c. It is  devoted exclusively to the study of malaria</v>
      </c>
      <c r="Q208" s="44" t="str">
        <f t="shared" si="15"/>
        <v>d. d. The hospital is temporarily closed</v>
      </c>
    </row>
    <row r="209" spans="1:17" s="44" customFormat="1" ht="15" customHeight="1" x14ac:dyDescent="0.25">
      <c r="A209" s="62"/>
      <c r="B209" s="62"/>
      <c r="C209" s="62"/>
      <c r="D209" s="62"/>
      <c r="E209" s="62">
        <v>8</v>
      </c>
      <c r="F209" s="64" t="s">
        <v>2544</v>
      </c>
      <c r="G209" s="62" t="s">
        <v>2345</v>
      </c>
      <c r="H209" s="62">
        <v>1</v>
      </c>
      <c r="I209" s="62">
        <v>20</v>
      </c>
      <c r="J209" s="63" t="s">
        <v>2406</v>
      </c>
      <c r="K209" s="63" t="s">
        <v>2407</v>
      </c>
      <c r="L209" s="63" t="s">
        <v>2408</v>
      </c>
      <c r="M209" s="63" t="s">
        <v>2409</v>
      </c>
      <c r="N209" s="44" t="str">
        <f t="shared" si="12"/>
        <v>a. a. It is a hospital and research centre</v>
      </c>
      <c r="O209" s="44" t="str">
        <f t="shared" si="13"/>
        <v>b. b. They look more like trucks than cars</v>
      </c>
      <c r="P209" s="44" t="str">
        <f t="shared" si="14"/>
        <v>c. c. Some models require a lot of fuel</v>
      </c>
      <c r="Q209" s="44" t="str">
        <f t="shared" si="15"/>
        <v xml:space="preserve">d. d. There was a shortage of oil </v>
      </c>
    </row>
    <row r="210" spans="1:17" s="44" customFormat="1" ht="15" customHeight="1" x14ac:dyDescent="0.25">
      <c r="A210" s="62"/>
      <c r="B210" s="62"/>
      <c r="C210" s="62"/>
      <c r="D210" s="62"/>
      <c r="E210" s="62">
        <v>9</v>
      </c>
      <c r="F210" s="64" t="s">
        <v>2545</v>
      </c>
      <c r="G210" s="62" t="s">
        <v>2346</v>
      </c>
      <c r="H210" s="62">
        <v>1</v>
      </c>
      <c r="I210" s="62">
        <v>20</v>
      </c>
      <c r="J210" s="63" t="s">
        <v>2410</v>
      </c>
      <c r="K210" s="63" t="s">
        <v>2411</v>
      </c>
      <c r="L210" s="63" t="s">
        <v>2412</v>
      </c>
      <c r="M210" s="63" t="s">
        <v>2413</v>
      </c>
      <c r="N210" s="44" t="str">
        <f t="shared" si="12"/>
        <v>a. a. It is  devoted exclusively to the study of malaria</v>
      </c>
      <c r="O210" s="44" t="str">
        <f t="shared" si="13"/>
        <v>b. b. A survey found that young people don’t like it</v>
      </c>
      <c r="P210" s="44" t="str">
        <f t="shared" si="14"/>
        <v>c. c. It helps young people to gain work experience</v>
      </c>
      <c r="Q210" s="44" t="str">
        <f t="shared" si="15"/>
        <v>d. d. It is only suitable for specific age groups</v>
      </c>
    </row>
    <row r="211" spans="1:17" s="44" customFormat="1" ht="15" customHeight="1" x14ac:dyDescent="0.25">
      <c r="A211" s="62"/>
      <c r="B211" s="62"/>
      <c r="C211" s="62"/>
      <c r="D211" s="62"/>
      <c r="E211" s="62">
        <v>10</v>
      </c>
      <c r="F211" s="64" t="s">
        <v>2546</v>
      </c>
      <c r="G211" s="62" t="s">
        <v>2347</v>
      </c>
      <c r="H211" s="62">
        <v>1</v>
      </c>
      <c r="I211" s="62">
        <v>20</v>
      </c>
      <c r="J211" s="63" t="s">
        <v>2414</v>
      </c>
      <c r="K211" s="63" t="s">
        <v>2415</v>
      </c>
      <c r="L211" s="63" t="s">
        <v>2416</v>
      </c>
      <c r="M211" s="63" t="s">
        <v>2417</v>
      </c>
      <c r="N211" s="44" t="str">
        <f t="shared" si="12"/>
        <v>a. a. The hospital is temporarily closed</v>
      </c>
      <c r="O211" s="44" t="str">
        <f t="shared" si="13"/>
        <v>b. b. They organize tribute concerts to famous people</v>
      </c>
      <c r="P211" s="44" t="str">
        <f t="shared" si="14"/>
        <v>c. c. They first called themselves Musical Box</v>
      </c>
      <c r="Q211" s="44" t="str">
        <f t="shared" si="15"/>
        <v>d. d. Pink Floyd fans were interested in seeing them perform</v>
      </c>
    </row>
    <row r="212" spans="1:17" s="44" customFormat="1" ht="15" customHeight="1" x14ac:dyDescent="0.25">
      <c r="A212" s="62"/>
      <c r="B212" s="62"/>
      <c r="C212" s="62"/>
      <c r="D212" s="62"/>
      <c r="E212" s="62">
        <v>11</v>
      </c>
      <c r="F212" s="64" t="s">
        <v>2547</v>
      </c>
      <c r="G212" s="62" t="s">
        <v>2348</v>
      </c>
      <c r="H212" s="62">
        <v>1</v>
      </c>
      <c r="I212" s="62">
        <v>20</v>
      </c>
      <c r="J212" s="63" t="s">
        <v>2418</v>
      </c>
      <c r="K212" s="63" t="s">
        <v>2419</v>
      </c>
      <c r="L212" s="63" t="s">
        <v>2420</v>
      </c>
      <c r="M212" s="63" t="s">
        <v>2421</v>
      </c>
      <c r="N212" s="44" t="str">
        <f t="shared" si="12"/>
        <v>a. a. The reaction of the public to televising in a public space</v>
      </c>
      <c r="O212" s="44" t="str">
        <f t="shared" si="13"/>
        <v>b. b. How many hours broadcasting people can endure</v>
      </c>
      <c r="P212" s="44" t="str">
        <f t="shared" si="14"/>
        <v>c. c. If the content televised makes people shop more</v>
      </c>
      <c r="Q212" s="44" t="str">
        <f t="shared" si="15"/>
        <v>d. d. If people prefer watching TV in the square to at home</v>
      </c>
    </row>
    <row r="213" spans="1:17" s="44" customFormat="1" ht="15" customHeight="1" x14ac:dyDescent="0.25">
      <c r="A213" s="62"/>
      <c r="B213" s="62"/>
      <c r="C213" s="62"/>
      <c r="D213" s="62"/>
      <c r="E213" s="62">
        <v>12</v>
      </c>
      <c r="F213" s="64" t="s">
        <v>2548</v>
      </c>
      <c r="G213" s="62" t="s">
        <v>2349</v>
      </c>
      <c r="H213" s="62">
        <v>1</v>
      </c>
      <c r="I213" s="62">
        <v>20</v>
      </c>
      <c r="J213" s="63" t="s">
        <v>2422</v>
      </c>
      <c r="K213" s="63" t="s">
        <v>2423</v>
      </c>
      <c r="L213" s="63" t="s">
        <v>2424</v>
      </c>
      <c r="M213" s="63" t="s">
        <v>2425</v>
      </c>
      <c r="N213" s="44" t="str">
        <f t="shared" si="12"/>
        <v>a. a. It was a website where criminals could learn English</v>
      </c>
      <c r="O213" s="44" t="str">
        <f t="shared" si="13"/>
        <v>b. b. It facilitated breaking the law</v>
      </c>
      <c r="P213" s="44" t="str">
        <f t="shared" si="14"/>
        <v>c. c. Anyone could become a member</v>
      </c>
      <c r="Q213" s="44" t="str">
        <f t="shared" si="15"/>
        <v>d. d. It is still a thriving business</v>
      </c>
    </row>
    <row r="214" spans="1:17" s="44" customFormat="1" ht="15" customHeight="1" x14ac:dyDescent="0.25">
      <c r="A214" s="62"/>
      <c r="B214" s="62"/>
      <c r="C214" s="62"/>
      <c r="D214" s="62"/>
      <c r="E214" s="62">
        <v>13</v>
      </c>
      <c r="F214" s="64" t="s">
        <v>2549</v>
      </c>
      <c r="G214" s="62" t="s">
        <v>2350</v>
      </c>
      <c r="H214" s="62">
        <v>1</v>
      </c>
      <c r="I214" s="62">
        <v>20</v>
      </c>
      <c r="J214" s="63" t="s">
        <v>2426</v>
      </c>
      <c r="K214" s="63" t="s">
        <v>2427</v>
      </c>
      <c r="L214" s="63" t="s">
        <v>2428</v>
      </c>
      <c r="M214" s="63" t="s">
        <v>2429</v>
      </c>
      <c r="N214" s="44" t="str">
        <f t="shared" si="12"/>
        <v>a. a. There are never any mining disasters now</v>
      </c>
      <c r="O214" s="44" t="str">
        <f t="shared" si="13"/>
        <v>b. b. An attempt has been made to rescue 14 men and boys</v>
      </c>
      <c r="P214" s="44" t="str">
        <f t="shared" si="14"/>
        <v>c. c. In  Wales, mining is not as important as it was in the past</v>
      </c>
      <c r="Q214" s="44" t="str">
        <f t="shared" si="15"/>
        <v>d. d. Rescue workers did not expect to find the miners</v>
      </c>
    </row>
    <row r="215" spans="1:17" s="44" customFormat="1" ht="15" customHeight="1" x14ac:dyDescent="0.25">
      <c r="A215" s="62"/>
      <c r="B215" s="64"/>
      <c r="C215" s="62"/>
      <c r="D215" s="62"/>
      <c r="E215" s="62">
        <v>14</v>
      </c>
      <c r="F215" s="64" t="s">
        <v>2550</v>
      </c>
      <c r="G215" s="62" t="s">
        <v>2351</v>
      </c>
      <c r="H215" s="62">
        <v>1</v>
      </c>
      <c r="I215" s="62">
        <v>20</v>
      </c>
      <c r="J215" s="63" t="s">
        <v>2430</v>
      </c>
      <c r="K215" s="63" t="s">
        <v>2431</v>
      </c>
      <c r="L215" s="63" t="s">
        <v>2432</v>
      </c>
      <c r="M215" s="63" t="s">
        <v>2433</v>
      </c>
      <c r="N215" s="44" t="str">
        <f t="shared" si="12"/>
        <v>a. a. Ecuador couldn’t have a court case in  the US</v>
      </c>
      <c r="O215" s="44" t="str">
        <f t="shared" si="13"/>
        <v>b. b. Chevron is accused of contaminating the Ecuadorian rainforest</v>
      </c>
      <c r="P215" s="44" t="str">
        <f t="shared" si="14"/>
        <v>c. c. Chevron sold its assets in Ecuador to pay the compensation</v>
      </c>
      <c r="Q215" s="44" t="str">
        <f t="shared" si="15"/>
        <v>d. d. Chevron is an American construction company</v>
      </c>
    </row>
    <row r="216" spans="1:17" s="44" customFormat="1" ht="15" customHeight="1" x14ac:dyDescent="0.25">
      <c r="A216" s="62"/>
      <c r="B216" s="64"/>
      <c r="C216" s="62"/>
      <c r="D216" s="62"/>
      <c r="E216" s="62">
        <v>15</v>
      </c>
      <c r="F216" s="64" t="s">
        <v>2551</v>
      </c>
      <c r="G216" s="62" t="s">
        <v>2352</v>
      </c>
      <c r="H216" s="62">
        <v>1</v>
      </c>
      <c r="I216" s="62">
        <v>20</v>
      </c>
      <c r="J216" s="63" t="s">
        <v>2434</v>
      </c>
      <c r="K216" s="63" t="s">
        <v>2435</v>
      </c>
      <c r="L216" s="63" t="s">
        <v>2436</v>
      </c>
      <c r="M216" s="63" t="s">
        <v>2437</v>
      </c>
      <c r="N216" s="44" t="str">
        <f t="shared" si="12"/>
        <v>a. a. It has been performed for forty years</v>
      </c>
      <c r="O216" s="44" t="str">
        <f t="shared" si="13"/>
        <v>b. b. It was first staged in Russia</v>
      </c>
      <c r="P216" s="44" t="str">
        <f t="shared" si="14"/>
        <v>c. c. It has obtained excellent reviews in Austria</v>
      </c>
      <c r="Q216" s="44" t="str">
        <f t="shared" si="15"/>
        <v>d. d. It was written by an SS officer</v>
      </c>
    </row>
    <row r="217" spans="1:17" s="44" customFormat="1" ht="15" customHeight="1" x14ac:dyDescent="0.25">
      <c r="A217" s="62"/>
      <c r="B217" s="64"/>
      <c r="C217" s="62"/>
      <c r="D217" s="62"/>
      <c r="E217" s="62">
        <v>16</v>
      </c>
      <c r="F217" s="64" t="s">
        <v>2552</v>
      </c>
      <c r="G217" s="62" t="s">
        <v>2353</v>
      </c>
      <c r="H217" s="62">
        <v>1</v>
      </c>
      <c r="I217" s="62">
        <v>20</v>
      </c>
      <c r="J217" s="63" t="s">
        <v>2438</v>
      </c>
      <c r="K217" s="63" t="s">
        <v>2439</v>
      </c>
      <c r="L217" s="63" t="s">
        <v>2440</v>
      </c>
      <c r="M217" s="63" t="s">
        <v>2441</v>
      </c>
      <c r="N217" s="44" t="str">
        <f t="shared" si="12"/>
        <v>a. a. The cost has plummeted</v>
      </c>
      <c r="O217" s="44" t="str">
        <f t="shared" si="13"/>
        <v>b. b. It causes climate change</v>
      </c>
      <c r="P217" s="44" t="str">
        <f t="shared" si="14"/>
        <v>c. c. There is only half as much as before</v>
      </c>
      <c r="Q217" s="44" t="str">
        <f t="shared" si="15"/>
        <v>d. d. It is being limited</v>
      </c>
    </row>
    <row r="218" spans="1:17" s="44" customFormat="1" ht="15" customHeight="1" x14ac:dyDescent="0.25">
      <c r="A218" s="62"/>
      <c r="B218" s="64"/>
      <c r="C218" s="62"/>
      <c r="D218" s="62"/>
      <c r="E218" s="62">
        <v>17</v>
      </c>
      <c r="F218" s="64" t="s">
        <v>2553</v>
      </c>
      <c r="G218" s="62" t="s">
        <v>2354</v>
      </c>
      <c r="H218" s="62">
        <v>1</v>
      </c>
      <c r="I218" s="62">
        <v>20</v>
      </c>
      <c r="J218" s="63" t="s">
        <v>2442</v>
      </c>
      <c r="K218" s="63" t="s">
        <v>2443</v>
      </c>
      <c r="L218" s="63" t="s">
        <v>2444</v>
      </c>
      <c r="M218" s="63" t="s">
        <v>2445</v>
      </c>
      <c r="N218" s="44" t="str">
        <f t="shared" si="12"/>
        <v>a. a. They crash into the Earth very infrequently</v>
      </c>
      <c r="O218" s="44" t="str">
        <f t="shared" si="13"/>
        <v>b. b. All of them burn up</v>
      </c>
      <c r="P218" s="44" t="str">
        <f t="shared" si="14"/>
        <v>c. c. They last for a year</v>
      </c>
      <c r="Q218" s="44" t="str">
        <f t="shared" si="15"/>
        <v>d. d. They survive the impact</v>
      </c>
    </row>
    <row r="219" spans="1:17" s="44" customFormat="1" ht="15" customHeight="1" x14ac:dyDescent="0.25">
      <c r="A219" s="62"/>
      <c r="B219" s="64"/>
      <c r="C219" s="62"/>
      <c r="D219" s="62"/>
      <c r="E219" s="62">
        <v>18</v>
      </c>
      <c r="F219" s="64" t="s">
        <v>2554</v>
      </c>
      <c r="G219" s="62" t="s">
        <v>2355</v>
      </c>
      <c r="H219" s="62">
        <v>1</v>
      </c>
      <c r="I219" s="62">
        <v>20</v>
      </c>
      <c r="J219" s="63" t="s">
        <v>2446</v>
      </c>
      <c r="K219" s="63" t="s">
        <v>2447</v>
      </c>
      <c r="L219" s="63" t="s">
        <v>2448</v>
      </c>
      <c r="M219" s="63" t="s">
        <v>2449</v>
      </c>
      <c r="N219" s="44" t="str">
        <f t="shared" si="12"/>
        <v>a. a. It is impossible to save now</v>
      </c>
      <c r="O219" s="44" t="str">
        <f t="shared" si="13"/>
        <v>b. b. Money is losing its original qualities</v>
      </c>
      <c r="P219" s="44" t="str">
        <f t="shared" si="14"/>
        <v>c. c. Credit cards have completely substituted cash</v>
      </c>
      <c r="Q219" s="44" t="str">
        <f t="shared" si="15"/>
        <v xml:space="preserve">d. d. Today, money has an eerie quality  </v>
      </c>
    </row>
    <row r="220" spans="1:17" s="44" customFormat="1" ht="15" customHeight="1" x14ac:dyDescent="0.25">
      <c r="A220" s="62"/>
      <c r="B220" s="64"/>
      <c r="C220" s="62"/>
      <c r="D220" s="62"/>
      <c r="E220" s="62">
        <v>19</v>
      </c>
      <c r="F220" s="64" t="s">
        <v>2555</v>
      </c>
      <c r="G220" s="62" t="s">
        <v>2356</v>
      </c>
      <c r="H220" s="62">
        <v>1</v>
      </c>
      <c r="I220" s="62">
        <v>20</v>
      </c>
      <c r="J220" s="63" t="s">
        <v>2450</v>
      </c>
      <c r="K220" s="63" t="s">
        <v>2451</v>
      </c>
      <c r="L220" s="63" t="s">
        <v>2452</v>
      </c>
      <c r="M220" s="63" t="s">
        <v>2453</v>
      </c>
      <c r="N220" s="44" t="str">
        <f t="shared" si="12"/>
        <v>a. a. She thinks it is a cosmetic reform</v>
      </c>
      <c r="O220" s="44" t="str">
        <f t="shared" si="13"/>
        <v>b. b. She thinks women won’t be allowed to drive</v>
      </c>
      <c r="P220" s="44" t="str">
        <f t="shared" si="14"/>
        <v>c. c. It implies they will eventually have other freedoms</v>
      </c>
      <c r="Q220" s="44" t="str">
        <f t="shared" si="15"/>
        <v>d. d. Men will then be pro-active</v>
      </c>
    </row>
    <row r="221" spans="1:17" s="44" customFormat="1" ht="15" customHeight="1" x14ac:dyDescent="0.25">
      <c r="A221" s="62"/>
      <c r="B221" s="64"/>
      <c r="C221" s="62"/>
      <c r="D221" s="62"/>
      <c r="E221" s="62">
        <v>20</v>
      </c>
      <c r="F221" s="64" t="s">
        <v>2556</v>
      </c>
      <c r="G221" s="62" t="s">
        <v>2357</v>
      </c>
      <c r="H221" s="62">
        <v>1</v>
      </c>
      <c r="I221" s="62">
        <v>20</v>
      </c>
      <c r="J221" s="63" t="s">
        <v>2454</v>
      </c>
      <c r="K221" s="63" t="s">
        <v>2455</v>
      </c>
      <c r="L221" s="63" t="s">
        <v>2456</v>
      </c>
      <c r="M221" s="63" t="s">
        <v>2457</v>
      </c>
      <c r="N221" s="44" t="str">
        <f t="shared" si="12"/>
        <v>a. a. Cloning babies is a reality now</v>
      </c>
      <c r="O221" s="44" t="str">
        <f t="shared" si="13"/>
        <v>b. b. Cloning technology should not be abused</v>
      </c>
      <c r="P221" s="44" t="str">
        <f t="shared" si="14"/>
        <v>c. c. Stem cells are easy to obtain</v>
      </c>
      <c r="Q221" s="44" t="str">
        <f t="shared" si="15"/>
        <v>d. d. The public supports reproductive cloning</v>
      </c>
    </row>
    <row r="222" spans="1:17" s="44" customFormat="1" ht="15" customHeight="1" x14ac:dyDescent="0.25">
      <c r="A222" s="62"/>
      <c r="B222" s="64"/>
      <c r="C222" s="62"/>
      <c r="D222" s="62"/>
      <c r="E222" s="62">
        <v>21</v>
      </c>
      <c r="F222" s="64" t="s">
        <v>2557</v>
      </c>
      <c r="G222" s="62" t="s">
        <v>2358</v>
      </c>
      <c r="H222" s="62">
        <v>1</v>
      </c>
      <c r="I222" s="62">
        <v>20</v>
      </c>
      <c r="J222" s="63" t="s">
        <v>2458</v>
      </c>
      <c r="K222" s="63" t="s">
        <v>2459</v>
      </c>
      <c r="L222" s="63" t="s">
        <v>2460</v>
      </c>
      <c r="M222" s="63" t="s">
        <v>2461</v>
      </c>
      <c r="N222" s="44" t="str">
        <f t="shared" si="12"/>
        <v>a. a.  Arafat was the first terrorist ever to speak at the UN</v>
      </c>
      <c r="O222" s="44" t="str">
        <f t="shared" si="13"/>
        <v>b. b. The PLO requested a hearing in the United Nations</v>
      </c>
      <c r="P222" s="44" t="str">
        <f t="shared" si="14"/>
        <v>c. c. Arafat received an invitation to speak at the UN</v>
      </c>
      <c r="Q222" s="44" t="str">
        <f t="shared" si="15"/>
        <v xml:space="preserve">d. d. Israelis and Jewish groups boycotted the event </v>
      </c>
    </row>
    <row r="223" spans="1:17" s="44" customFormat="1" ht="15" customHeight="1" x14ac:dyDescent="0.25">
      <c r="A223" s="62"/>
      <c r="B223" s="64"/>
      <c r="C223" s="62"/>
      <c r="D223" s="62"/>
      <c r="E223" s="62">
        <v>22</v>
      </c>
      <c r="F223" s="64" t="s">
        <v>2558</v>
      </c>
      <c r="G223" s="62" t="s">
        <v>2359</v>
      </c>
      <c r="H223" s="62">
        <v>1</v>
      </c>
      <c r="I223" s="62">
        <v>20</v>
      </c>
      <c r="J223" s="63" t="s">
        <v>2462</v>
      </c>
      <c r="K223" s="63" t="s">
        <v>2463</v>
      </c>
      <c r="L223" s="63" t="s">
        <v>2464</v>
      </c>
      <c r="M223" s="63" t="s">
        <v>2465</v>
      </c>
      <c r="N223" s="44" t="str">
        <f t="shared" si="12"/>
        <v>a. a. They confronted government soldiers at a fundraising event</v>
      </c>
      <c r="O223" s="44" t="str">
        <f t="shared" si="13"/>
        <v>b. b. They tried to make  Gadaffi’s soldiers conscious of their actions</v>
      </c>
      <c r="P223" s="44" t="str">
        <f t="shared" si="14"/>
        <v>c. c. They sold compact discs of Western music</v>
      </c>
      <c r="Q223" s="44" t="str">
        <f t="shared" si="15"/>
        <v>d. d. They tried to get into politics</v>
      </c>
    </row>
    <row r="224" spans="1:17" s="44" customFormat="1" ht="15" customHeight="1" x14ac:dyDescent="0.25">
      <c r="A224" s="62"/>
      <c r="B224" s="64"/>
      <c r="C224" s="62"/>
      <c r="D224" s="62"/>
      <c r="E224" s="62">
        <v>23</v>
      </c>
      <c r="F224" s="64" t="s">
        <v>2559</v>
      </c>
      <c r="G224" s="62" t="s">
        <v>2360</v>
      </c>
      <c r="H224" s="62">
        <v>1</v>
      </c>
      <c r="I224" s="62">
        <v>20</v>
      </c>
      <c r="J224" s="63" t="s">
        <v>2466</v>
      </c>
      <c r="K224" s="63" t="s">
        <v>2467</v>
      </c>
      <c r="L224" s="63" t="s">
        <v>2468</v>
      </c>
      <c r="M224" s="63" t="s">
        <v>2469</v>
      </c>
      <c r="N224" s="44" t="str">
        <f t="shared" si="12"/>
        <v>a. a. Daily demonstrations have been going on for a century</v>
      </c>
      <c r="O224" s="44" t="str">
        <f t="shared" si="13"/>
        <v>b. b. Historically, protesters represented a wide range of political opinions</v>
      </c>
      <c r="P224" s="44" t="str">
        <f t="shared" si="14"/>
        <v>c. c. In the 20th century demonstrations became fewer and fewer</v>
      </c>
      <c r="Q224" s="44" t="str">
        <f t="shared" si="15"/>
        <v>d. d. At the moment, protesters have occupied the JP Morgan building</v>
      </c>
    </row>
    <row r="225" spans="1:17" s="44" customFormat="1" ht="15" customHeight="1" x14ac:dyDescent="0.25">
      <c r="A225" s="62"/>
      <c r="B225" s="64"/>
      <c r="C225" s="64"/>
      <c r="D225" s="64"/>
      <c r="E225" s="62">
        <v>24</v>
      </c>
      <c r="F225" s="64" t="s">
        <v>2560</v>
      </c>
      <c r="G225" s="62" t="s">
        <v>2361</v>
      </c>
      <c r="H225" s="62">
        <v>1</v>
      </c>
      <c r="I225" s="62">
        <v>20</v>
      </c>
      <c r="J225" s="63" t="s">
        <v>2470</v>
      </c>
      <c r="K225" s="63" t="s">
        <v>2471</v>
      </c>
      <c r="L225" s="63" t="s">
        <v>2472</v>
      </c>
      <c r="M225" s="63" t="s">
        <v>2473</v>
      </c>
      <c r="N225" s="44" t="str">
        <f t="shared" si="12"/>
        <v xml:space="preserve">a. a. He kept in regular contact with his parents </v>
      </c>
      <c r="O225" s="44" t="str">
        <f t="shared" si="13"/>
        <v>b. b. He went to Yemen and Pakistan  to fight with the Taliban</v>
      </c>
      <c r="P225" s="44" t="str">
        <f t="shared" si="14"/>
        <v>c. c. He was involved in the September 11th attacks</v>
      </c>
      <c r="Q225" s="44" t="str">
        <f t="shared" si="15"/>
        <v>d. d. His parents believe he was wrongly accused</v>
      </c>
    </row>
    <row r="226" spans="1:17" s="44" customFormat="1" ht="15" customHeight="1" x14ac:dyDescent="0.25">
      <c r="A226" s="62"/>
      <c r="B226" s="64"/>
      <c r="C226" s="64"/>
      <c r="D226" s="64"/>
      <c r="E226" s="62">
        <v>25</v>
      </c>
      <c r="F226" s="64" t="s">
        <v>2335</v>
      </c>
      <c r="G226" s="62" t="s">
        <v>2362</v>
      </c>
      <c r="H226" s="62">
        <v>1</v>
      </c>
      <c r="I226" s="62">
        <v>20</v>
      </c>
      <c r="J226" s="63" t="s">
        <v>2474</v>
      </c>
      <c r="K226" s="63" t="s">
        <v>2475</v>
      </c>
      <c r="L226" s="63" t="s">
        <v>2476</v>
      </c>
      <c r="M226" s="63" t="s">
        <v>2477</v>
      </c>
      <c r="N226" s="44" t="str">
        <f t="shared" si="12"/>
        <v>a. a. It was found only in select  places</v>
      </c>
      <c r="O226" s="44" t="str">
        <f t="shared" si="13"/>
        <v>b. b. It was used in the ghettoes during the New Orleans floods</v>
      </c>
      <c r="P226" s="44" t="str">
        <f t="shared" si="14"/>
        <v>c. c. It was imported into the US from Vietnam by right-wing gun clubs</v>
      </c>
      <c r="Q226" s="44" t="str">
        <f t="shared" si="15"/>
        <v>d. d. The factory will stay open  to meet the demand</v>
      </c>
    </row>
    <row r="227" spans="1:17" s="44" customFormat="1" ht="15" customHeight="1" x14ac:dyDescent="0.25">
      <c r="A227" s="62"/>
      <c r="B227" s="64"/>
      <c r="C227" s="64"/>
      <c r="D227" s="64"/>
      <c r="E227" s="62">
        <v>26</v>
      </c>
      <c r="F227" s="64" t="s">
        <v>2561</v>
      </c>
      <c r="G227" s="62" t="s">
        <v>2363</v>
      </c>
      <c r="H227" s="62">
        <v>1</v>
      </c>
      <c r="I227" s="62">
        <v>20</v>
      </c>
      <c r="J227" s="63" t="s">
        <v>2478</v>
      </c>
      <c r="K227" s="63" t="s">
        <v>2479</v>
      </c>
      <c r="L227" s="63" t="s">
        <v>2480</v>
      </c>
      <c r="M227" s="63" t="s">
        <v>2481</v>
      </c>
      <c r="N227" s="44" t="str">
        <f t="shared" si="12"/>
        <v>a. a. Self diagnosis is on the increase</v>
      </c>
      <c r="O227" s="44" t="str">
        <f t="shared" si="13"/>
        <v>b. b. A doctor who bought drugs on the internet died</v>
      </c>
      <c r="P227" s="44" t="str">
        <f t="shared" si="14"/>
        <v>c. c. It is easy to tell when websites are false</v>
      </c>
      <c r="Q227" s="44" t="str">
        <f t="shared" si="15"/>
        <v>d. d. Viagra and tranquillizers are the most popular drugs on the internet</v>
      </c>
    </row>
    <row r="228" spans="1:17" s="44" customFormat="1" ht="15" customHeight="1" x14ac:dyDescent="0.25">
      <c r="A228" s="62"/>
      <c r="B228" s="64"/>
      <c r="C228" s="64"/>
      <c r="D228" s="64"/>
      <c r="E228" s="62">
        <v>27</v>
      </c>
      <c r="F228" s="64" t="s">
        <v>2562</v>
      </c>
      <c r="G228" s="62" t="s">
        <v>2364</v>
      </c>
      <c r="H228" s="62">
        <v>1</v>
      </c>
      <c r="I228" s="62">
        <v>20</v>
      </c>
      <c r="J228" s="63" t="s">
        <v>2482</v>
      </c>
      <c r="K228" s="63" t="s">
        <v>2483</v>
      </c>
      <c r="L228" s="63" t="s">
        <v>2484</v>
      </c>
      <c r="M228" s="63" t="s">
        <v>2485</v>
      </c>
      <c r="N228" s="44" t="str">
        <f t="shared" si="12"/>
        <v>a. a. He enjoys being connected all the time</v>
      </c>
      <c r="O228" s="44" t="str">
        <f t="shared" si="13"/>
        <v>b. b. The events he sees on the net have an unreal quality</v>
      </c>
      <c r="P228" s="44" t="str">
        <f t="shared" si="14"/>
        <v>c. c. He’s worried in case he gets a message during the night</v>
      </c>
      <c r="Q228" s="44" t="str">
        <f t="shared" si="15"/>
        <v>d. d. He doesn’t bother with social networks</v>
      </c>
    </row>
    <row r="229" spans="1:17" s="44" customFormat="1" ht="15" customHeight="1" x14ac:dyDescent="0.25">
      <c r="A229" s="62"/>
      <c r="B229" s="64"/>
      <c r="C229" s="64"/>
      <c r="D229" s="64"/>
      <c r="E229" s="62">
        <v>28</v>
      </c>
      <c r="F229" s="64" t="s">
        <v>2563</v>
      </c>
      <c r="G229" s="62" t="s">
        <v>2365</v>
      </c>
      <c r="H229" s="62">
        <v>1</v>
      </c>
      <c r="I229" s="62">
        <v>20</v>
      </c>
      <c r="J229" s="63" t="s">
        <v>2486</v>
      </c>
      <c r="K229" s="63" t="s">
        <v>2487</v>
      </c>
      <c r="L229" s="63" t="s">
        <v>2488</v>
      </c>
      <c r="M229" s="63" t="s">
        <v>2489</v>
      </c>
      <c r="N229" s="44" t="str">
        <f t="shared" si="12"/>
        <v>a. a. Child deaths are more frequent in Canada</v>
      </c>
      <c r="O229" s="44" t="str">
        <f t="shared" si="13"/>
        <v>b. b. Parents have no rights in Ontario, Canada</v>
      </c>
      <c r="P229" s="44" t="str">
        <f t="shared" si="14"/>
        <v>c. c. Parents are sometimes mistakenly accused of murder</v>
      </c>
      <c r="Q229" s="44" t="str">
        <f t="shared" si="15"/>
        <v>d. d. Experts never make mistakes in diagnosing the cause of death</v>
      </c>
    </row>
    <row r="230" spans="1:17" s="44" customFormat="1" ht="15" customHeight="1" x14ac:dyDescent="0.25">
      <c r="A230" s="62"/>
      <c r="B230" s="64"/>
      <c r="C230" s="64"/>
      <c r="D230" s="64"/>
      <c r="E230" s="62">
        <v>29</v>
      </c>
      <c r="F230" s="64" t="s">
        <v>2564</v>
      </c>
      <c r="G230" s="62" t="s">
        <v>2366</v>
      </c>
      <c r="H230" s="62">
        <v>1</v>
      </c>
      <c r="I230" s="62">
        <v>20</v>
      </c>
      <c r="J230" s="63" t="s">
        <v>2490</v>
      </c>
      <c r="K230" s="63" t="s">
        <v>2491</v>
      </c>
      <c r="L230" s="63" t="s">
        <v>2492</v>
      </c>
      <c r="M230" s="63" t="s">
        <v>2493</v>
      </c>
      <c r="N230" s="44" t="str">
        <f t="shared" si="12"/>
        <v>a. a. He was protesting against torture in Iranian prisons</v>
      </c>
      <c r="O230" s="44" t="str">
        <f t="shared" si="13"/>
        <v>b. b. He studied abroad for a time</v>
      </c>
      <c r="P230" s="44" t="str">
        <f t="shared" si="14"/>
        <v>c. c. He  was ignored by the international community</v>
      </c>
      <c r="Q230" s="44" t="str">
        <f t="shared" si="15"/>
        <v>d. d. He became a Canadian citizen</v>
      </c>
    </row>
    <row r="231" spans="1:17" s="44" customFormat="1" ht="15" customHeight="1" x14ac:dyDescent="0.25">
      <c r="A231" s="62"/>
      <c r="B231" s="64"/>
      <c r="C231" s="64"/>
      <c r="D231" s="64"/>
      <c r="E231" s="62">
        <v>30</v>
      </c>
      <c r="F231" s="64" t="s">
        <v>2565</v>
      </c>
      <c r="G231" s="62" t="s">
        <v>2367</v>
      </c>
      <c r="H231" s="62">
        <v>1</v>
      </c>
      <c r="I231" s="62">
        <v>20</v>
      </c>
      <c r="J231" s="63" t="s">
        <v>2494</v>
      </c>
      <c r="K231" s="63" t="s">
        <v>2495</v>
      </c>
      <c r="L231" s="63" t="s">
        <v>2496</v>
      </c>
      <c r="M231" s="63" t="s">
        <v>2497</v>
      </c>
      <c r="N231" s="44" t="str">
        <f t="shared" si="12"/>
        <v>a. a. Passengers usually remember flight safety rules in an emergency</v>
      </c>
      <c r="O231" s="44" t="str">
        <f t="shared" si="13"/>
        <v>b. b. Courses on aircraft safety are now available on some airlines</v>
      </c>
      <c r="P231" s="44" t="str">
        <f t="shared" si="14"/>
        <v>c. c. If travelers do an airline safety course they receive frequent flyer points</v>
      </c>
      <c r="Q231" s="44" t="str">
        <f t="shared" si="15"/>
        <v>d. d. The course takes place in real-life situations</v>
      </c>
    </row>
    <row r="232" spans="1:17" s="44" customFormat="1" ht="15" customHeight="1" x14ac:dyDescent="0.25">
      <c r="A232" s="62"/>
      <c r="B232" s="64"/>
      <c r="C232" s="64"/>
      <c r="D232" s="64"/>
      <c r="E232" s="62">
        <v>31</v>
      </c>
      <c r="F232" s="64" t="s">
        <v>2566</v>
      </c>
      <c r="G232" s="62" t="s">
        <v>2368</v>
      </c>
      <c r="H232" s="62">
        <v>1</v>
      </c>
      <c r="I232" s="62">
        <v>20</v>
      </c>
      <c r="J232" s="63" t="s">
        <v>2498</v>
      </c>
      <c r="K232" s="63" t="s">
        <v>2499</v>
      </c>
      <c r="L232" s="63" t="s">
        <v>2500</v>
      </c>
      <c r="M232" s="63" t="s">
        <v>2501</v>
      </c>
      <c r="N232" s="44" t="str">
        <f t="shared" si="12"/>
        <v>a. a. Commercial whaling has been going on for  twenty-five years</v>
      </c>
      <c r="O232" s="44" t="str">
        <f t="shared" si="13"/>
        <v>b. b. Traditional hunting techniques must be used to kill whales</v>
      </c>
      <c r="P232" s="44" t="str">
        <f t="shared" si="14"/>
        <v>c. c. Every country has been assigned a quota</v>
      </c>
      <c r="Q232" s="44" t="str">
        <f t="shared" si="15"/>
        <v>d. d. Despite a ban imposed many whales are still being killed</v>
      </c>
    </row>
    <row r="233" spans="1:17" s="44" customFormat="1" ht="15" customHeight="1" x14ac:dyDescent="0.25">
      <c r="A233" s="62"/>
      <c r="B233" s="64"/>
      <c r="C233" s="64"/>
      <c r="D233" s="64"/>
      <c r="E233" s="62">
        <v>32</v>
      </c>
      <c r="F233" s="64" t="s">
        <v>2567</v>
      </c>
      <c r="G233" s="62" t="s">
        <v>2369</v>
      </c>
      <c r="H233" s="62">
        <v>1</v>
      </c>
      <c r="I233" s="62">
        <v>20</v>
      </c>
      <c r="J233" s="63" t="s">
        <v>2502</v>
      </c>
      <c r="K233" s="63" t="s">
        <v>2503</v>
      </c>
      <c r="L233" s="63" t="s">
        <v>2504</v>
      </c>
      <c r="M233" s="63" t="s">
        <v>2505</v>
      </c>
      <c r="N233" s="44" t="str">
        <f t="shared" si="12"/>
        <v>a. a. It trades in spices</v>
      </c>
      <c r="O233" s="44" t="str">
        <f t="shared" si="13"/>
        <v>b. b. It is recognizable by a brown envelope</v>
      </c>
      <c r="P233" s="44" t="str">
        <f t="shared" si="14"/>
        <v>c. c. You can buy illegal drugs on it</v>
      </c>
      <c r="Q233" s="44" t="str">
        <f t="shared" si="15"/>
        <v>d. d. It is easy to get into the website</v>
      </c>
    </row>
    <row r="234" spans="1:17" s="44" customFormat="1" ht="15" customHeight="1" x14ac:dyDescent="0.25">
      <c r="A234" s="62"/>
      <c r="B234" s="64"/>
      <c r="C234" s="64"/>
      <c r="D234" s="64"/>
      <c r="E234" s="62">
        <v>33</v>
      </c>
      <c r="F234" s="64" t="s">
        <v>2568</v>
      </c>
      <c r="G234" s="62" t="s">
        <v>2370</v>
      </c>
      <c r="H234" s="62">
        <v>1</v>
      </c>
      <c r="I234" s="62">
        <v>20</v>
      </c>
      <c r="J234" s="63" t="s">
        <v>2506</v>
      </c>
      <c r="K234" s="63" t="s">
        <v>2507</v>
      </c>
      <c r="L234" s="63" t="s">
        <v>2508</v>
      </c>
      <c r="M234" s="63" t="s">
        <v>2509</v>
      </c>
      <c r="N234" s="44" t="str">
        <f t="shared" si="12"/>
        <v>a. a. He subjects were victims of major world catastrophes</v>
      </c>
      <c r="O234" s="44" t="str">
        <f t="shared" si="13"/>
        <v>b. b. He served in the Vietnam War</v>
      </c>
      <c r="P234" s="44" t="str">
        <f t="shared" si="14"/>
        <v>c. c. He  returned to the US to practice psychiatry</v>
      </c>
      <c r="Q234" s="44" t="str">
        <f t="shared" si="15"/>
        <v>d. d. His wife was from Hong Kong</v>
      </c>
    </row>
    <row r="235" spans="1:17" s="44" customFormat="1" ht="15" customHeight="1" x14ac:dyDescent="0.25">
      <c r="A235" s="62"/>
      <c r="B235" s="64"/>
      <c r="C235" s="64"/>
      <c r="D235" s="64"/>
      <c r="E235" s="62">
        <v>34</v>
      </c>
      <c r="F235" s="64" t="s">
        <v>2569</v>
      </c>
      <c r="G235" s="62" t="s">
        <v>2371</v>
      </c>
      <c r="H235" s="62">
        <v>1</v>
      </c>
      <c r="I235" s="62">
        <v>20</v>
      </c>
      <c r="J235" s="63" t="s">
        <v>2510</v>
      </c>
      <c r="K235" s="63" t="s">
        <v>2511</v>
      </c>
      <c r="L235" s="63" t="s">
        <v>2512</v>
      </c>
      <c r="M235" s="63" t="s">
        <v>2513</v>
      </c>
      <c r="N235" s="44" t="str">
        <f t="shared" si="12"/>
        <v>a. a. Florida  does not have a lot of tomato growers</v>
      </c>
      <c r="O235" s="44" t="str">
        <f t="shared" si="13"/>
        <v>b. b. Today, tomatoes are home-grown</v>
      </c>
      <c r="P235" s="44" t="str">
        <f t="shared" si="14"/>
        <v>c. c. Agri businesses have a negative effect on tomatoes</v>
      </c>
      <c r="Q235" s="44" t="str">
        <f t="shared" si="15"/>
        <v>d. d. Conditions in Florida are optimum for tomato-growing</v>
      </c>
    </row>
    <row r="236" spans="1:17" s="44" customFormat="1" ht="15" customHeight="1" x14ac:dyDescent="0.25">
      <c r="A236" s="62"/>
      <c r="B236" s="64"/>
      <c r="C236" s="64"/>
      <c r="D236" s="64"/>
      <c r="E236" s="62">
        <v>35</v>
      </c>
      <c r="F236" s="64" t="s">
        <v>2570</v>
      </c>
      <c r="G236" s="62" t="s">
        <v>2372</v>
      </c>
      <c r="H236" s="62">
        <v>1</v>
      </c>
      <c r="I236" s="62">
        <v>20</v>
      </c>
      <c r="J236" s="63" t="s">
        <v>2514</v>
      </c>
      <c r="K236" s="63" t="s">
        <v>2515</v>
      </c>
      <c r="L236" s="63" t="s">
        <v>2516</v>
      </c>
      <c r="M236" s="63" t="s">
        <v>2517</v>
      </c>
      <c r="N236" s="44" t="str">
        <f t="shared" si="12"/>
        <v>a. a. The company got into serious  financial difficulties</v>
      </c>
      <c r="O236" s="44" t="str">
        <f t="shared" si="13"/>
        <v>b. b. The drink was too sugary</v>
      </c>
      <c r="P236" s="44" t="str">
        <f t="shared" si="14"/>
        <v>c. c. Other companies competed with exactly the same product</v>
      </c>
      <c r="Q236" s="44" t="str">
        <f t="shared" si="15"/>
        <v>d. d. It had been losing customers for a long time</v>
      </c>
    </row>
    <row r="237" spans="1:17" s="44" customFormat="1" ht="15" customHeight="1" x14ac:dyDescent="0.25">
      <c r="A237" s="62"/>
      <c r="B237" s="64"/>
      <c r="C237" s="64"/>
      <c r="D237" s="64"/>
      <c r="E237" s="62">
        <v>36</v>
      </c>
      <c r="F237" s="64" t="s">
        <v>2571</v>
      </c>
      <c r="G237" s="62" t="s">
        <v>2373</v>
      </c>
      <c r="H237" s="62">
        <v>1</v>
      </c>
      <c r="I237" s="62">
        <v>20</v>
      </c>
      <c r="J237" s="63" t="s">
        <v>2518</v>
      </c>
      <c r="K237" s="63" t="s">
        <v>2519</v>
      </c>
      <c r="L237" s="63" t="s">
        <v>2520</v>
      </c>
      <c r="M237" s="63" t="s">
        <v>2521</v>
      </c>
      <c r="N237" s="44" t="str">
        <f t="shared" si="12"/>
        <v>a. a. The aftermath of World War II</v>
      </c>
      <c r="O237" s="44" t="str">
        <f t="shared" si="13"/>
        <v>b. b. A comparison of  US and Pakistani cities</v>
      </c>
      <c r="P237" s="44" t="str">
        <f t="shared" si="14"/>
        <v>c. c. What happens with the rapid growth of cities</v>
      </c>
      <c r="Q237" s="44" t="str">
        <f t="shared" si="15"/>
        <v>d. d. How quickly time passes</v>
      </c>
    </row>
    <row r="238" spans="1:17" s="44" customFormat="1" ht="15" customHeight="1" x14ac:dyDescent="0.25">
      <c r="A238" s="62"/>
      <c r="B238" s="64"/>
      <c r="C238" s="64"/>
      <c r="D238" s="64"/>
      <c r="E238" s="62">
        <v>37</v>
      </c>
      <c r="F238" s="64" t="s">
        <v>2572</v>
      </c>
      <c r="G238" s="62" t="s">
        <v>2374</v>
      </c>
      <c r="H238" s="62">
        <v>1</v>
      </c>
      <c r="I238" s="62">
        <v>20</v>
      </c>
      <c r="J238" s="63" t="s">
        <v>2522</v>
      </c>
      <c r="K238" s="63" t="s">
        <v>2523</v>
      </c>
      <c r="L238" s="63" t="s">
        <v>2524</v>
      </c>
      <c r="M238" s="63" t="s">
        <v>2525</v>
      </c>
      <c r="N238" s="44" t="str">
        <f t="shared" si="12"/>
        <v xml:space="preserve">a. a. The scientific community agree that earthquake prediction is  impossible </v>
      </c>
      <c r="O238" s="44" t="str">
        <f t="shared" si="13"/>
        <v>b. b. Scientists in Italy failed to heed clear warning signs</v>
      </c>
      <c r="P238" s="44" t="str">
        <f t="shared" si="14"/>
        <v>c. c. Scientists are responsible for the deaths of the earthquake victims</v>
      </c>
      <c r="Q238" s="44" t="str">
        <f t="shared" si="15"/>
        <v>d. d. In Aquila, thousands of lives were saved due to forecasts</v>
      </c>
    </row>
    <row r="239" spans="1:17" s="44" customFormat="1" ht="15" customHeight="1" x14ac:dyDescent="0.25">
      <c r="A239" s="62"/>
      <c r="B239" s="64"/>
      <c r="C239" s="64"/>
      <c r="D239" s="64"/>
      <c r="E239" s="62">
        <v>38</v>
      </c>
      <c r="F239" s="64" t="s">
        <v>2573</v>
      </c>
      <c r="G239" s="62" t="s">
        <v>2375</v>
      </c>
      <c r="H239" s="62">
        <v>1</v>
      </c>
      <c r="I239" s="62">
        <v>20</v>
      </c>
      <c r="J239" s="63" t="s">
        <v>2526</v>
      </c>
      <c r="K239" s="63" t="s">
        <v>2527</v>
      </c>
      <c r="L239" s="63" t="s">
        <v>2528</v>
      </c>
      <c r="M239" s="63" t="s">
        <v>2529</v>
      </c>
      <c r="N239" s="44" t="str">
        <f t="shared" si="12"/>
        <v>a. a. Van Gogh asked two boys to shoot him</v>
      </c>
      <c r="O239" s="44" t="str">
        <f t="shared" si="13"/>
        <v>b. b. Art historians agree with the theory in the new biography</v>
      </c>
      <c r="P239" s="44" t="str">
        <f t="shared" si="14"/>
        <v>c. c. A new book questions the fact that Van Gogh’s killed himself</v>
      </c>
      <c r="Q239" s="44" t="str">
        <f t="shared" si="15"/>
        <v>d. d. Van Gogh died in a wheat field</v>
      </c>
    </row>
    <row r="240" spans="1:17" s="44" customFormat="1" ht="15" customHeight="1" x14ac:dyDescent="0.25">
      <c r="A240" s="62"/>
      <c r="B240" s="64"/>
      <c r="C240" s="64"/>
      <c r="D240" s="64"/>
      <c r="E240" s="62">
        <v>39</v>
      </c>
      <c r="F240" s="64" t="s">
        <v>2336</v>
      </c>
      <c r="G240" s="62" t="s">
        <v>2376</v>
      </c>
      <c r="H240" s="62">
        <v>1</v>
      </c>
      <c r="I240" s="62">
        <v>20</v>
      </c>
      <c r="J240" s="63" t="s">
        <v>2530</v>
      </c>
      <c r="K240" s="63" t="s">
        <v>2531</v>
      </c>
      <c r="L240" s="63" t="s">
        <v>2532</v>
      </c>
      <c r="M240" s="63" t="s">
        <v>2533</v>
      </c>
      <c r="N240" s="44" t="str">
        <f t="shared" si="12"/>
        <v>a. a. They emphasized Theology in their curriculum.</v>
      </c>
      <c r="O240" s="44" t="str">
        <f t="shared" si="13"/>
        <v>b. b. 800 years ago, there were 115 of them in Britain.</v>
      </c>
      <c r="P240" s="44" t="str">
        <f t="shared" si="14"/>
        <v>c. c. They appeared first in Britain.</v>
      </c>
      <c r="Q240" s="44" t="str">
        <f t="shared" si="15"/>
        <v xml:space="preserve">d. d. Their model of education differed a lot from the modern one.                                          </v>
      </c>
    </row>
    <row r="241" spans="1:17" s="44" customFormat="1" ht="15" customHeight="1" x14ac:dyDescent="0.25">
      <c r="A241" s="62"/>
      <c r="B241" s="65"/>
      <c r="C241" s="65"/>
      <c r="D241" s="65"/>
      <c r="E241" s="66">
        <v>40</v>
      </c>
      <c r="F241" s="65" t="s">
        <v>2337</v>
      </c>
      <c r="G241" s="66" t="s">
        <v>2377</v>
      </c>
      <c r="H241" s="66">
        <v>1</v>
      </c>
      <c r="I241" s="62">
        <v>20</v>
      </c>
      <c r="J241" s="67" t="s">
        <v>2534</v>
      </c>
      <c r="K241" s="67" t="s">
        <v>2535</v>
      </c>
      <c r="L241" s="67" t="s">
        <v>2536</v>
      </c>
      <c r="M241" s="67" t="s">
        <v>2537</v>
      </c>
      <c r="N241" s="44" t="str">
        <f t="shared" si="12"/>
        <v>a. a. He wrote from nine until five o’clock every day.</v>
      </c>
      <c r="O241" s="44" t="str">
        <f t="shared" si="13"/>
        <v>b. b. He wrote fewer than 200 words a day.</v>
      </c>
      <c r="P241" s="44" t="str">
        <f t="shared" si="14"/>
        <v>c. c. He wrote in a form of short hand.</v>
      </c>
      <c r="Q241" s="44" t="str">
        <f t="shared" si="15"/>
        <v>d. d. He later reduced the number of words he wrote each day.</v>
      </c>
    </row>
    <row r="242" spans="1:17" s="44" customFormat="1" ht="15" customHeight="1" x14ac:dyDescent="0.25">
      <c r="A242" s="69"/>
      <c r="B242" s="70"/>
      <c r="C242" s="71">
        <v>7</v>
      </c>
      <c r="D242" s="71" t="s">
        <v>3368</v>
      </c>
      <c r="E242" s="72">
        <v>1</v>
      </c>
      <c r="F242" s="70" t="s">
        <v>2829</v>
      </c>
      <c r="G242" s="44" t="s">
        <v>2627</v>
      </c>
      <c r="H242" s="72">
        <v>1</v>
      </c>
      <c r="I242" s="69">
        <v>20</v>
      </c>
      <c r="J242" s="72" t="s">
        <v>2669</v>
      </c>
      <c r="K242" s="73" t="s">
        <v>2709</v>
      </c>
      <c r="L242" s="73" t="s">
        <v>2749</v>
      </c>
      <c r="M242" s="73" t="s">
        <v>2789</v>
      </c>
      <c r="N242" s="44" t="str">
        <f>CONCATENATE("d. ",M242)</f>
        <v>d. d. It is welcomed by commuters who work in London.</v>
      </c>
    </row>
    <row r="243" spans="1:17" s="44" customFormat="1" ht="15" customHeight="1" x14ac:dyDescent="0.25">
      <c r="A243" s="69"/>
      <c r="B243" s="70"/>
      <c r="C243" s="71"/>
      <c r="D243" s="71" t="s">
        <v>2667</v>
      </c>
      <c r="E243" s="72">
        <v>2</v>
      </c>
      <c r="F243" s="70" t="s">
        <v>2830</v>
      </c>
      <c r="G243" s="72" t="s">
        <v>2628</v>
      </c>
      <c r="H243" s="72">
        <v>1</v>
      </c>
      <c r="I243" s="69">
        <v>20</v>
      </c>
      <c r="J243" s="73" t="s">
        <v>2670</v>
      </c>
      <c r="K243" s="73" t="s">
        <v>2710</v>
      </c>
      <c r="L243" s="73" t="s">
        <v>2750</v>
      </c>
      <c r="M243" s="73" t="s">
        <v>2790</v>
      </c>
      <c r="N243" s="44" t="str">
        <f t="shared" ref="N243:N281" si="16">CONCATENATE("d. ",M243)</f>
        <v>d. d. To test the effectiveness of the Afghan police.</v>
      </c>
    </row>
    <row r="244" spans="1:17" s="44" customFormat="1" ht="15" customHeight="1" x14ac:dyDescent="0.25">
      <c r="A244" s="69"/>
      <c r="B244" s="70"/>
      <c r="C244" s="71"/>
      <c r="D244" s="71" t="s">
        <v>8972</v>
      </c>
      <c r="E244" s="72">
        <v>3</v>
      </c>
      <c r="F244" s="70" t="s">
        <v>2831</v>
      </c>
      <c r="G244" s="72" t="s">
        <v>2629</v>
      </c>
      <c r="H244" s="72">
        <v>1</v>
      </c>
      <c r="I244" s="69">
        <v>20</v>
      </c>
      <c r="J244" s="73" t="s">
        <v>2671</v>
      </c>
      <c r="K244" s="73" t="s">
        <v>2711</v>
      </c>
      <c r="L244" s="73" t="s">
        <v>2751</v>
      </c>
      <c r="M244" s="73" t="s">
        <v>2791</v>
      </c>
      <c r="N244" s="44" t="str">
        <f t="shared" si="16"/>
        <v>d. d. He doesn’t have tourism classes this semester.</v>
      </c>
    </row>
    <row r="245" spans="1:17" s="44" customFormat="1" ht="15" customHeight="1" x14ac:dyDescent="0.25">
      <c r="A245" s="69"/>
      <c r="B245" s="70"/>
      <c r="C245" s="70"/>
      <c r="D245" s="70"/>
      <c r="E245" s="72">
        <v>4</v>
      </c>
      <c r="F245" s="70" t="s">
        <v>2832</v>
      </c>
      <c r="G245" s="72" t="s">
        <v>2630</v>
      </c>
      <c r="H245" s="72">
        <v>1</v>
      </c>
      <c r="I245" s="69">
        <v>20</v>
      </c>
      <c r="J245" s="73" t="s">
        <v>2672</v>
      </c>
      <c r="K245" s="73" t="s">
        <v>2712</v>
      </c>
      <c r="L245" s="73" t="s">
        <v>2752</v>
      </c>
      <c r="M245" s="73" t="s">
        <v>2792</v>
      </c>
      <c r="N245" s="44" t="str">
        <f t="shared" si="16"/>
        <v>d. d. felt uncomfortable about his lifestyle</v>
      </c>
    </row>
    <row r="246" spans="1:17" s="44" customFormat="1" ht="15" customHeight="1" x14ac:dyDescent="0.25">
      <c r="A246" s="69"/>
      <c r="B246" s="70"/>
      <c r="C246" s="70"/>
      <c r="D246" s="70"/>
      <c r="E246" s="72">
        <v>5</v>
      </c>
      <c r="F246" s="70" t="s">
        <v>2833</v>
      </c>
      <c r="G246" s="72" t="s">
        <v>2631</v>
      </c>
      <c r="H246" s="72">
        <v>1</v>
      </c>
      <c r="I246" s="69">
        <v>20</v>
      </c>
      <c r="J246" s="73" t="s">
        <v>2673</v>
      </c>
      <c r="K246" s="73" t="s">
        <v>2713</v>
      </c>
      <c r="L246" s="73" t="s">
        <v>2753</v>
      </c>
      <c r="M246" s="73" t="s">
        <v>2793</v>
      </c>
      <c r="N246" s="44" t="str">
        <f t="shared" si="16"/>
        <v>d. d. They received two Haitian students at their school</v>
      </c>
    </row>
    <row r="247" spans="1:17" s="44" customFormat="1" ht="15" customHeight="1" x14ac:dyDescent="0.25">
      <c r="A247" s="69"/>
      <c r="B247" s="70"/>
      <c r="C247" s="70"/>
      <c r="D247" s="70"/>
      <c r="E247" s="72">
        <v>6</v>
      </c>
      <c r="F247" s="70" t="s">
        <v>2834</v>
      </c>
      <c r="G247" s="72" t="s">
        <v>2632</v>
      </c>
      <c r="H247" s="72">
        <v>1</v>
      </c>
      <c r="I247" s="69">
        <v>20</v>
      </c>
      <c r="J247" s="73" t="s">
        <v>2674</v>
      </c>
      <c r="K247" s="73" t="s">
        <v>2714</v>
      </c>
      <c r="L247" s="73" t="s">
        <v>2754</v>
      </c>
      <c r="M247" s="73" t="s">
        <v>2794</v>
      </c>
      <c r="N247" s="44" t="str">
        <f t="shared" si="16"/>
        <v>d. d. It has to be loaded up before use.</v>
      </c>
    </row>
    <row r="248" spans="1:17" s="44" customFormat="1" ht="15" customHeight="1" x14ac:dyDescent="0.25">
      <c r="A248" s="69"/>
      <c r="B248" s="70"/>
      <c r="C248" s="70"/>
      <c r="D248" s="70"/>
      <c r="E248" s="72">
        <v>7</v>
      </c>
      <c r="F248" s="70" t="s">
        <v>2835</v>
      </c>
      <c r="G248" s="72" t="s">
        <v>2633</v>
      </c>
      <c r="H248" s="72">
        <v>1</v>
      </c>
      <c r="I248" s="69">
        <v>20</v>
      </c>
      <c r="J248" s="73" t="s">
        <v>2675</v>
      </c>
      <c r="K248" s="73" t="s">
        <v>2715</v>
      </c>
      <c r="L248" s="73" t="s">
        <v>2755</v>
      </c>
      <c r="M248" s="73" t="s">
        <v>2795</v>
      </c>
      <c r="N248" s="44" t="str">
        <f t="shared" si="16"/>
        <v>d. d. They listen more to regular people’s opinions.</v>
      </c>
    </row>
    <row r="249" spans="1:17" s="44" customFormat="1" ht="15" customHeight="1" x14ac:dyDescent="0.25">
      <c r="A249" s="69"/>
      <c r="B249" s="70"/>
      <c r="C249" s="70"/>
      <c r="D249" s="70"/>
      <c r="E249" s="72">
        <v>8</v>
      </c>
      <c r="F249" s="70" t="s">
        <v>2836</v>
      </c>
      <c r="G249" s="72" t="s">
        <v>2634</v>
      </c>
      <c r="H249" s="72">
        <v>1</v>
      </c>
      <c r="I249" s="69">
        <v>20</v>
      </c>
      <c r="J249" s="73" t="s">
        <v>2676</v>
      </c>
      <c r="K249" s="73" t="s">
        <v>2716</v>
      </c>
      <c r="L249" s="73" t="s">
        <v>2756</v>
      </c>
      <c r="M249" s="73" t="s">
        <v>2796</v>
      </c>
      <c r="N249" s="44" t="str">
        <f t="shared" si="16"/>
        <v>d. d. The males and females are both quite large.</v>
      </c>
    </row>
    <row r="250" spans="1:17" s="44" customFormat="1" ht="15" customHeight="1" x14ac:dyDescent="0.25">
      <c r="A250" s="69"/>
      <c r="B250" s="70"/>
      <c r="C250" s="70"/>
      <c r="D250" s="70"/>
      <c r="E250" s="72">
        <v>9</v>
      </c>
      <c r="F250" s="70" t="s">
        <v>2837</v>
      </c>
      <c r="G250" s="72" t="s">
        <v>2635</v>
      </c>
      <c r="H250" s="72">
        <v>1</v>
      </c>
      <c r="I250" s="69">
        <v>20</v>
      </c>
      <c r="J250" s="73" t="s">
        <v>2677</v>
      </c>
      <c r="K250" s="73" t="s">
        <v>2717</v>
      </c>
      <c r="L250" s="73" t="s">
        <v>2757</v>
      </c>
      <c r="M250" s="73" t="s">
        <v>2797</v>
      </c>
      <c r="N250" s="44" t="str">
        <f t="shared" si="16"/>
        <v>d. d. is representative of India’s underdeveloped areas.</v>
      </c>
    </row>
    <row r="251" spans="1:17" s="44" customFormat="1" ht="15" customHeight="1" x14ac:dyDescent="0.25">
      <c r="A251" s="69"/>
      <c r="B251" s="70"/>
      <c r="C251" s="70"/>
      <c r="D251" s="70"/>
      <c r="E251" s="72">
        <v>10</v>
      </c>
      <c r="F251" s="70" t="s">
        <v>2838</v>
      </c>
      <c r="G251" s="72" t="s">
        <v>2636</v>
      </c>
      <c r="H251" s="72">
        <v>1</v>
      </c>
      <c r="I251" s="69">
        <v>20</v>
      </c>
      <c r="J251" s="73" t="s">
        <v>2678</v>
      </c>
      <c r="K251" s="73" t="s">
        <v>2718</v>
      </c>
      <c r="L251" s="73" t="s">
        <v>2758</v>
      </c>
      <c r="M251" s="73" t="s">
        <v>2798</v>
      </c>
      <c r="N251" s="44" t="str">
        <f t="shared" si="16"/>
        <v>d. d. offered to pay someone to take away the captured ghosts.</v>
      </c>
    </row>
    <row r="252" spans="1:17" s="44" customFormat="1" ht="15" customHeight="1" x14ac:dyDescent="0.25">
      <c r="A252" s="69"/>
      <c r="B252" s="70"/>
      <c r="C252" s="70"/>
      <c r="D252" s="70"/>
      <c r="E252" s="72">
        <v>11</v>
      </c>
      <c r="F252" s="70" t="s">
        <v>2839</v>
      </c>
      <c r="G252" s="72" t="s">
        <v>2637</v>
      </c>
      <c r="H252" s="72">
        <v>1</v>
      </c>
      <c r="I252" s="69">
        <v>20</v>
      </c>
      <c r="J252" s="73" t="s">
        <v>2679</v>
      </c>
      <c r="K252" s="73" t="s">
        <v>2719</v>
      </c>
      <c r="L252" s="73" t="s">
        <v>2759</v>
      </c>
      <c r="M252" s="73" t="s">
        <v>2799</v>
      </c>
      <c r="N252" s="44" t="str">
        <f t="shared" si="16"/>
        <v>d. d. Its paintings were brought to England from Poland.</v>
      </c>
    </row>
    <row r="253" spans="1:17" s="44" customFormat="1" ht="15" customHeight="1" x14ac:dyDescent="0.25">
      <c r="A253" s="69"/>
      <c r="B253" s="70"/>
      <c r="C253" s="70"/>
      <c r="D253" s="70"/>
      <c r="E253" s="72">
        <v>12</v>
      </c>
      <c r="F253" s="70" t="s">
        <v>2840</v>
      </c>
      <c r="G253" s="72" t="s">
        <v>2638</v>
      </c>
      <c r="H253" s="72">
        <v>1</v>
      </c>
      <c r="I253" s="69">
        <v>20</v>
      </c>
      <c r="J253" s="73" t="s">
        <v>2680</v>
      </c>
      <c r="K253" s="73" t="s">
        <v>2720</v>
      </c>
      <c r="L253" s="73" t="s">
        <v>2760</v>
      </c>
      <c r="M253" s="73" t="s">
        <v>2800</v>
      </c>
      <c r="N253" s="44" t="str">
        <f t="shared" si="16"/>
        <v>d. d. Social Security is not doing enough to provide financial stability to seniors.</v>
      </c>
    </row>
    <row r="254" spans="1:17" s="44" customFormat="1" ht="15" customHeight="1" x14ac:dyDescent="0.25">
      <c r="A254" s="69"/>
      <c r="B254" s="70"/>
      <c r="C254" s="70"/>
      <c r="D254" s="70"/>
      <c r="E254" s="72">
        <v>13</v>
      </c>
      <c r="F254" s="70" t="s">
        <v>2841</v>
      </c>
      <c r="G254" s="72" t="s">
        <v>2639</v>
      </c>
      <c r="H254" s="72">
        <v>1</v>
      </c>
      <c r="I254" s="69">
        <v>20</v>
      </c>
      <c r="J254" s="73" t="s">
        <v>2681</v>
      </c>
      <c r="K254" s="73" t="s">
        <v>2721</v>
      </c>
      <c r="L254" s="73" t="s">
        <v>2761</v>
      </c>
      <c r="M254" s="73" t="s">
        <v>2801</v>
      </c>
      <c r="N254" s="44" t="str">
        <f t="shared" si="16"/>
        <v>d. d. He was amazed by the extraordinary sight of the volcano.</v>
      </c>
    </row>
    <row r="255" spans="1:17" s="44" customFormat="1" ht="15" customHeight="1" x14ac:dyDescent="0.25">
      <c r="A255" s="69"/>
      <c r="B255" s="70"/>
      <c r="C255" s="70"/>
      <c r="D255" s="70"/>
      <c r="E255" s="72">
        <v>14</v>
      </c>
      <c r="F255" s="70" t="s">
        <v>2842</v>
      </c>
      <c r="G255" s="72" t="s">
        <v>2640</v>
      </c>
      <c r="H255" s="72">
        <v>1</v>
      </c>
      <c r="I255" s="69">
        <v>20</v>
      </c>
      <c r="J255" s="73" t="s">
        <v>2682</v>
      </c>
      <c r="K255" s="73" t="s">
        <v>2722</v>
      </c>
      <c r="L255" s="73" t="s">
        <v>2762</v>
      </c>
      <c r="M255" s="73" t="s">
        <v>2802</v>
      </c>
      <c r="N255" s="44" t="str">
        <f t="shared" si="16"/>
        <v>d. d. Her attempts at mountaineering in South England.</v>
      </c>
    </row>
    <row r="256" spans="1:17" s="44" customFormat="1" ht="15" customHeight="1" x14ac:dyDescent="0.25">
      <c r="A256" s="69"/>
      <c r="B256" s="70"/>
      <c r="C256" s="70"/>
      <c r="D256" s="70"/>
      <c r="E256" s="72">
        <v>15</v>
      </c>
      <c r="F256" s="70" t="s">
        <v>2843</v>
      </c>
      <c r="G256" s="72" t="s">
        <v>2641</v>
      </c>
      <c r="H256" s="72">
        <v>1</v>
      </c>
      <c r="I256" s="69">
        <v>20</v>
      </c>
      <c r="J256" s="73" t="s">
        <v>2683</v>
      </c>
      <c r="K256" s="73" t="s">
        <v>2723</v>
      </c>
      <c r="L256" s="73" t="s">
        <v>2763</v>
      </c>
      <c r="M256" s="73" t="s">
        <v>2803</v>
      </c>
      <c r="N256" s="44" t="str">
        <f t="shared" si="16"/>
        <v>d. d. Evidence has shown that men collected objects when they could not hunt.</v>
      </c>
    </row>
    <row r="257" spans="1:14" s="44" customFormat="1" ht="15" customHeight="1" x14ac:dyDescent="0.25">
      <c r="A257" s="69"/>
      <c r="B257" s="70"/>
      <c r="C257" s="70"/>
      <c r="D257" s="70"/>
      <c r="E257" s="72">
        <v>16</v>
      </c>
      <c r="F257" s="70" t="s">
        <v>2844</v>
      </c>
      <c r="G257" s="72" t="s">
        <v>2642</v>
      </c>
      <c r="H257" s="72">
        <v>1</v>
      </c>
      <c r="I257" s="69">
        <v>20</v>
      </c>
      <c r="J257" s="73" t="s">
        <v>2684</v>
      </c>
      <c r="K257" s="73" t="s">
        <v>2724</v>
      </c>
      <c r="L257" s="73" t="s">
        <v>2764</v>
      </c>
      <c r="M257" s="73" t="s">
        <v>2804</v>
      </c>
      <c r="N257" s="44" t="str">
        <f t="shared" si="16"/>
        <v>d. d. She feels young women in the media lack ambition and experience.</v>
      </c>
    </row>
    <row r="258" spans="1:14" s="44" customFormat="1" ht="15" customHeight="1" x14ac:dyDescent="0.25">
      <c r="A258" s="69"/>
      <c r="B258" s="70"/>
      <c r="C258" s="70"/>
      <c r="D258" s="70"/>
      <c r="E258" s="72">
        <v>17</v>
      </c>
      <c r="F258" s="70" t="s">
        <v>2845</v>
      </c>
      <c r="G258" s="72" t="s">
        <v>2643</v>
      </c>
      <c r="H258" s="72">
        <v>1</v>
      </c>
      <c r="I258" s="69">
        <v>20</v>
      </c>
      <c r="J258" s="73" t="s">
        <v>2685</v>
      </c>
      <c r="K258" s="73" t="s">
        <v>2725</v>
      </c>
      <c r="L258" s="73" t="s">
        <v>2765</v>
      </c>
      <c r="M258" s="73" t="s">
        <v>2805</v>
      </c>
      <c r="N258" s="44" t="str">
        <f t="shared" si="16"/>
        <v>d. d. whenever twins are together they share the same experiences.</v>
      </c>
    </row>
    <row r="259" spans="1:14" s="44" customFormat="1" ht="15" customHeight="1" x14ac:dyDescent="0.25">
      <c r="A259" s="69"/>
      <c r="B259" s="70"/>
      <c r="C259" s="70"/>
      <c r="D259" s="70"/>
      <c r="E259" s="72">
        <v>18</v>
      </c>
      <c r="F259" s="70" t="s">
        <v>2846</v>
      </c>
      <c r="G259" s="72" t="s">
        <v>2644</v>
      </c>
      <c r="H259" s="72">
        <v>1</v>
      </c>
      <c r="I259" s="69">
        <v>20</v>
      </c>
      <c r="J259" s="73" t="s">
        <v>2686</v>
      </c>
      <c r="K259" s="73" t="s">
        <v>2726</v>
      </c>
      <c r="L259" s="73" t="s">
        <v>2766</v>
      </c>
      <c r="M259" s="73" t="s">
        <v>2806</v>
      </c>
      <c r="N259" s="44" t="str">
        <f t="shared" si="16"/>
        <v>d. d. She thinks positive thinking has taken over the culture, sometimes in ridiculous ways.</v>
      </c>
    </row>
    <row r="260" spans="1:14" s="44" customFormat="1" ht="15" customHeight="1" x14ac:dyDescent="0.25">
      <c r="A260" s="69"/>
      <c r="B260" s="70"/>
      <c r="C260" s="70"/>
      <c r="D260" s="70"/>
      <c r="E260" s="72">
        <v>19</v>
      </c>
      <c r="F260" s="70" t="s">
        <v>2847</v>
      </c>
      <c r="G260" s="72" t="s">
        <v>2645</v>
      </c>
      <c r="H260" s="72">
        <v>1</v>
      </c>
      <c r="I260" s="69">
        <v>20</v>
      </c>
      <c r="J260" s="73" t="s">
        <v>2687</v>
      </c>
      <c r="K260" s="73" t="s">
        <v>2727</v>
      </c>
      <c r="L260" s="73" t="s">
        <v>2767</v>
      </c>
      <c r="M260" s="73" t="s">
        <v>2807</v>
      </c>
      <c r="N260" s="44" t="str">
        <f t="shared" si="16"/>
        <v>d. d. Parents need to find alternative activities for their children while they are indoors.</v>
      </c>
    </row>
    <row r="261" spans="1:14" s="44" customFormat="1" ht="15" customHeight="1" x14ac:dyDescent="0.25">
      <c r="A261" s="69"/>
      <c r="B261" s="70"/>
      <c r="C261" s="70"/>
      <c r="D261" s="70"/>
      <c r="E261" s="72">
        <v>20</v>
      </c>
      <c r="F261" s="70" t="s">
        <v>2848</v>
      </c>
      <c r="G261" s="72" t="s">
        <v>2646</v>
      </c>
      <c r="H261" s="72">
        <v>1</v>
      </c>
      <c r="I261" s="69">
        <v>20</v>
      </c>
      <c r="J261" s="73" t="s">
        <v>2688</v>
      </c>
      <c r="K261" s="73" t="s">
        <v>2728</v>
      </c>
      <c r="L261" s="73" t="s">
        <v>2768</v>
      </c>
      <c r="M261" s="73" t="s">
        <v>2808</v>
      </c>
      <c r="N261" s="44" t="str">
        <f t="shared" si="16"/>
        <v>d. d. They influence the literary preferences of publishers.</v>
      </c>
    </row>
    <row r="262" spans="1:14" s="44" customFormat="1" ht="15" customHeight="1" x14ac:dyDescent="0.25">
      <c r="A262" s="69"/>
      <c r="B262" s="70"/>
      <c r="C262" s="70"/>
      <c r="D262" s="70"/>
      <c r="E262" s="72">
        <v>21</v>
      </c>
      <c r="F262" s="70" t="s">
        <v>2849</v>
      </c>
      <c r="G262" s="72" t="s">
        <v>2647</v>
      </c>
      <c r="H262" s="72">
        <v>1</v>
      </c>
      <c r="I262" s="69">
        <v>20</v>
      </c>
      <c r="J262" s="73" t="s">
        <v>2689</v>
      </c>
      <c r="K262" s="73" t="s">
        <v>2729</v>
      </c>
      <c r="L262" s="73" t="s">
        <v>2769</v>
      </c>
      <c r="M262" s="73" t="s">
        <v>2809</v>
      </c>
      <c r="N262" s="44" t="str">
        <f t="shared" si="16"/>
        <v>d. d. Some music pieces bring back memories from times gone by.</v>
      </c>
    </row>
    <row r="263" spans="1:14" s="44" customFormat="1" ht="15" customHeight="1" x14ac:dyDescent="0.25">
      <c r="A263" s="69"/>
      <c r="B263" s="70"/>
      <c r="C263" s="70"/>
      <c r="D263" s="70"/>
      <c r="E263" s="72">
        <v>22</v>
      </c>
      <c r="F263" s="70" t="s">
        <v>2850</v>
      </c>
      <c r="G263" s="72" t="s">
        <v>2648</v>
      </c>
      <c r="H263" s="72">
        <v>1</v>
      </c>
      <c r="I263" s="69">
        <v>20</v>
      </c>
      <c r="J263" s="73" t="s">
        <v>2690</v>
      </c>
      <c r="K263" s="73" t="s">
        <v>2730</v>
      </c>
      <c r="L263" s="73" t="s">
        <v>2770</v>
      </c>
      <c r="M263" s="73" t="s">
        <v>2810</v>
      </c>
      <c r="N263" s="44" t="str">
        <f t="shared" si="16"/>
        <v>d. d. The building of high-speed lines will boost Britain’s railway industry.</v>
      </c>
    </row>
    <row r="264" spans="1:14" s="44" customFormat="1" ht="15" customHeight="1" x14ac:dyDescent="0.25">
      <c r="A264" s="69"/>
      <c r="B264" s="70"/>
      <c r="C264" s="70"/>
      <c r="D264" s="70"/>
      <c r="E264" s="72">
        <v>23</v>
      </c>
      <c r="F264" s="70" t="s">
        <v>2851</v>
      </c>
      <c r="G264" s="72" t="s">
        <v>2649</v>
      </c>
      <c r="H264" s="72">
        <v>1</v>
      </c>
      <c r="I264" s="69">
        <v>20</v>
      </c>
      <c r="J264" s="73" t="s">
        <v>2691</v>
      </c>
      <c r="K264" s="73" t="s">
        <v>2731</v>
      </c>
      <c r="L264" s="73" t="s">
        <v>2771</v>
      </c>
      <c r="M264" s="73" t="s">
        <v>2811</v>
      </c>
      <c r="N264" s="44" t="str">
        <f t="shared" si="16"/>
        <v>d. d. Because they are the institution preferred by the Cuban State.</v>
      </c>
    </row>
    <row r="265" spans="1:14" s="44" customFormat="1" ht="15" customHeight="1" x14ac:dyDescent="0.25">
      <c r="A265" s="69"/>
      <c r="B265" s="70"/>
      <c r="C265" s="70"/>
      <c r="D265" s="70"/>
      <c r="E265" s="72">
        <v>24</v>
      </c>
      <c r="F265" s="70" t="s">
        <v>2852</v>
      </c>
      <c r="G265" s="72" t="s">
        <v>2650</v>
      </c>
      <c r="H265" s="72">
        <v>1</v>
      </c>
      <c r="I265" s="69">
        <v>20</v>
      </c>
      <c r="J265" s="73" t="s">
        <v>2692</v>
      </c>
      <c r="K265" s="73" t="s">
        <v>2732</v>
      </c>
      <c r="L265" s="73" t="s">
        <v>2772</v>
      </c>
      <c r="M265" s="73" t="s">
        <v>2812</v>
      </c>
      <c r="N265" s="44" t="str">
        <f t="shared" si="16"/>
        <v>d. d. That boycotting Chinese airlines is the best way to influence its actions.</v>
      </c>
    </row>
    <row r="266" spans="1:14" s="44" customFormat="1" ht="15" customHeight="1" x14ac:dyDescent="0.25">
      <c r="A266" s="69"/>
      <c r="B266" s="70"/>
      <c r="C266" s="70"/>
      <c r="D266" s="70"/>
      <c r="E266" s="72">
        <v>25</v>
      </c>
      <c r="F266" s="70" t="s">
        <v>2853</v>
      </c>
      <c r="G266" s="72" t="s">
        <v>2651</v>
      </c>
      <c r="H266" s="72">
        <v>1</v>
      </c>
      <c r="I266" s="69">
        <v>20</v>
      </c>
      <c r="J266" s="73" t="s">
        <v>2693</v>
      </c>
      <c r="K266" s="73" t="s">
        <v>2733</v>
      </c>
      <c r="L266" s="73" t="s">
        <v>2773</v>
      </c>
      <c r="M266" s="73" t="s">
        <v>2813</v>
      </c>
      <c r="N266" s="44" t="str">
        <f t="shared" si="16"/>
        <v>d. d. are using online social networks to communicate amongst themselves.</v>
      </c>
    </row>
    <row r="267" spans="1:14" s="44" customFormat="1" ht="15" customHeight="1" x14ac:dyDescent="0.25">
      <c r="A267" s="69"/>
      <c r="B267" s="70"/>
      <c r="C267" s="70"/>
      <c r="D267" s="70"/>
      <c r="E267" s="72">
        <v>26</v>
      </c>
      <c r="F267" s="70" t="s">
        <v>2854</v>
      </c>
      <c r="G267" s="72" t="s">
        <v>2652</v>
      </c>
      <c r="H267" s="72">
        <v>1</v>
      </c>
      <c r="I267" s="69">
        <v>20</v>
      </c>
      <c r="J267" s="73" t="s">
        <v>2694</v>
      </c>
      <c r="K267" s="73" t="s">
        <v>2734</v>
      </c>
      <c r="L267" s="73" t="s">
        <v>2774</v>
      </c>
      <c r="M267" s="73" t="s">
        <v>2814</v>
      </c>
      <c r="N267" s="44" t="str">
        <f t="shared" si="16"/>
        <v>d. d. The surge should take place only if there is a plan for a withdrawal afterwards.</v>
      </c>
    </row>
    <row r="268" spans="1:14" s="44" customFormat="1" ht="15" customHeight="1" x14ac:dyDescent="0.25">
      <c r="A268" s="69"/>
      <c r="B268" s="70"/>
      <c r="C268" s="70"/>
      <c r="D268" s="70"/>
      <c r="E268" s="72">
        <v>27</v>
      </c>
      <c r="F268" s="70" t="s">
        <v>2855</v>
      </c>
      <c r="G268" s="72" t="s">
        <v>2653</v>
      </c>
      <c r="H268" s="72">
        <v>1</v>
      </c>
      <c r="I268" s="69">
        <v>20</v>
      </c>
      <c r="J268" s="73" t="s">
        <v>2695</v>
      </c>
      <c r="K268" s="73" t="s">
        <v>2735</v>
      </c>
      <c r="L268" s="73" t="s">
        <v>2775</v>
      </c>
      <c r="M268" s="73" t="s">
        <v>2815</v>
      </c>
      <c r="N268" s="44" t="str">
        <f t="shared" si="16"/>
        <v>d. d. The special experience of 3D is a way to get people back into theaters.</v>
      </c>
    </row>
    <row r="269" spans="1:14" s="44" customFormat="1" ht="15" customHeight="1" x14ac:dyDescent="0.25">
      <c r="A269" s="69"/>
      <c r="B269" s="70"/>
      <c r="C269" s="70"/>
      <c r="D269" s="70"/>
      <c r="E269" s="72">
        <v>28</v>
      </c>
      <c r="F269" s="70" t="s">
        <v>2856</v>
      </c>
      <c r="G269" s="72" t="s">
        <v>2654</v>
      </c>
      <c r="H269" s="72">
        <v>1</v>
      </c>
      <c r="I269" s="69">
        <v>20</v>
      </c>
      <c r="J269" s="73" t="s">
        <v>2696</v>
      </c>
      <c r="K269" s="73" t="s">
        <v>2736</v>
      </c>
      <c r="L269" s="73" t="s">
        <v>2776</v>
      </c>
      <c r="M269" s="73" t="s">
        <v>2816</v>
      </c>
      <c r="N269" s="44" t="str">
        <f t="shared" si="16"/>
        <v>d. d. People drink about the same nowadays as in the past.</v>
      </c>
    </row>
    <row r="270" spans="1:14" s="44" customFormat="1" ht="15" customHeight="1" x14ac:dyDescent="0.25">
      <c r="A270" s="69"/>
      <c r="B270" s="70"/>
      <c r="C270" s="70"/>
      <c r="D270" s="70"/>
      <c r="E270" s="72">
        <v>29</v>
      </c>
      <c r="F270" s="70" t="s">
        <v>2857</v>
      </c>
      <c r="G270" s="72" t="s">
        <v>2655</v>
      </c>
      <c r="H270" s="72">
        <v>1</v>
      </c>
      <c r="I270" s="69">
        <v>20</v>
      </c>
      <c r="J270" s="73" t="s">
        <v>2697</v>
      </c>
      <c r="K270" s="73" t="s">
        <v>2737</v>
      </c>
      <c r="L270" s="73" t="s">
        <v>2777</v>
      </c>
      <c r="M270" s="73" t="s">
        <v>2817</v>
      </c>
      <c r="N270" s="44" t="str">
        <f t="shared" si="16"/>
        <v>d. d. The fact that he embodies both the best and worst aspects of the American immigrant story</v>
      </c>
    </row>
    <row r="271" spans="1:14" s="44" customFormat="1" ht="15" customHeight="1" x14ac:dyDescent="0.25">
      <c r="A271" s="69"/>
      <c r="B271" s="70"/>
      <c r="C271" s="70"/>
      <c r="D271" s="70"/>
      <c r="E271" s="72">
        <v>30</v>
      </c>
      <c r="F271" s="70" t="s">
        <v>2858</v>
      </c>
      <c r="G271" s="72" t="s">
        <v>2656</v>
      </c>
      <c r="H271" s="72">
        <v>1</v>
      </c>
      <c r="I271" s="69">
        <v>20</v>
      </c>
      <c r="J271" s="73" t="s">
        <v>2698</v>
      </c>
      <c r="K271" s="73" t="s">
        <v>2738</v>
      </c>
      <c r="L271" s="73" t="s">
        <v>2778</v>
      </c>
      <c r="M271" s="73" t="s">
        <v>2818</v>
      </c>
      <c r="N271" s="44" t="str">
        <f t="shared" si="16"/>
        <v>d. d. They are impressed with the change in tone and rhetoric</v>
      </c>
    </row>
    <row r="272" spans="1:14" s="44" customFormat="1" ht="15" customHeight="1" x14ac:dyDescent="0.25">
      <c r="A272" s="69"/>
      <c r="B272" s="70"/>
      <c r="C272" s="70"/>
      <c r="D272" s="70"/>
      <c r="E272" s="72">
        <v>31</v>
      </c>
      <c r="F272" s="70" t="s">
        <v>2859</v>
      </c>
      <c r="G272" s="72" t="s">
        <v>2657</v>
      </c>
      <c r="H272" s="72">
        <v>1</v>
      </c>
      <c r="I272" s="69">
        <v>20</v>
      </c>
      <c r="J272" s="73" t="s">
        <v>2699</v>
      </c>
      <c r="K272" s="73" t="s">
        <v>2739</v>
      </c>
      <c r="L272" s="73" t="s">
        <v>2779</v>
      </c>
      <c r="M272" s="73" t="s">
        <v>2819</v>
      </c>
      <c r="N272" s="44" t="str">
        <f t="shared" si="16"/>
        <v>d. d. By organizing and including many students in her plans.</v>
      </c>
    </row>
    <row r="273" spans="1:14" s="44" customFormat="1" ht="15" customHeight="1" x14ac:dyDescent="0.25">
      <c r="A273" s="69"/>
      <c r="B273" s="70"/>
      <c r="C273" s="70"/>
      <c r="D273" s="70"/>
      <c r="E273" s="72">
        <v>32</v>
      </c>
      <c r="F273" s="70" t="s">
        <v>2860</v>
      </c>
      <c r="G273" s="72" t="s">
        <v>2658</v>
      </c>
      <c r="H273" s="72">
        <v>1</v>
      </c>
      <c r="I273" s="69">
        <v>20</v>
      </c>
      <c r="J273" s="73" t="s">
        <v>2700</v>
      </c>
      <c r="K273" s="73" t="s">
        <v>2740</v>
      </c>
      <c r="L273" s="73" t="s">
        <v>2780</v>
      </c>
      <c r="M273" s="73" t="s">
        <v>2820</v>
      </c>
      <c r="N273" s="44" t="str">
        <f t="shared" si="16"/>
        <v>d. d. They should be made more restrictive on space technologies</v>
      </c>
    </row>
    <row r="274" spans="1:14" s="44" customFormat="1" ht="15" customHeight="1" x14ac:dyDescent="0.25">
      <c r="A274" s="69"/>
      <c r="B274" s="70"/>
      <c r="C274" s="70"/>
      <c r="D274" s="70"/>
      <c r="E274" s="72">
        <v>33</v>
      </c>
      <c r="F274" s="70" t="s">
        <v>2861</v>
      </c>
      <c r="G274" s="72" t="s">
        <v>2659</v>
      </c>
      <c r="H274" s="72">
        <v>1</v>
      </c>
      <c r="I274" s="69">
        <v>20</v>
      </c>
      <c r="J274" s="73" t="s">
        <v>2701</v>
      </c>
      <c r="K274" s="73" t="s">
        <v>2741</v>
      </c>
      <c r="L274" s="73" t="s">
        <v>2781</v>
      </c>
      <c r="M274" s="73" t="s">
        <v>2821</v>
      </c>
      <c r="N274" s="44" t="str">
        <f t="shared" si="16"/>
        <v>d. d. It's best to explain about a lot of composers and instruments and let the children choose what to hear.</v>
      </c>
    </row>
    <row r="275" spans="1:14" s="44" customFormat="1" ht="15" customHeight="1" x14ac:dyDescent="0.25">
      <c r="A275" s="69"/>
      <c r="B275" s="70"/>
      <c r="C275" s="70"/>
      <c r="D275" s="70"/>
      <c r="E275" s="72">
        <v>34</v>
      </c>
      <c r="F275" s="70" t="s">
        <v>2862</v>
      </c>
      <c r="G275" s="72" t="s">
        <v>2660</v>
      </c>
      <c r="H275" s="72">
        <v>1</v>
      </c>
      <c r="I275" s="69">
        <v>20</v>
      </c>
      <c r="J275" s="73" t="s">
        <v>2702</v>
      </c>
      <c r="K275" s="73" t="s">
        <v>2742</v>
      </c>
      <c r="L275" s="73" t="s">
        <v>2782</v>
      </c>
      <c r="M275" s="73" t="s">
        <v>2822</v>
      </c>
      <c r="N275" s="44" t="str">
        <f t="shared" si="16"/>
        <v>d. d. Webster's first dictionary was unsuccessful because it was too close to British spelling</v>
      </c>
    </row>
    <row r="276" spans="1:14" s="44" customFormat="1" ht="15" customHeight="1" x14ac:dyDescent="0.25">
      <c r="A276" s="69"/>
      <c r="B276" s="70"/>
      <c r="C276" s="70"/>
      <c r="D276" s="70"/>
      <c r="E276" s="72">
        <v>35</v>
      </c>
      <c r="F276" s="70" t="s">
        <v>2863</v>
      </c>
      <c r="G276" s="72" t="s">
        <v>2661</v>
      </c>
      <c r="H276" s="72">
        <v>1</v>
      </c>
      <c r="I276" s="69">
        <v>20</v>
      </c>
      <c r="J276" s="73" t="s">
        <v>2703</v>
      </c>
      <c r="K276" s="73" t="s">
        <v>2743</v>
      </c>
      <c r="L276" s="73" t="s">
        <v>2783</v>
      </c>
      <c r="M276" s="73" t="s">
        <v>2823</v>
      </c>
      <c r="N276" s="44" t="str">
        <f t="shared" si="16"/>
        <v>d. d. Because they will be working with children.</v>
      </c>
    </row>
    <row r="277" spans="1:14" s="44" customFormat="1" ht="15" customHeight="1" x14ac:dyDescent="0.25">
      <c r="A277" s="69"/>
      <c r="B277" s="70"/>
      <c r="C277" s="70"/>
      <c r="D277" s="70"/>
      <c r="E277" s="72">
        <v>36</v>
      </c>
      <c r="F277" s="70" t="s">
        <v>2668</v>
      </c>
      <c r="G277" s="72" t="s">
        <v>2662</v>
      </c>
      <c r="H277" s="72">
        <v>1</v>
      </c>
      <c r="I277" s="69">
        <v>20</v>
      </c>
      <c r="J277" s="73" t="s">
        <v>2704</v>
      </c>
      <c r="K277" s="73" t="s">
        <v>2744</v>
      </c>
      <c r="L277" s="73" t="s">
        <v>2784</v>
      </c>
      <c r="M277" s="73" t="s">
        <v>2824</v>
      </c>
      <c r="N277" s="44" t="str">
        <f t="shared" si="16"/>
        <v>d. d. Nowadays boards select members based on merit</v>
      </c>
    </row>
    <row r="278" spans="1:14" s="44" customFormat="1" ht="15" customHeight="1" x14ac:dyDescent="0.25">
      <c r="A278" s="69"/>
      <c r="B278" s="70"/>
      <c r="C278" s="70"/>
      <c r="D278" s="70"/>
      <c r="E278" s="72">
        <v>37</v>
      </c>
      <c r="F278" s="70" t="s">
        <v>2864</v>
      </c>
      <c r="G278" s="72" t="s">
        <v>2663</v>
      </c>
      <c r="H278" s="72">
        <v>1</v>
      </c>
      <c r="I278" s="69">
        <v>20</v>
      </c>
      <c r="J278" s="73" t="s">
        <v>2705</v>
      </c>
      <c r="K278" s="73" t="s">
        <v>2745</v>
      </c>
      <c r="L278" s="73" t="s">
        <v>2785</v>
      </c>
      <c r="M278" s="73" t="s">
        <v>2825</v>
      </c>
      <c r="N278" s="44" t="str">
        <f t="shared" si="16"/>
        <v>d. d. Vehicle traffic has caused the paving to deteriorate quickly</v>
      </c>
    </row>
    <row r="279" spans="1:14" s="44" customFormat="1" ht="15" customHeight="1" x14ac:dyDescent="0.25">
      <c r="A279" s="69"/>
      <c r="B279" s="70"/>
      <c r="C279" s="70"/>
      <c r="D279" s="70"/>
      <c r="E279" s="72">
        <v>38</v>
      </c>
      <c r="F279" s="70" t="s">
        <v>2865</v>
      </c>
      <c r="G279" s="72" t="s">
        <v>2664</v>
      </c>
      <c r="H279" s="72">
        <v>1</v>
      </c>
      <c r="I279" s="69">
        <v>20</v>
      </c>
      <c r="J279" s="73" t="s">
        <v>2706</v>
      </c>
      <c r="K279" s="73" t="s">
        <v>2746</v>
      </c>
      <c r="L279" s="73" t="s">
        <v>2786</v>
      </c>
      <c r="M279" s="73" t="s">
        <v>2826</v>
      </c>
      <c r="N279" s="44" t="str">
        <f t="shared" si="16"/>
        <v>d. d. She wanted to work in a profession in which she could help people in need</v>
      </c>
    </row>
    <row r="280" spans="1:14" s="44" customFormat="1" ht="15" customHeight="1" x14ac:dyDescent="0.25">
      <c r="A280" s="69"/>
      <c r="B280" s="70"/>
      <c r="C280" s="70"/>
      <c r="D280" s="70"/>
      <c r="E280" s="72">
        <v>39</v>
      </c>
      <c r="F280" s="70" t="s">
        <v>2866</v>
      </c>
      <c r="G280" s="72" t="s">
        <v>2665</v>
      </c>
      <c r="H280" s="72">
        <v>1</v>
      </c>
      <c r="I280" s="69">
        <v>20</v>
      </c>
      <c r="J280" s="73" t="s">
        <v>2707</v>
      </c>
      <c r="K280" s="73" t="s">
        <v>2747</v>
      </c>
      <c r="L280" s="73" t="s">
        <v>2787</v>
      </c>
      <c r="M280" s="73" t="s">
        <v>2827</v>
      </c>
      <c r="N280" s="44" t="str">
        <f t="shared" si="16"/>
        <v>d. d. Most movies nowadays are formulaic and predictable</v>
      </c>
    </row>
    <row r="281" spans="1:14" s="44" customFormat="1" ht="15" customHeight="1" x14ac:dyDescent="0.25">
      <c r="A281" s="69"/>
      <c r="B281" s="70"/>
      <c r="C281" s="70"/>
      <c r="D281" s="70"/>
      <c r="E281" s="72">
        <v>40</v>
      </c>
      <c r="F281" s="70" t="s">
        <v>2867</v>
      </c>
      <c r="G281" s="72" t="s">
        <v>2666</v>
      </c>
      <c r="H281" s="72">
        <v>1</v>
      </c>
      <c r="I281" s="69">
        <v>20</v>
      </c>
      <c r="J281" s="73" t="s">
        <v>2708</v>
      </c>
      <c r="K281" s="73" t="s">
        <v>2748</v>
      </c>
      <c r="L281" s="73" t="s">
        <v>2788</v>
      </c>
      <c r="M281" s="73" t="s">
        <v>2828</v>
      </c>
      <c r="N281" s="44" t="str">
        <f t="shared" si="16"/>
        <v>d. d. Children were more of an economic burden on their parents in the past</v>
      </c>
    </row>
    <row r="282" spans="1:14" s="44" customFormat="1" ht="20.100000000000001" customHeight="1" x14ac:dyDescent="0.25">
      <c r="A282" s="78"/>
      <c r="B282" s="79"/>
      <c r="C282" s="80">
        <v>8</v>
      </c>
      <c r="D282" s="80" t="s">
        <v>2961</v>
      </c>
      <c r="E282" s="81">
        <v>1</v>
      </c>
      <c r="F282" s="84" t="s">
        <v>3604</v>
      </c>
      <c r="G282" s="82" t="s">
        <v>3369</v>
      </c>
      <c r="H282" s="81">
        <v>1</v>
      </c>
      <c r="I282" s="78">
        <v>20</v>
      </c>
      <c r="J282" s="83" t="s">
        <v>3370</v>
      </c>
      <c r="K282" s="83" t="s">
        <v>3371</v>
      </c>
      <c r="L282" s="83" t="s">
        <v>3372</v>
      </c>
      <c r="M282" s="83" t="s">
        <v>3373</v>
      </c>
    </row>
    <row r="283" spans="1:14" s="44" customFormat="1" ht="20.100000000000001" customHeight="1" x14ac:dyDescent="0.25">
      <c r="A283" s="78"/>
      <c r="B283" s="79"/>
      <c r="C283" s="80"/>
      <c r="D283" s="80" t="s">
        <v>3374</v>
      </c>
      <c r="E283" s="81">
        <v>2</v>
      </c>
      <c r="F283" s="84" t="s">
        <v>3601</v>
      </c>
      <c r="G283" s="81" t="s">
        <v>3375</v>
      </c>
      <c r="H283" s="81">
        <v>1</v>
      </c>
      <c r="I283" s="78">
        <v>20</v>
      </c>
      <c r="J283" s="83" t="s">
        <v>3376</v>
      </c>
      <c r="K283" s="83" t="s">
        <v>3377</v>
      </c>
      <c r="L283" s="83" t="s">
        <v>3378</v>
      </c>
      <c r="M283" s="83" t="s">
        <v>3379</v>
      </c>
    </row>
    <row r="284" spans="1:14" s="44" customFormat="1" ht="20.100000000000001" customHeight="1" x14ac:dyDescent="0.25">
      <c r="A284" s="78"/>
      <c r="B284" s="79"/>
      <c r="C284" s="80"/>
      <c r="D284" s="80" t="s">
        <v>8972</v>
      </c>
      <c r="E284" s="81">
        <v>3</v>
      </c>
      <c r="F284" s="84" t="s">
        <v>3602</v>
      </c>
      <c r="G284" s="81" t="s">
        <v>3380</v>
      </c>
      <c r="H284" s="81">
        <v>1</v>
      </c>
      <c r="I284" s="78">
        <v>20</v>
      </c>
      <c r="J284" s="83" t="s">
        <v>3381</v>
      </c>
      <c r="K284" s="83" t="s">
        <v>3382</v>
      </c>
      <c r="L284" s="83" t="s">
        <v>3383</v>
      </c>
      <c r="M284" s="83" t="s">
        <v>3384</v>
      </c>
    </row>
    <row r="285" spans="1:14" s="44" customFormat="1" ht="20.100000000000001" customHeight="1" x14ac:dyDescent="0.25">
      <c r="A285" s="78"/>
      <c r="B285" s="79"/>
      <c r="C285" s="79"/>
      <c r="D285" s="79"/>
      <c r="E285" s="81">
        <v>4</v>
      </c>
      <c r="F285" s="84" t="s">
        <v>3603</v>
      </c>
      <c r="G285" s="81" t="s">
        <v>3385</v>
      </c>
      <c r="H285" s="81">
        <v>1</v>
      </c>
      <c r="I285" s="78">
        <v>20</v>
      </c>
      <c r="J285" s="83" t="s">
        <v>3386</v>
      </c>
      <c r="K285" s="83" t="s">
        <v>3387</v>
      </c>
      <c r="L285" s="83" t="s">
        <v>3388</v>
      </c>
      <c r="M285" s="83" t="s">
        <v>3389</v>
      </c>
    </row>
    <row r="286" spans="1:14" s="44" customFormat="1" ht="20.100000000000001" customHeight="1" x14ac:dyDescent="0.25">
      <c r="A286" s="78"/>
      <c r="B286" s="79"/>
      <c r="C286" s="79"/>
      <c r="D286" s="79"/>
      <c r="E286" s="81">
        <v>5</v>
      </c>
      <c r="F286" s="84" t="s">
        <v>3605</v>
      </c>
      <c r="G286" s="81" t="s">
        <v>3390</v>
      </c>
      <c r="H286" s="81">
        <v>1</v>
      </c>
      <c r="I286" s="78">
        <v>20</v>
      </c>
      <c r="J286" s="83" t="s">
        <v>3391</v>
      </c>
      <c r="K286" s="83" t="s">
        <v>3392</v>
      </c>
      <c r="L286" s="83" t="s">
        <v>3393</v>
      </c>
      <c r="M286" s="83" t="s">
        <v>3394</v>
      </c>
    </row>
    <row r="287" spans="1:14" s="44" customFormat="1" ht="20.100000000000001" customHeight="1" x14ac:dyDescent="0.25">
      <c r="A287" s="78"/>
      <c r="B287" s="79"/>
      <c r="C287" s="79"/>
      <c r="D287" s="79"/>
      <c r="E287" s="81">
        <v>6</v>
      </c>
      <c r="F287" s="84" t="s">
        <v>3606</v>
      </c>
      <c r="G287" s="81" t="s">
        <v>3395</v>
      </c>
      <c r="H287" s="81">
        <v>1</v>
      </c>
      <c r="I287" s="78">
        <v>20</v>
      </c>
      <c r="J287" s="83" t="s">
        <v>3396</v>
      </c>
      <c r="K287" s="83" t="s">
        <v>3397</v>
      </c>
      <c r="L287" s="83" t="s">
        <v>3398</v>
      </c>
      <c r="M287" s="83" t="s">
        <v>3399</v>
      </c>
    </row>
    <row r="288" spans="1:14" s="44" customFormat="1" ht="20.100000000000001" customHeight="1" x14ac:dyDescent="0.25">
      <c r="A288" s="78"/>
      <c r="B288" s="79"/>
      <c r="C288" s="79"/>
      <c r="D288" s="79"/>
      <c r="E288" s="81">
        <v>7</v>
      </c>
      <c r="F288" s="84" t="s">
        <v>3607</v>
      </c>
      <c r="G288" s="81" t="s">
        <v>3400</v>
      </c>
      <c r="H288" s="81">
        <v>1</v>
      </c>
      <c r="I288" s="78">
        <v>20</v>
      </c>
      <c r="J288" s="83" t="s">
        <v>3401</v>
      </c>
      <c r="K288" s="83" t="s">
        <v>3402</v>
      </c>
      <c r="L288" s="83" t="s">
        <v>3403</v>
      </c>
      <c r="M288" s="83" t="s">
        <v>3404</v>
      </c>
    </row>
    <row r="289" spans="1:13" s="44" customFormat="1" ht="20.100000000000001" customHeight="1" x14ac:dyDescent="0.25">
      <c r="A289" s="78"/>
      <c r="B289" s="79"/>
      <c r="C289" s="79"/>
      <c r="D289" s="79"/>
      <c r="E289" s="81">
        <v>8</v>
      </c>
      <c r="F289" s="84" t="s">
        <v>3608</v>
      </c>
      <c r="G289" s="81" t="s">
        <v>3405</v>
      </c>
      <c r="H289" s="81">
        <v>1</v>
      </c>
      <c r="I289" s="78">
        <v>20</v>
      </c>
      <c r="J289" s="83" t="s">
        <v>3406</v>
      </c>
      <c r="K289" s="83" t="s">
        <v>3407</v>
      </c>
      <c r="L289" s="83" t="s">
        <v>3408</v>
      </c>
      <c r="M289" s="83" t="s">
        <v>3409</v>
      </c>
    </row>
    <row r="290" spans="1:13" s="44" customFormat="1" ht="20.100000000000001" customHeight="1" x14ac:dyDescent="0.25">
      <c r="A290" s="78"/>
      <c r="B290" s="79"/>
      <c r="C290" s="79"/>
      <c r="D290" s="79"/>
      <c r="E290" s="81">
        <v>9</v>
      </c>
      <c r="F290" s="84" t="s">
        <v>3609</v>
      </c>
      <c r="G290" s="81" t="s">
        <v>3410</v>
      </c>
      <c r="H290" s="81">
        <v>1</v>
      </c>
      <c r="I290" s="78">
        <v>20</v>
      </c>
      <c r="J290" s="83" t="s">
        <v>3411</v>
      </c>
      <c r="K290" s="83" t="s">
        <v>3412</v>
      </c>
      <c r="L290" s="83" t="s">
        <v>3413</v>
      </c>
      <c r="M290" s="83" t="s">
        <v>3414</v>
      </c>
    </row>
    <row r="291" spans="1:13" s="44" customFormat="1" ht="20.100000000000001" customHeight="1" x14ac:dyDescent="0.25">
      <c r="A291" s="78"/>
      <c r="B291" s="79"/>
      <c r="C291" s="79"/>
      <c r="D291" s="79"/>
      <c r="E291" s="81">
        <v>10</v>
      </c>
      <c r="F291" s="84" t="s">
        <v>3610</v>
      </c>
      <c r="G291" s="81" t="s">
        <v>3415</v>
      </c>
      <c r="H291" s="81">
        <v>1</v>
      </c>
      <c r="I291" s="78">
        <v>20</v>
      </c>
      <c r="J291" s="83" t="s">
        <v>3416</v>
      </c>
      <c r="K291" s="83" t="s">
        <v>3417</v>
      </c>
      <c r="L291" s="83" t="s">
        <v>3418</v>
      </c>
      <c r="M291" s="83" t="s">
        <v>3419</v>
      </c>
    </row>
    <row r="292" spans="1:13" s="44" customFormat="1" ht="20.100000000000001" customHeight="1" x14ac:dyDescent="0.25">
      <c r="A292" s="78"/>
      <c r="B292" s="79"/>
      <c r="C292" s="79"/>
      <c r="D292" s="79"/>
      <c r="E292" s="81">
        <v>11</v>
      </c>
      <c r="F292" s="84" t="s">
        <v>3611</v>
      </c>
      <c r="G292" s="81" t="s">
        <v>3420</v>
      </c>
      <c r="H292" s="81">
        <v>1</v>
      </c>
      <c r="I292" s="78">
        <v>20</v>
      </c>
      <c r="J292" s="83" t="s">
        <v>3421</v>
      </c>
      <c r="K292" s="83" t="s">
        <v>3422</v>
      </c>
      <c r="L292" s="83" t="s">
        <v>3423</v>
      </c>
      <c r="M292" s="83" t="s">
        <v>3424</v>
      </c>
    </row>
    <row r="293" spans="1:13" s="44" customFormat="1" ht="20.100000000000001" customHeight="1" x14ac:dyDescent="0.25">
      <c r="A293" s="78"/>
      <c r="B293" s="79"/>
      <c r="C293" s="79"/>
      <c r="D293" s="79"/>
      <c r="E293" s="81">
        <v>12</v>
      </c>
      <c r="F293" s="84" t="s">
        <v>3612</v>
      </c>
      <c r="G293" s="81" t="s">
        <v>3425</v>
      </c>
      <c r="H293" s="81">
        <v>1</v>
      </c>
      <c r="I293" s="78">
        <v>20</v>
      </c>
      <c r="J293" s="83" t="s">
        <v>3426</v>
      </c>
      <c r="K293" s="83" t="s">
        <v>3427</v>
      </c>
      <c r="L293" s="83" t="s">
        <v>3428</v>
      </c>
      <c r="M293" s="83" t="s">
        <v>3429</v>
      </c>
    </row>
    <row r="294" spans="1:13" s="44" customFormat="1" ht="20.100000000000001" customHeight="1" x14ac:dyDescent="0.25">
      <c r="A294" s="78"/>
      <c r="B294" s="79"/>
      <c r="C294" s="79"/>
      <c r="D294" s="79"/>
      <c r="E294" s="81">
        <v>13</v>
      </c>
      <c r="F294" s="84" t="s">
        <v>3613</v>
      </c>
      <c r="G294" s="81" t="s">
        <v>3430</v>
      </c>
      <c r="H294" s="81">
        <v>1</v>
      </c>
      <c r="I294" s="78">
        <v>20</v>
      </c>
      <c r="J294" s="83" t="s">
        <v>3431</v>
      </c>
      <c r="K294" s="83" t="s">
        <v>3432</v>
      </c>
      <c r="L294" s="83" t="s">
        <v>3433</v>
      </c>
      <c r="M294" s="83" t="s">
        <v>3434</v>
      </c>
    </row>
    <row r="295" spans="1:13" s="44" customFormat="1" ht="20.100000000000001" customHeight="1" x14ac:dyDescent="0.25">
      <c r="A295" s="78"/>
      <c r="B295" s="79"/>
      <c r="C295" s="79"/>
      <c r="D295" s="79"/>
      <c r="E295" s="81">
        <v>14</v>
      </c>
      <c r="F295" s="84" t="s">
        <v>3614</v>
      </c>
      <c r="G295" s="81" t="s">
        <v>3435</v>
      </c>
      <c r="H295" s="81">
        <v>1</v>
      </c>
      <c r="I295" s="78">
        <v>20</v>
      </c>
      <c r="J295" s="83" t="s">
        <v>3436</v>
      </c>
      <c r="K295" s="83" t="s">
        <v>3437</v>
      </c>
      <c r="L295" s="83" t="s">
        <v>3438</v>
      </c>
      <c r="M295" s="83" t="s">
        <v>3439</v>
      </c>
    </row>
    <row r="296" spans="1:13" s="44" customFormat="1" ht="20.100000000000001" customHeight="1" x14ac:dyDescent="0.25">
      <c r="A296" s="78"/>
      <c r="B296" s="79"/>
      <c r="C296" s="79"/>
      <c r="D296" s="79"/>
      <c r="E296" s="81">
        <v>15</v>
      </c>
      <c r="F296" s="84" t="s">
        <v>3615</v>
      </c>
      <c r="G296" s="81" t="s">
        <v>3440</v>
      </c>
      <c r="H296" s="81">
        <v>1</v>
      </c>
      <c r="I296" s="78">
        <v>20</v>
      </c>
      <c r="J296" s="83" t="s">
        <v>3441</v>
      </c>
      <c r="K296" s="83" t="s">
        <v>3442</v>
      </c>
      <c r="L296" s="83" t="s">
        <v>3443</v>
      </c>
      <c r="M296" s="83" t="s">
        <v>3444</v>
      </c>
    </row>
    <row r="297" spans="1:13" s="44" customFormat="1" ht="20.100000000000001" customHeight="1" x14ac:dyDescent="0.25">
      <c r="A297" s="78"/>
      <c r="B297" s="79"/>
      <c r="C297" s="79"/>
      <c r="D297" s="79"/>
      <c r="E297" s="81">
        <v>16</v>
      </c>
      <c r="F297" s="84" t="s">
        <v>3616</v>
      </c>
      <c r="G297" s="81" t="s">
        <v>3445</v>
      </c>
      <c r="H297" s="81">
        <v>1</v>
      </c>
      <c r="I297" s="78">
        <v>20</v>
      </c>
      <c r="J297" s="83" t="s">
        <v>3446</v>
      </c>
      <c r="K297" s="83" t="s">
        <v>3447</v>
      </c>
      <c r="L297" s="83" t="s">
        <v>3448</v>
      </c>
      <c r="M297" s="83" t="s">
        <v>3449</v>
      </c>
    </row>
    <row r="298" spans="1:13" s="44" customFormat="1" ht="20.100000000000001" customHeight="1" x14ac:dyDescent="0.25">
      <c r="A298" s="78"/>
      <c r="B298" s="79"/>
      <c r="C298" s="79"/>
      <c r="D298" s="79"/>
      <c r="E298" s="81">
        <v>17</v>
      </c>
      <c r="F298" s="84" t="s">
        <v>3617</v>
      </c>
      <c r="G298" s="81" t="s">
        <v>3450</v>
      </c>
      <c r="H298" s="81">
        <v>1</v>
      </c>
      <c r="I298" s="78">
        <v>20</v>
      </c>
      <c r="J298" s="83" t="s">
        <v>3451</v>
      </c>
      <c r="K298" s="83" t="s">
        <v>3452</v>
      </c>
      <c r="L298" s="83" t="s">
        <v>3453</v>
      </c>
      <c r="M298" s="83" t="s">
        <v>3454</v>
      </c>
    </row>
    <row r="299" spans="1:13" s="44" customFormat="1" ht="20.100000000000001" customHeight="1" x14ac:dyDescent="0.25">
      <c r="A299" s="78"/>
      <c r="B299" s="79"/>
      <c r="C299" s="79"/>
      <c r="D299" s="79"/>
      <c r="E299" s="81">
        <v>18</v>
      </c>
      <c r="F299" s="84" t="s">
        <v>3618</v>
      </c>
      <c r="G299" s="81" t="s">
        <v>3455</v>
      </c>
      <c r="H299" s="81">
        <v>1</v>
      </c>
      <c r="I299" s="78">
        <v>20</v>
      </c>
      <c r="J299" s="83" t="s">
        <v>3456</v>
      </c>
      <c r="K299" s="83" t="s">
        <v>3457</v>
      </c>
      <c r="L299" s="83" t="s">
        <v>3458</v>
      </c>
      <c r="M299" s="83" t="s">
        <v>3459</v>
      </c>
    </row>
    <row r="300" spans="1:13" s="44" customFormat="1" ht="20.100000000000001" customHeight="1" x14ac:dyDescent="0.25">
      <c r="A300" s="78"/>
      <c r="B300" s="79"/>
      <c r="C300" s="79"/>
      <c r="D300" s="79"/>
      <c r="E300" s="81">
        <v>19</v>
      </c>
      <c r="F300" s="84" t="s">
        <v>3619</v>
      </c>
      <c r="G300" s="81" t="s">
        <v>3460</v>
      </c>
      <c r="H300" s="81">
        <v>1</v>
      </c>
      <c r="I300" s="78">
        <v>20</v>
      </c>
      <c r="J300" s="83" t="s">
        <v>3461</v>
      </c>
      <c r="K300" s="83" t="s">
        <v>3462</v>
      </c>
      <c r="L300" s="83" t="s">
        <v>3463</v>
      </c>
      <c r="M300" s="83" t="s">
        <v>3464</v>
      </c>
    </row>
    <row r="301" spans="1:13" s="44" customFormat="1" ht="20.100000000000001" customHeight="1" x14ac:dyDescent="0.25">
      <c r="A301" s="78"/>
      <c r="B301" s="79"/>
      <c r="C301" s="79"/>
      <c r="D301" s="79"/>
      <c r="E301" s="81">
        <v>20</v>
      </c>
      <c r="F301" s="84" t="s">
        <v>3620</v>
      </c>
      <c r="G301" s="81" t="s">
        <v>3465</v>
      </c>
      <c r="H301" s="81">
        <v>1</v>
      </c>
      <c r="I301" s="78">
        <v>20</v>
      </c>
      <c r="J301" s="83" t="s">
        <v>3466</v>
      </c>
      <c r="K301" s="83" t="s">
        <v>3467</v>
      </c>
      <c r="L301" s="83" t="s">
        <v>3468</v>
      </c>
      <c r="M301" s="83" t="s">
        <v>3469</v>
      </c>
    </row>
    <row r="302" spans="1:13" s="44" customFormat="1" ht="20.100000000000001" customHeight="1" x14ac:dyDescent="0.25">
      <c r="A302" s="78"/>
      <c r="B302" s="79"/>
      <c r="C302" s="79"/>
      <c r="D302" s="79"/>
      <c r="E302" s="81">
        <v>21</v>
      </c>
      <c r="F302" s="84" t="s">
        <v>3621</v>
      </c>
      <c r="G302" s="81" t="s">
        <v>3470</v>
      </c>
      <c r="H302" s="81">
        <v>1</v>
      </c>
      <c r="I302" s="78">
        <v>20</v>
      </c>
      <c r="J302" s="83" t="s">
        <v>3471</v>
      </c>
      <c r="K302" s="83" t="s">
        <v>3472</v>
      </c>
      <c r="L302" s="83" t="s">
        <v>3473</v>
      </c>
      <c r="M302" s="83" t="s">
        <v>3474</v>
      </c>
    </row>
    <row r="303" spans="1:13" s="44" customFormat="1" ht="20.100000000000001" customHeight="1" x14ac:dyDescent="0.25">
      <c r="A303" s="78"/>
      <c r="B303" s="79"/>
      <c r="C303" s="79"/>
      <c r="D303" s="79"/>
      <c r="E303" s="81">
        <v>22</v>
      </c>
      <c r="F303" s="84" t="s">
        <v>3622</v>
      </c>
      <c r="G303" s="81" t="s">
        <v>3475</v>
      </c>
      <c r="H303" s="81">
        <v>1</v>
      </c>
      <c r="I303" s="78">
        <v>20</v>
      </c>
      <c r="J303" s="83" t="s">
        <v>3476</v>
      </c>
      <c r="K303" s="83" t="s">
        <v>3477</v>
      </c>
      <c r="L303" s="83" t="s">
        <v>3478</v>
      </c>
      <c r="M303" s="83" t="s">
        <v>3479</v>
      </c>
    </row>
    <row r="304" spans="1:13" s="44" customFormat="1" ht="20.100000000000001" customHeight="1" x14ac:dyDescent="0.25">
      <c r="A304" s="78"/>
      <c r="B304" s="79"/>
      <c r="C304" s="79"/>
      <c r="D304" s="79"/>
      <c r="E304" s="81">
        <v>23</v>
      </c>
      <c r="F304" s="84" t="s">
        <v>3623</v>
      </c>
      <c r="G304" s="81" t="s">
        <v>3480</v>
      </c>
      <c r="H304" s="81">
        <v>1</v>
      </c>
      <c r="I304" s="78">
        <v>20</v>
      </c>
      <c r="J304" s="83" t="s">
        <v>3481</v>
      </c>
      <c r="K304" s="83" t="s">
        <v>3482</v>
      </c>
      <c r="L304" s="83" t="s">
        <v>3483</v>
      </c>
      <c r="M304" s="83" t="s">
        <v>3484</v>
      </c>
    </row>
    <row r="305" spans="1:13" s="44" customFormat="1" ht="20.100000000000001" customHeight="1" x14ac:dyDescent="0.25">
      <c r="A305" s="78"/>
      <c r="B305" s="79"/>
      <c r="C305" s="79"/>
      <c r="D305" s="79"/>
      <c r="E305" s="81">
        <v>24</v>
      </c>
      <c r="F305" s="84" t="s">
        <v>3624</v>
      </c>
      <c r="G305" s="81" t="s">
        <v>3485</v>
      </c>
      <c r="H305" s="81">
        <v>1</v>
      </c>
      <c r="I305" s="78">
        <v>20</v>
      </c>
      <c r="J305" s="83" t="s">
        <v>3486</v>
      </c>
      <c r="K305" s="83" t="s">
        <v>3487</v>
      </c>
      <c r="L305" s="83" t="s">
        <v>3488</v>
      </c>
      <c r="M305" s="83" t="s">
        <v>3489</v>
      </c>
    </row>
    <row r="306" spans="1:13" s="44" customFormat="1" ht="20.100000000000001" customHeight="1" x14ac:dyDescent="0.25">
      <c r="A306" s="78"/>
      <c r="B306" s="79"/>
      <c r="C306" s="79"/>
      <c r="D306" s="79"/>
      <c r="E306" s="81">
        <v>25</v>
      </c>
      <c r="F306" s="84" t="s">
        <v>3625</v>
      </c>
      <c r="G306" s="81" t="s">
        <v>3490</v>
      </c>
      <c r="H306" s="81">
        <v>1</v>
      </c>
      <c r="I306" s="78">
        <v>20</v>
      </c>
      <c r="J306" s="83" t="s">
        <v>3491</v>
      </c>
      <c r="K306" s="83" t="s">
        <v>3492</v>
      </c>
      <c r="L306" s="83" t="s">
        <v>3493</v>
      </c>
      <c r="M306" s="83" t="s">
        <v>3494</v>
      </c>
    </row>
    <row r="307" spans="1:13" s="44" customFormat="1" ht="20.100000000000001" customHeight="1" x14ac:dyDescent="0.25">
      <c r="A307" s="78"/>
      <c r="B307" s="79"/>
      <c r="C307" s="79"/>
      <c r="D307" s="79"/>
      <c r="E307" s="81">
        <v>26</v>
      </c>
      <c r="F307" s="84" t="s">
        <v>3626</v>
      </c>
      <c r="G307" s="81" t="s">
        <v>3495</v>
      </c>
      <c r="H307" s="81">
        <v>1</v>
      </c>
      <c r="I307" s="78">
        <v>20</v>
      </c>
      <c r="J307" s="83" t="s">
        <v>3496</v>
      </c>
      <c r="K307" s="83" t="s">
        <v>3497</v>
      </c>
      <c r="L307" s="83" t="s">
        <v>3498</v>
      </c>
      <c r="M307" s="83" t="s">
        <v>3499</v>
      </c>
    </row>
    <row r="308" spans="1:13" s="44" customFormat="1" ht="20.100000000000001" customHeight="1" x14ac:dyDescent="0.25">
      <c r="A308" s="78"/>
      <c r="B308" s="79"/>
      <c r="C308" s="79"/>
      <c r="D308" s="79"/>
      <c r="E308" s="81">
        <v>27</v>
      </c>
      <c r="F308" s="84" t="s">
        <v>3627</v>
      </c>
      <c r="G308" s="81" t="s">
        <v>3500</v>
      </c>
      <c r="H308" s="81">
        <v>1</v>
      </c>
      <c r="I308" s="78">
        <v>20</v>
      </c>
      <c r="J308" s="83" t="s">
        <v>3501</v>
      </c>
      <c r="K308" s="83" t="s">
        <v>3502</v>
      </c>
      <c r="L308" s="83" t="s">
        <v>3503</v>
      </c>
      <c r="M308" s="83" t="s">
        <v>3504</v>
      </c>
    </row>
    <row r="309" spans="1:13" s="44" customFormat="1" ht="20.100000000000001" customHeight="1" x14ac:dyDescent="0.25">
      <c r="A309" s="78"/>
      <c r="B309" s="79"/>
      <c r="C309" s="79"/>
      <c r="D309" s="79"/>
      <c r="E309" s="81">
        <v>28</v>
      </c>
      <c r="F309" s="84" t="s">
        <v>3628</v>
      </c>
      <c r="G309" s="81" t="s">
        <v>3505</v>
      </c>
      <c r="H309" s="81">
        <v>1</v>
      </c>
      <c r="I309" s="78">
        <v>20</v>
      </c>
      <c r="J309" s="83" t="s">
        <v>3506</v>
      </c>
      <c r="K309" s="83" t="s">
        <v>3507</v>
      </c>
      <c r="L309" s="83" t="s">
        <v>3508</v>
      </c>
      <c r="M309" s="83" t="s">
        <v>3509</v>
      </c>
    </row>
    <row r="310" spans="1:13" s="44" customFormat="1" ht="20.100000000000001" customHeight="1" x14ac:dyDescent="0.25">
      <c r="A310" s="78"/>
      <c r="B310" s="79"/>
      <c r="C310" s="79"/>
      <c r="D310" s="79"/>
      <c r="E310" s="81">
        <v>29</v>
      </c>
      <c r="F310" s="84" t="s">
        <v>3629</v>
      </c>
      <c r="G310" s="81" t="s">
        <v>3510</v>
      </c>
      <c r="H310" s="81">
        <v>1</v>
      </c>
      <c r="I310" s="78">
        <v>20</v>
      </c>
      <c r="J310" s="83" t="s">
        <v>3511</v>
      </c>
      <c r="K310" s="83" t="s">
        <v>3512</v>
      </c>
      <c r="L310" s="83" t="s">
        <v>3513</v>
      </c>
      <c r="M310" s="83" t="s">
        <v>3514</v>
      </c>
    </row>
    <row r="311" spans="1:13" s="44" customFormat="1" ht="20.100000000000001" customHeight="1" x14ac:dyDescent="0.25">
      <c r="A311" s="78"/>
      <c r="B311" s="79"/>
      <c r="C311" s="79"/>
      <c r="D311" s="79"/>
      <c r="E311" s="81">
        <v>30</v>
      </c>
      <c r="F311" s="84" t="s">
        <v>3630</v>
      </c>
      <c r="G311" s="81" t="s">
        <v>3515</v>
      </c>
      <c r="H311" s="81">
        <v>1</v>
      </c>
      <c r="I311" s="78">
        <v>20</v>
      </c>
      <c r="J311" s="83" t="s">
        <v>3516</v>
      </c>
      <c r="K311" s="83" t="s">
        <v>3517</v>
      </c>
      <c r="L311" s="83" t="s">
        <v>3518</v>
      </c>
      <c r="M311" s="83" t="s">
        <v>3519</v>
      </c>
    </row>
    <row r="312" spans="1:13" s="44" customFormat="1" ht="20.100000000000001" customHeight="1" x14ac:dyDescent="0.25">
      <c r="A312" s="78"/>
      <c r="B312" s="79"/>
      <c r="C312" s="79"/>
      <c r="D312" s="79"/>
      <c r="E312" s="81">
        <v>31</v>
      </c>
      <c r="F312" s="84" t="s">
        <v>3631</v>
      </c>
      <c r="G312" s="81" t="s">
        <v>3520</v>
      </c>
      <c r="H312" s="81">
        <v>1</v>
      </c>
      <c r="I312" s="78">
        <v>20</v>
      </c>
      <c r="J312" s="83" t="s">
        <v>3521</v>
      </c>
      <c r="K312" s="83" t="s">
        <v>3522</v>
      </c>
      <c r="L312" s="83" t="s">
        <v>3523</v>
      </c>
      <c r="M312" s="83" t="s">
        <v>3524</v>
      </c>
    </row>
    <row r="313" spans="1:13" s="44" customFormat="1" ht="20.100000000000001" customHeight="1" x14ac:dyDescent="0.25">
      <c r="A313" s="78"/>
      <c r="B313" s="79"/>
      <c r="C313" s="79"/>
      <c r="D313" s="79"/>
      <c r="E313" s="81">
        <v>32</v>
      </c>
      <c r="F313" s="84" t="s">
        <v>3632</v>
      </c>
      <c r="G313" s="81" t="s">
        <v>3525</v>
      </c>
      <c r="H313" s="81">
        <v>1</v>
      </c>
      <c r="I313" s="78">
        <v>20</v>
      </c>
      <c r="J313" s="83" t="s">
        <v>3526</v>
      </c>
      <c r="K313" s="83" t="s">
        <v>3527</v>
      </c>
      <c r="L313" s="83" t="s">
        <v>3528</v>
      </c>
      <c r="M313" s="83" t="s">
        <v>3529</v>
      </c>
    </row>
    <row r="314" spans="1:13" s="44" customFormat="1" ht="20.100000000000001" customHeight="1" x14ac:dyDescent="0.25">
      <c r="A314" s="78"/>
      <c r="B314" s="79"/>
      <c r="C314" s="79"/>
      <c r="D314" s="79"/>
      <c r="E314" s="81">
        <v>33</v>
      </c>
      <c r="F314" s="84" t="s">
        <v>3633</v>
      </c>
      <c r="G314" s="81" t="s">
        <v>3530</v>
      </c>
      <c r="H314" s="81">
        <v>1</v>
      </c>
      <c r="I314" s="78">
        <v>20</v>
      </c>
      <c r="J314" s="83" t="s">
        <v>3531</v>
      </c>
      <c r="K314" s="83" t="s">
        <v>3532</v>
      </c>
      <c r="L314" s="83" t="s">
        <v>3533</v>
      </c>
      <c r="M314" s="83" t="s">
        <v>3534</v>
      </c>
    </row>
    <row r="315" spans="1:13" s="44" customFormat="1" ht="20.100000000000001" customHeight="1" x14ac:dyDescent="0.25">
      <c r="A315" s="78"/>
      <c r="B315" s="79"/>
      <c r="C315" s="79"/>
      <c r="D315" s="79"/>
      <c r="E315" s="81">
        <v>34</v>
      </c>
      <c r="F315" s="84" t="s">
        <v>3634</v>
      </c>
      <c r="G315" s="81" t="s">
        <v>3535</v>
      </c>
      <c r="H315" s="81">
        <v>1</v>
      </c>
      <c r="I315" s="78">
        <v>20</v>
      </c>
      <c r="J315" s="83" t="s">
        <v>3536</v>
      </c>
      <c r="K315" s="83" t="s">
        <v>3537</v>
      </c>
      <c r="L315" s="83" t="s">
        <v>3538</v>
      </c>
      <c r="M315" s="83" t="s">
        <v>3539</v>
      </c>
    </row>
    <row r="316" spans="1:13" s="44" customFormat="1" ht="20.100000000000001" customHeight="1" x14ac:dyDescent="0.25">
      <c r="A316" s="78"/>
      <c r="B316" s="79"/>
      <c r="C316" s="79"/>
      <c r="D316" s="79"/>
      <c r="E316" s="81">
        <v>35</v>
      </c>
      <c r="F316" s="84" t="s">
        <v>3635</v>
      </c>
      <c r="G316" s="81" t="s">
        <v>3540</v>
      </c>
      <c r="H316" s="81">
        <v>1</v>
      </c>
      <c r="I316" s="78">
        <v>20</v>
      </c>
      <c r="J316" s="83" t="s">
        <v>3541</v>
      </c>
      <c r="K316" s="83" t="s">
        <v>3542</v>
      </c>
      <c r="L316" s="83" t="s">
        <v>3543</v>
      </c>
      <c r="M316" s="83" t="s">
        <v>3544</v>
      </c>
    </row>
    <row r="317" spans="1:13" s="44" customFormat="1" ht="20.100000000000001" customHeight="1" x14ac:dyDescent="0.25">
      <c r="A317" s="78"/>
      <c r="B317" s="79"/>
      <c r="C317" s="79"/>
      <c r="D317" s="79"/>
      <c r="E317" s="81">
        <v>36</v>
      </c>
      <c r="F317" s="84" t="s">
        <v>3636</v>
      </c>
      <c r="G317" s="81" t="s">
        <v>3545</v>
      </c>
      <c r="H317" s="81">
        <v>1</v>
      </c>
      <c r="I317" s="78">
        <v>20</v>
      </c>
      <c r="J317" s="83" t="s">
        <v>3546</v>
      </c>
      <c r="K317" s="83" t="s">
        <v>3547</v>
      </c>
      <c r="L317" s="83" t="s">
        <v>3548</v>
      </c>
      <c r="M317" s="83" t="s">
        <v>3549</v>
      </c>
    </row>
    <row r="318" spans="1:13" s="44" customFormat="1" ht="20.100000000000001" customHeight="1" x14ac:dyDescent="0.25">
      <c r="A318" s="78"/>
      <c r="B318" s="79"/>
      <c r="C318" s="79"/>
      <c r="D318" s="79"/>
      <c r="E318" s="81">
        <v>37</v>
      </c>
      <c r="F318" s="84" t="s">
        <v>3637</v>
      </c>
      <c r="G318" s="81" t="s">
        <v>3550</v>
      </c>
      <c r="H318" s="81">
        <v>1</v>
      </c>
      <c r="I318" s="78">
        <v>20</v>
      </c>
      <c r="J318" s="83" t="s">
        <v>3551</v>
      </c>
      <c r="K318" s="83" t="s">
        <v>3552</v>
      </c>
      <c r="L318" s="83" t="s">
        <v>3553</v>
      </c>
      <c r="M318" s="83" t="s">
        <v>3554</v>
      </c>
    </row>
    <row r="319" spans="1:13" s="44" customFormat="1" ht="20.100000000000001" customHeight="1" x14ac:dyDescent="0.25">
      <c r="A319" s="78"/>
      <c r="B319" s="79"/>
      <c r="C319" s="79"/>
      <c r="D319" s="79"/>
      <c r="E319" s="81">
        <v>38</v>
      </c>
      <c r="F319" s="84" t="s">
        <v>3638</v>
      </c>
      <c r="G319" s="81" t="s">
        <v>3555</v>
      </c>
      <c r="H319" s="81">
        <v>1</v>
      </c>
      <c r="I319" s="78">
        <v>20</v>
      </c>
      <c r="J319" s="83" t="s">
        <v>3556</v>
      </c>
      <c r="K319" s="83" t="s">
        <v>3557</v>
      </c>
      <c r="L319" s="83" t="s">
        <v>3558</v>
      </c>
      <c r="M319" s="83" t="s">
        <v>3559</v>
      </c>
    </row>
    <row r="320" spans="1:13" s="44" customFormat="1" ht="20.100000000000001" customHeight="1" x14ac:dyDescent="0.25">
      <c r="A320" s="78"/>
      <c r="B320" s="79"/>
      <c r="C320" s="79"/>
      <c r="D320" s="79"/>
      <c r="E320" s="81">
        <v>39</v>
      </c>
      <c r="F320" s="84" t="s">
        <v>3639</v>
      </c>
      <c r="G320" s="81" t="s">
        <v>3560</v>
      </c>
      <c r="H320" s="81">
        <v>1</v>
      </c>
      <c r="I320" s="78">
        <v>20</v>
      </c>
      <c r="J320" s="83" t="s">
        <v>3561</v>
      </c>
      <c r="K320" s="83" t="s">
        <v>3562</v>
      </c>
      <c r="L320" s="83" t="s">
        <v>3563</v>
      </c>
      <c r="M320" s="83" t="s">
        <v>3564</v>
      </c>
    </row>
    <row r="321" spans="1:13" s="44" customFormat="1" ht="20.100000000000001" customHeight="1" x14ac:dyDescent="0.25">
      <c r="A321" s="78"/>
      <c r="B321" s="79"/>
      <c r="C321" s="79"/>
      <c r="D321" s="79"/>
      <c r="E321" s="81">
        <v>40</v>
      </c>
      <c r="F321" s="84" t="s">
        <v>3640</v>
      </c>
      <c r="G321" s="81" t="s">
        <v>3565</v>
      </c>
      <c r="H321" s="81">
        <v>1</v>
      </c>
      <c r="I321" s="78">
        <v>20</v>
      </c>
      <c r="J321" s="83" t="s">
        <v>3566</v>
      </c>
      <c r="K321" s="83" t="s">
        <v>3567</v>
      </c>
      <c r="L321" s="83" t="s">
        <v>3568</v>
      </c>
      <c r="M321" s="83" t="s">
        <v>3569</v>
      </c>
    </row>
    <row r="322" spans="1:13" ht="20.100000000000001" customHeight="1" x14ac:dyDescent="0.25">
      <c r="A322" s="48"/>
      <c r="B322" s="48"/>
      <c r="C322" s="48">
        <v>1000</v>
      </c>
      <c r="D322" s="48" t="s">
        <v>1987</v>
      </c>
      <c r="E322" s="48">
        <v>1</v>
      </c>
      <c r="F322" s="49" t="s">
        <v>1949</v>
      </c>
      <c r="G322" s="48" t="s">
        <v>1227</v>
      </c>
      <c r="H322" s="48">
        <v>5</v>
      </c>
      <c r="I322" s="48">
        <v>3</v>
      </c>
      <c r="J322" s="48" t="s">
        <v>361</v>
      </c>
      <c r="K322" s="48" t="s">
        <v>1690</v>
      </c>
      <c r="L322" s="48" t="s">
        <v>175</v>
      </c>
      <c r="M322" s="48" t="s">
        <v>1692</v>
      </c>
    </row>
    <row r="323" spans="1:13" ht="20.100000000000001" customHeight="1" x14ac:dyDescent="0.25">
      <c r="A323" s="48"/>
      <c r="B323" s="48"/>
      <c r="C323" s="48"/>
      <c r="D323" s="48" t="s">
        <v>1988</v>
      </c>
      <c r="E323" s="48">
        <v>2</v>
      </c>
      <c r="F323" s="49" t="s">
        <v>1950</v>
      </c>
      <c r="G323" s="48" t="s">
        <v>1228</v>
      </c>
      <c r="H323" s="48">
        <v>5</v>
      </c>
      <c r="I323" s="48">
        <v>3</v>
      </c>
      <c r="J323" s="48" t="s">
        <v>362</v>
      </c>
      <c r="K323" s="48" t="s">
        <v>386</v>
      </c>
      <c r="L323" s="48" t="s">
        <v>176</v>
      </c>
      <c r="M323" s="48" t="s">
        <v>174</v>
      </c>
    </row>
    <row r="324" spans="1:13" ht="20.100000000000001" customHeight="1" x14ac:dyDescent="0.25">
      <c r="A324" s="48"/>
      <c r="B324" s="48"/>
      <c r="C324" s="48"/>
      <c r="D324" s="48" t="s">
        <v>8972</v>
      </c>
      <c r="E324" s="48">
        <v>3</v>
      </c>
      <c r="F324" s="49" t="s">
        <v>1951</v>
      </c>
      <c r="G324" s="48" t="s">
        <v>1229</v>
      </c>
      <c r="H324" s="48">
        <v>5</v>
      </c>
      <c r="I324" s="48">
        <v>3</v>
      </c>
      <c r="J324" s="48" t="s">
        <v>1689</v>
      </c>
      <c r="K324" s="48" t="s">
        <v>1691</v>
      </c>
      <c r="L324" s="48" t="s">
        <v>1694</v>
      </c>
      <c r="M324" s="48" t="s">
        <v>173</v>
      </c>
    </row>
    <row r="325" spans="1:13" ht="20.100000000000001" customHeight="1" x14ac:dyDescent="0.25">
      <c r="A325" s="48"/>
      <c r="B325" s="48"/>
      <c r="C325" s="48"/>
      <c r="D325" s="48" t="s">
        <v>1757</v>
      </c>
      <c r="E325" s="48">
        <v>4</v>
      </c>
      <c r="F325" s="49" t="s">
        <v>1952</v>
      </c>
      <c r="G325" s="48" t="s">
        <v>1230</v>
      </c>
      <c r="H325" s="48">
        <v>5</v>
      </c>
      <c r="I325" s="48">
        <v>3</v>
      </c>
      <c r="J325" s="48" t="s">
        <v>1758</v>
      </c>
      <c r="K325" s="48" t="s">
        <v>367</v>
      </c>
      <c r="L325" s="48" t="s">
        <v>1695</v>
      </c>
      <c r="M325" s="48" t="s">
        <v>172</v>
      </c>
    </row>
    <row r="326" spans="1:13" ht="20.100000000000001" customHeight="1" x14ac:dyDescent="0.25">
      <c r="A326" s="48"/>
      <c r="B326" s="48"/>
      <c r="C326" s="48"/>
      <c r="D326" s="48"/>
      <c r="E326" s="48">
        <v>5</v>
      </c>
      <c r="F326" s="50" t="s">
        <v>1991</v>
      </c>
      <c r="G326" s="48" t="s">
        <v>1231</v>
      </c>
      <c r="H326" s="48">
        <v>5</v>
      </c>
      <c r="I326" s="48">
        <v>3</v>
      </c>
      <c r="J326" s="48" t="s">
        <v>363</v>
      </c>
      <c r="K326" s="48" t="s">
        <v>368</v>
      </c>
      <c r="L326" s="48" t="s">
        <v>1696</v>
      </c>
      <c r="M326" s="48" t="s">
        <v>171</v>
      </c>
    </row>
    <row r="327" spans="1:13" ht="20.100000000000001" customHeight="1" x14ac:dyDescent="0.25">
      <c r="A327" s="48"/>
      <c r="B327" s="48"/>
      <c r="C327" s="48"/>
      <c r="D327" s="48"/>
      <c r="E327" s="48">
        <v>6</v>
      </c>
      <c r="F327" s="49" t="s">
        <v>1953</v>
      </c>
      <c r="G327" s="48" t="s">
        <v>1232</v>
      </c>
      <c r="H327" s="48">
        <v>5</v>
      </c>
      <c r="I327" s="48">
        <v>1</v>
      </c>
      <c r="J327" s="48" t="s">
        <v>364</v>
      </c>
      <c r="K327" s="48" t="s">
        <v>369</v>
      </c>
      <c r="L327" s="48" t="s">
        <v>177</v>
      </c>
      <c r="M327" s="48" t="s">
        <v>1693</v>
      </c>
    </row>
    <row r="328" spans="1:13" ht="20.100000000000001" customHeight="1" x14ac:dyDescent="0.25">
      <c r="A328" s="48"/>
      <c r="B328" s="48"/>
      <c r="C328" s="48"/>
      <c r="D328" s="48"/>
      <c r="E328" s="48">
        <v>7</v>
      </c>
      <c r="F328" s="49" t="s">
        <v>1954</v>
      </c>
      <c r="G328" s="48" t="s">
        <v>1233</v>
      </c>
      <c r="H328" s="48">
        <v>5</v>
      </c>
      <c r="I328" s="48">
        <v>1</v>
      </c>
      <c r="J328" s="48" t="s">
        <v>365</v>
      </c>
      <c r="K328" s="48" t="s">
        <v>370</v>
      </c>
      <c r="L328" s="48" t="s">
        <v>178</v>
      </c>
      <c r="M328" s="48" t="s">
        <v>170</v>
      </c>
    </row>
    <row r="329" spans="1:13" ht="20.100000000000001" customHeight="1" x14ac:dyDescent="0.25">
      <c r="A329" s="48"/>
      <c r="B329" s="48"/>
      <c r="C329" s="48"/>
      <c r="D329" s="48"/>
      <c r="E329" s="48">
        <v>8</v>
      </c>
      <c r="F329" s="49" t="s">
        <v>1955</v>
      </c>
      <c r="G329" s="48" t="s">
        <v>1234</v>
      </c>
      <c r="H329" s="48">
        <v>5</v>
      </c>
      <c r="I329" s="48">
        <v>1</v>
      </c>
      <c r="J329" s="48" t="s">
        <v>1245</v>
      </c>
      <c r="K329" s="48" t="s">
        <v>1246</v>
      </c>
      <c r="L329" s="48" t="s">
        <v>1247</v>
      </c>
      <c r="M329" s="48" t="s">
        <v>1248</v>
      </c>
    </row>
    <row r="330" spans="1:13" ht="20.100000000000001" customHeight="1" x14ac:dyDescent="0.25">
      <c r="A330" s="48"/>
      <c r="B330" s="48"/>
      <c r="C330" s="48"/>
      <c r="D330" s="48"/>
      <c r="E330" s="48">
        <v>9</v>
      </c>
      <c r="F330" s="49" t="s">
        <v>1956</v>
      </c>
      <c r="G330" s="48" t="s">
        <v>1235</v>
      </c>
      <c r="H330" s="48">
        <v>5</v>
      </c>
      <c r="I330" s="48">
        <v>1</v>
      </c>
      <c r="J330" s="48" t="s">
        <v>1697</v>
      </c>
      <c r="K330" s="48" t="s">
        <v>371</v>
      </c>
      <c r="L330" s="48" t="s">
        <v>179</v>
      </c>
      <c r="M330" s="48" t="s">
        <v>1700</v>
      </c>
    </row>
    <row r="331" spans="1:13" ht="20.100000000000001" customHeight="1" x14ac:dyDescent="0.25">
      <c r="A331" s="48"/>
      <c r="B331" s="48"/>
      <c r="C331" s="48"/>
      <c r="D331" s="48"/>
      <c r="E331" s="48">
        <v>10</v>
      </c>
      <c r="F331" s="49" t="s">
        <v>1957</v>
      </c>
      <c r="G331" s="48" t="s">
        <v>24</v>
      </c>
      <c r="H331" s="48">
        <v>5</v>
      </c>
      <c r="I331" s="48">
        <v>1</v>
      </c>
      <c r="J331" s="48" t="s">
        <v>1698</v>
      </c>
      <c r="K331" s="48" t="s">
        <v>372</v>
      </c>
      <c r="L331" s="48" t="s">
        <v>1699</v>
      </c>
      <c r="M331" s="48" t="s">
        <v>1701</v>
      </c>
    </row>
    <row r="332" spans="1:13" ht="20.100000000000001" customHeight="1" x14ac:dyDescent="0.25">
      <c r="A332" s="48"/>
      <c r="B332" s="48"/>
      <c r="C332" s="48"/>
      <c r="D332" s="48"/>
      <c r="E332" s="48">
        <v>11</v>
      </c>
      <c r="F332" s="49" t="s">
        <v>1958</v>
      </c>
      <c r="G332" s="48" t="s">
        <v>25</v>
      </c>
      <c r="H332" s="48">
        <v>5</v>
      </c>
      <c r="I332" s="48">
        <v>1</v>
      </c>
      <c r="J332" s="48" t="s">
        <v>366</v>
      </c>
      <c r="K332" s="48" t="s">
        <v>373</v>
      </c>
      <c r="L332" s="48" t="s">
        <v>180</v>
      </c>
      <c r="M332" s="48" t="s">
        <v>1687</v>
      </c>
    </row>
    <row r="333" spans="1:13" ht="20.100000000000001" customHeight="1" x14ac:dyDescent="0.25">
      <c r="A333" s="48"/>
      <c r="B333" s="48"/>
      <c r="C333" s="48"/>
      <c r="D333" s="48"/>
      <c r="E333" s="48">
        <v>12</v>
      </c>
      <c r="F333" s="49" t="s">
        <v>1959</v>
      </c>
      <c r="G333" s="48" t="s">
        <v>26</v>
      </c>
      <c r="H333" s="48">
        <v>5</v>
      </c>
      <c r="I333" s="48">
        <v>1</v>
      </c>
      <c r="J333" s="48" t="s">
        <v>385</v>
      </c>
      <c r="K333" s="48" t="s">
        <v>374</v>
      </c>
      <c r="L333" s="48" t="s">
        <v>181</v>
      </c>
      <c r="M333" s="48" t="s">
        <v>1702</v>
      </c>
    </row>
    <row r="334" spans="1:13" ht="20.100000000000001" customHeight="1" x14ac:dyDescent="0.25">
      <c r="A334" s="48"/>
      <c r="B334" s="48"/>
      <c r="C334" s="48"/>
      <c r="D334" s="48"/>
      <c r="E334" s="48">
        <v>13</v>
      </c>
      <c r="F334" s="50" t="s">
        <v>1960</v>
      </c>
      <c r="G334" s="48" t="s">
        <v>27</v>
      </c>
      <c r="H334" s="48">
        <v>5</v>
      </c>
      <c r="I334" s="48">
        <v>1</v>
      </c>
      <c r="J334" s="48" t="s">
        <v>379</v>
      </c>
      <c r="K334" s="48" t="s">
        <v>375</v>
      </c>
      <c r="L334" s="48" t="s">
        <v>182</v>
      </c>
      <c r="M334" s="48" t="s">
        <v>1703</v>
      </c>
    </row>
    <row r="335" spans="1:13" ht="20.100000000000001" customHeight="1" x14ac:dyDescent="0.25">
      <c r="A335" s="48"/>
      <c r="B335" s="48"/>
      <c r="C335" s="48"/>
      <c r="D335" s="48"/>
      <c r="E335" s="48">
        <v>14</v>
      </c>
      <c r="F335" s="50" t="s">
        <v>1961</v>
      </c>
      <c r="G335" s="48" t="s">
        <v>28</v>
      </c>
      <c r="H335" s="48">
        <v>5</v>
      </c>
      <c r="I335" s="48">
        <v>1</v>
      </c>
      <c r="J335" s="48" t="s">
        <v>1755</v>
      </c>
      <c r="K335" s="48" t="s">
        <v>1754</v>
      </c>
      <c r="L335" s="48" t="s">
        <v>1756</v>
      </c>
      <c r="M335" s="48" t="s">
        <v>169</v>
      </c>
    </row>
    <row r="336" spans="1:13" ht="20.100000000000001" customHeight="1" x14ac:dyDescent="0.25">
      <c r="A336" s="48"/>
      <c r="B336" s="48"/>
      <c r="C336" s="48"/>
      <c r="D336" s="48"/>
      <c r="E336" s="48">
        <v>15</v>
      </c>
      <c r="F336" s="50" t="s">
        <v>1962</v>
      </c>
      <c r="G336" s="48" t="s">
        <v>29</v>
      </c>
      <c r="H336" s="48">
        <v>5</v>
      </c>
      <c r="I336" s="48">
        <v>1</v>
      </c>
      <c r="J336" s="48" t="s">
        <v>380</v>
      </c>
      <c r="K336" s="48" t="s">
        <v>376</v>
      </c>
      <c r="L336" s="48" t="s">
        <v>183</v>
      </c>
      <c r="M336" s="48" t="s">
        <v>1704</v>
      </c>
    </row>
    <row r="337" spans="1:13" ht="20.100000000000001" customHeight="1" x14ac:dyDescent="0.25">
      <c r="A337" s="48"/>
      <c r="B337" s="48"/>
      <c r="C337" s="48"/>
      <c r="D337" s="48"/>
      <c r="E337" s="48">
        <v>16</v>
      </c>
      <c r="F337" s="50" t="s">
        <v>1963</v>
      </c>
      <c r="G337" s="48" t="s">
        <v>30</v>
      </c>
      <c r="H337" s="48">
        <v>5</v>
      </c>
      <c r="I337" s="48">
        <v>1</v>
      </c>
      <c r="J337" s="48" t="s">
        <v>381</v>
      </c>
      <c r="K337" s="48" t="s">
        <v>387</v>
      </c>
      <c r="L337" s="48" t="s">
        <v>184</v>
      </c>
      <c r="M337" s="48" t="s">
        <v>392</v>
      </c>
    </row>
    <row r="338" spans="1:13" ht="20.100000000000001" customHeight="1" x14ac:dyDescent="0.25">
      <c r="A338" s="48"/>
      <c r="B338" s="48"/>
      <c r="C338" s="48"/>
      <c r="D338" s="48"/>
      <c r="E338" s="48">
        <v>17</v>
      </c>
      <c r="F338" s="50" t="s">
        <v>1964</v>
      </c>
      <c r="G338" s="48" t="s">
        <v>31</v>
      </c>
      <c r="H338" s="48">
        <v>5</v>
      </c>
      <c r="I338" s="48">
        <v>1</v>
      </c>
      <c r="J338" s="48" t="s">
        <v>391</v>
      </c>
      <c r="K338" s="48" t="s">
        <v>377</v>
      </c>
      <c r="L338" s="48" t="s">
        <v>185</v>
      </c>
      <c r="M338" s="48" t="s">
        <v>1705</v>
      </c>
    </row>
    <row r="339" spans="1:13" ht="20.100000000000001" customHeight="1" x14ac:dyDescent="0.25">
      <c r="A339" s="48"/>
      <c r="B339" s="48"/>
      <c r="C339" s="48"/>
      <c r="D339" s="48"/>
      <c r="E339" s="48">
        <v>18</v>
      </c>
      <c r="F339" s="50" t="s">
        <v>1965</v>
      </c>
      <c r="G339" s="48" t="s">
        <v>32</v>
      </c>
      <c r="H339" s="48">
        <v>5</v>
      </c>
      <c r="I339" s="48">
        <v>1</v>
      </c>
      <c r="J339" s="48" t="s">
        <v>382</v>
      </c>
      <c r="K339" s="48" t="s">
        <v>378</v>
      </c>
      <c r="L339" s="48" t="s">
        <v>186</v>
      </c>
      <c r="M339" s="48" t="s">
        <v>1706</v>
      </c>
    </row>
    <row r="340" spans="1:13" ht="20.100000000000001" customHeight="1" x14ac:dyDescent="0.25">
      <c r="A340" s="48"/>
      <c r="B340" s="48"/>
      <c r="C340" s="48"/>
      <c r="D340" s="48"/>
      <c r="E340" s="48">
        <v>19</v>
      </c>
      <c r="F340" s="50" t="s">
        <v>1966</v>
      </c>
      <c r="G340" s="48" t="s">
        <v>33</v>
      </c>
      <c r="H340" s="48">
        <v>5</v>
      </c>
      <c r="I340" s="48">
        <v>1</v>
      </c>
      <c r="J340" s="48" t="s">
        <v>1688</v>
      </c>
      <c r="K340" s="48" t="s">
        <v>389</v>
      </c>
      <c r="L340" s="48" t="s">
        <v>187</v>
      </c>
      <c r="M340" s="48" t="s">
        <v>388</v>
      </c>
    </row>
    <row r="341" spans="1:13" ht="20.100000000000001" customHeight="1" x14ac:dyDescent="0.25">
      <c r="A341" s="48"/>
      <c r="B341" s="48"/>
      <c r="C341" s="48"/>
      <c r="D341" s="48"/>
      <c r="E341" s="48">
        <v>20</v>
      </c>
      <c r="F341" s="50" t="s">
        <v>1967</v>
      </c>
      <c r="G341" s="48" t="s">
        <v>34</v>
      </c>
      <c r="H341" s="48">
        <v>5</v>
      </c>
      <c r="I341" s="48">
        <v>1</v>
      </c>
      <c r="J341" s="48" t="s">
        <v>390</v>
      </c>
      <c r="K341" s="48" t="s">
        <v>383</v>
      </c>
      <c r="L341" s="48" t="s">
        <v>394</v>
      </c>
      <c r="M341" s="48" t="s">
        <v>1707</v>
      </c>
    </row>
    <row r="342" spans="1:13" ht="20.100000000000001" customHeight="1" x14ac:dyDescent="0.25">
      <c r="A342" s="48"/>
      <c r="B342" s="48"/>
      <c r="C342" s="48"/>
      <c r="D342" s="48"/>
      <c r="E342" s="48">
        <v>21</v>
      </c>
      <c r="F342" s="50" t="s">
        <v>1968</v>
      </c>
      <c r="G342" s="48" t="s">
        <v>76</v>
      </c>
      <c r="H342" s="48">
        <v>5</v>
      </c>
      <c r="I342" s="48">
        <v>1</v>
      </c>
      <c r="J342" s="48" t="s">
        <v>77</v>
      </c>
      <c r="K342" s="48" t="s">
        <v>78</v>
      </c>
      <c r="L342" s="48" t="s">
        <v>79</v>
      </c>
      <c r="M342" s="48" t="s">
        <v>80</v>
      </c>
    </row>
    <row r="343" spans="1:13" ht="20.100000000000001" customHeight="1" x14ac:dyDescent="0.25">
      <c r="A343" s="48"/>
      <c r="B343" s="48"/>
      <c r="C343" s="48"/>
      <c r="D343" s="48"/>
      <c r="E343" s="48">
        <v>22</v>
      </c>
      <c r="F343" s="50" t="s">
        <v>1969</v>
      </c>
      <c r="G343" s="48" t="s">
        <v>82</v>
      </c>
      <c r="H343" s="48">
        <v>5</v>
      </c>
      <c r="I343" s="48">
        <v>1</v>
      </c>
      <c r="J343" s="48" t="s">
        <v>83</v>
      </c>
      <c r="K343" s="48" t="s">
        <v>84</v>
      </c>
      <c r="L343" s="48" t="s">
        <v>85</v>
      </c>
      <c r="M343" s="48" t="s">
        <v>86</v>
      </c>
    </row>
    <row r="344" spans="1:13" ht="20.100000000000001" customHeight="1" x14ac:dyDescent="0.25">
      <c r="A344" s="48"/>
      <c r="B344" s="48"/>
      <c r="C344" s="48"/>
      <c r="D344" s="48"/>
      <c r="E344" s="48">
        <v>23</v>
      </c>
      <c r="F344" s="50" t="s">
        <v>1970</v>
      </c>
      <c r="G344" s="48" t="s">
        <v>88</v>
      </c>
      <c r="H344" s="48">
        <v>5</v>
      </c>
      <c r="I344" s="48">
        <v>1</v>
      </c>
      <c r="J344" s="48" t="s">
        <v>89</v>
      </c>
      <c r="K344" s="48" t="s">
        <v>90</v>
      </c>
      <c r="L344" s="48" t="s">
        <v>91</v>
      </c>
      <c r="M344" s="48" t="s">
        <v>92</v>
      </c>
    </row>
    <row r="345" spans="1:13" ht="20.100000000000001" customHeight="1" x14ac:dyDescent="0.25">
      <c r="A345" s="48"/>
      <c r="B345" s="48"/>
      <c r="C345" s="48"/>
      <c r="D345" s="48"/>
      <c r="E345" s="48">
        <v>24</v>
      </c>
      <c r="F345" s="50" t="s">
        <v>1971</v>
      </c>
      <c r="G345" s="48" t="s">
        <v>93</v>
      </c>
      <c r="H345" s="48">
        <v>5</v>
      </c>
      <c r="I345" s="48">
        <v>1</v>
      </c>
      <c r="J345" s="48" t="s">
        <v>94</v>
      </c>
      <c r="K345" s="48" t="s">
        <v>95</v>
      </c>
      <c r="L345" s="48" t="s">
        <v>96</v>
      </c>
      <c r="M345" s="48" t="s">
        <v>1708</v>
      </c>
    </row>
    <row r="346" spans="1:13" ht="20.100000000000001" customHeight="1" x14ac:dyDescent="0.25">
      <c r="A346" s="48"/>
      <c r="B346" s="48"/>
      <c r="C346" s="48"/>
      <c r="D346" s="48"/>
      <c r="E346" s="48">
        <v>25</v>
      </c>
      <c r="F346" s="50" t="s">
        <v>1972</v>
      </c>
      <c r="G346" s="48" t="s">
        <v>98</v>
      </c>
      <c r="H346" s="48">
        <v>5</v>
      </c>
      <c r="I346" s="48">
        <v>1</v>
      </c>
      <c r="J346" s="48" t="s">
        <v>99</v>
      </c>
      <c r="K346" s="48" t="s">
        <v>100</v>
      </c>
      <c r="L346" s="48" t="s">
        <v>101</v>
      </c>
      <c r="M346" s="48" t="s">
        <v>102</v>
      </c>
    </row>
    <row r="347" spans="1:13" ht="20.100000000000001" customHeight="1" x14ac:dyDescent="0.25">
      <c r="A347" s="48"/>
      <c r="B347" s="48"/>
      <c r="C347" s="48"/>
      <c r="D347" s="48"/>
      <c r="E347" s="48">
        <v>26</v>
      </c>
      <c r="F347" s="50" t="s">
        <v>1973</v>
      </c>
      <c r="G347" s="48" t="s">
        <v>103</v>
      </c>
      <c r="H347" s="48">
        <v>5</v>
      </c>
      <c r="I347" s="48">
        <v>1</v>
      </c>
      <c r="J347" s="48" t="s">
        <v>106</v>
      </c>
      <c r="K347" s="48" t="s">
        <v>1709</v>
      </c>
      <c r="L347" s="48" t="s">
        <v>107</v>
      </c>
      <c r="M347" s="48" t="s">
        <v>1710</v>
      </c>
    </row>
    <row r="348" spans="1:13" ht="20.100000000000001" customHeight="1" x14ac:dyDescent="0.25">
      <c r="A348" s="48"/>
      <c r="B348" s="48"/>
      <c r="C348" s="48"/>
      <c r="D348" s="48"/>
      <c r="E348" s="48">
        <v>27</v>
      </c>
      <c r="F348" s="50" t="s">
        <v>1974</v>
      </c>
      <c r="G348" s="48" t="s">
        <v>104</v>
      </c>
      <c r="H348" s="48">
        <v>5</v>
      </c>
      <c r="I348" s="48">
        <v>1</v>
      </c>
      <c r="J348" s="48" t="s">
        <v>1711</v>
      </c>
      <c r="K348" s="48" t="s">
        <v>109</v>
      </c>
      <c r="L348" s="48" t="s">
        <v>1712</v>
      </c>
      <c r="M348" s="48" t="s">
        <v>110</v>
      </c>
    </row>
    <row r="349" spans="1:13" ht="20.100000000000001" customHeight="1" x14ac:dyDescent="0.25">
      <c r="A349" s="48"/>
      <c r="B349" s="48"/>
      <c r="C349" s="48"/>
      <c r="D349" s="48"/>
      <c r="E349" s="48">
        <v>28</v>
      </c>
      <c r="F349" s="50" t="s">
        <v>1992</v>
      </c>
      <c r="G349" s="48" t="s">
        <v>105</v>
      </c>
      <c r="H349" s="48">
        <v>5</v>
      </c>
      <c r="I349" s="48">
        <v>1</v>
      </c>
      <c r="J349" s="48" t="s">
        <v>112</v>
      </c>
      <c r="K349" s="48" t="s">
        <v>1713</v>
      </c>
      <c r="L349" s="48" t="s">
        <v>1714</v>
      </c>
      <c r="M349" s="48" t="s">
        <v>1715</v>
      </c>
    </row>
    <row r="350" spans="1:13" ht="20.100000000000001" customHeight="1" x14ac:dyDescent="0.25">
      <c r="A350" s="48"/>
      <c r="B350" s="48"/>
      <c r="C350" s="48"/>
      <c r="D350" s="48"/>
      <c r="E350" s="48">
        <v>29</v>
      </c>
      <c r="F350" s="50" t="s">
        <v>1975</v>
      </c>
      <c r="G350" s="48" t="s">
        <v>108</v>
      </c>
      <c r="H350" s="48">
        <v>5</v>
      </c>
      <c r="I350" s="48">
        <v>1</v>
      </c>
      <c r="J350" s="48" t="s">
        <v>1716</v>
      </c>
      <c r="K350" s="48" t="s">
        <v>1717</v>
      </c>
      <c r="L350" s="48" t="s">
        <v>115</v>
      </c>
      <c r="M350" s="48" t="s">
        <v>116</v>
      </c>
    </row>
    <row r="351" spans="1:13" ht="20.100000000000001" customHeight="1" x14ac:dyDescent="0.25">
      <c r="A351" s="48"/>
      <c r="B351" s="48"/>
      <c r="C351" s="48"/>
      <c r="D351" s="48"/>
      <c r="E351" s="48">
        <v>30</v>
      </c>
      <c r="F351" s="50" t="s">
        <v>1989</v>
      </c>
      <c r="G351" s="48" t="s">
        <v>111</v>
      </c>
      <c r="H351" s="48">
        <v>5</v>
      </c>
      <c r="I351" s="48">
        <v>1</v>
      </c>
      <c r="J351" s="48" t="s">
        <v>118</v>
      </c>
      <c r="K351" s="48" t="s">
        <v>119</v>
      </c>
      <c r="L351" s="48" t="s">
        <v>1718</v>
      </c>
      <c r="M351" s="48" t="s">
        <v>1719</v>
      </c>
    </row>
    <row r="352" spans="1:13" ht="20.100000000000001" customHeight="1" x14ac:dyDescent="0.25">
      <c r="A352" s="48"/>
      <c r="B352" s="48"/>
      <c r="C352" s="48"/>
      <c r="D352" s="48"/>
      <c r="E352" s="48">
        <v>31</v>
      </c>
      <c r="F352" s="50" t="s">
        <v>1976</v>
      </c>
      <c r="G352" s="48" t="s">
        <v>114</v>
      </c>
      <c r="H352" s="48">
        <v>5</v>
      </c>
      <c r="I352" s="48">
        <v>1</v>
      </c>
      <c r="J352" s="48" t="s">
        <v>1720</v>
      </c>
      <c r="K352" s="48" t="s">
        <v>1721</v>
      </c>
      <c r="L352" s="48" t="s">
        <v>1722</v>
      </c>
      <c r="M352" s="48" t="s">
        <v>1723</v>
      </c>
    </row>
    <row r="353" spans="1:13" ht="20.100000000000001" customHeight="1" x14ac:dyDescent="0.25">
      <c r="A353" s="48"/>
      <c r="B353" s="48"/>
      <c r="C353" s="48"/>
      <c r="D353" s="48"/>
      <c r="E353" s="48">
        <v>32</v>
      </c>
      <c r="F353" s="50" t="s">
        <v>1977</v>
      </c>
      <c r="G353" s="48" t="s">
        <v>117</v>
      </c>
      <c r="H353" s="48">
        <v>5</v>
      </c>
      <c r="I353" s="48">
        <v>1</v>
      </c>
      <c r="J353" s="48" t="s">
        <v>122</v>
      </c>
      <c r="K353" s="48" t="s">
        <v>1724</v>
      </c>
      <c r="L353" s="48" t="s">
        <v>123</v>
      </c>
      <c r="M353" s="48" t="s">
        <v>124</v>
      </c>
    </row>
    <row r="354" spans="1:13" ht="20.100000000000001" customHeight="1" x14ac:dyDescent="0.25">
      <c r="A354" s="48"/>
      <c r="B354" s="48"/>
      <c r="C354" s="48"/>
      <c r="D354" s="48"/>
      <c r="E354" s="48">
        <v>33</v>
      </c>
      <c r="F354" s="50" t="s">
        <v>1978</v>
      </c>
      <c r="G354" s="48" t="s">
        <v>120</v>
      </c>
      <c r="H354" s="48">
        <v>5</v>
      </c>
      <c r="I354" s="48">
        <v>1</v>
      </c>
      <c r="J354" s="48" t="s">
        <v>126</v>
      </c>
      <c r="K354" s="48" t="s">
        <v>1725</v>
      </c>
      <c r="L354" s="48" t="s">
        <v>1726</v>
      </c>
      <c r="M354" s="48" t="s">
        <v>1727</v>
      </c>
    </row>
    <row r="355" spans="1:13" ht="20.100000000000001" customHeight="1" x14ac:dyDescent="0.25">
      <c r="A355" s="48"/>
      <c r="B355" s="48"/>
      <c r="C355" s="51"/>
      <c r="D355" s="51"/>
      <c r="E355" s="51">
        <v>34</v>
      </c>
      <c r="F355" s="50" t="s">
        <v>1979</v>
      </c>
      <c r="G355" s="51" t="s">
        <v>121</v>
      </c>
      <c r="H355" s="51">
        <v>5</v>
      </c>
      <c r="I355" s="48">
        <v>1</v>
      </c>
      <c r="J355" s="48" t="s">
        <v>128</v>
      </c>
      <c r="K355" s="48" t="s">
        <v>1728</v>
      </c>
      <c r="L355" s="48" t="s">
        <v>129</v>
      </c>
      <c r="M355" s="48" t="s">
        <v>1729</v>
      </c>
    </row>
    <row r="356" spans="1:13" ht="20.100000000000001" customHeight="1" x14ac:dyDescent="0.25">
      <c r="A356" s="48"/>
      <c r="B356" s="48"/>
      <c r="C356" s="51"/>
      <c r="D356" s="51"/>
      <c r="E356" s="51">
        <v>35</v>
      </c>
      <c r="F356" s="50" t="s">
        <v>1990</v>
      </c>
      <c r="G356" s="51" t="s">
        <v>125</v>
      </c>
      <c r="H356" s="51">
        <v>5</v>
      </c>
      <c r="I356" s="48">
        <v>1</v>
      </c>
      <c r="J356" s="48" t="s">
        <v>1730</v>
      </c>
      <c r="K356" s="48" t="s">
        <v>1759</v>
      </c>
      <c r="L356" s="48" t="s">
        <v>1731</v>
      </c>
      <c r="M356" s="48" t="s">
        <v>131</v>
      </c>
    </row>
    <row r="357" spans="1:13" ht="20.100000000000001" customHeight="1" x14ac:dyDescent="0.25">
      <c r="A357" s="48"/>
      <c r="B357" s="48"/>
      <c r="C357" s="51"/>
      <c r="D357" s="51"/>
      <c r="E357" s="51">
        <v>36</v>
      </c>
      <c r="F357" s="50" t="s">
        <v>1984</v>
      </c>
      <c r="G357" s="51" t="s">
        <v>127</v>
      </c>
      <c r="H357" s="51">
        <v>5</v>
      </c>
      <c r="I357" s="48">
        <v>1</v>
      </c>
      <c r="J357" s="48" t="s">
        <v>133</v>
      </c>
      <c r="K357" s="48" t="s">
        <v>134</v>
      </c>
      <c r="L357" s="48" t="s">
        <v>1732</v>
      </c>
      <c r="M357" s="48" t="s">
        <v>135</v>
      </c>
    </row>
    <row r="358" spans="1:13" ht="20.100000000000001" customHeight="1" x14ac:dyDescent="0.25">
      <c r="A358" s="48"/>
      <c r="B358" s="48"/>
      <c r="C358" s="51"/>
      <c r="D358" s="51"/>
      <c r="E358" s="51">
        <v>37</v>
      </c>
      <c r="F358" s="50" t="s">
        <v>1980</v>
      </c>
      <c r="G358" s="51" t="s">
        <v>130</v>
      </c>
      <c r="H358" s="51">
        <v>5</v>
      </c>
      <c r="I358" s="48">
        <v>1</v>
      </c>
      <c r="J358" s="48" t="s">
        <v>1733</v>
      </c>
      <c r="K358" s="48" t="s">
        <v>1734</v>
      </c>
      <c r="L358" s="48" t="s">
        <v>1735</v>
      </c>
      <c r="M358" s="48" t="s">
        <v>1736</v>
      </c>
    </row>
    <row r="359" spans="1:13" ht="20.100000000000001" customHeight="1" x14ac:dyDescent="0.25">
      <c r="A359" s="48"/>
      <c r="B359" s="48"/>
      <c r="C359" s="51"/>
      <c r="D359" s="51"/>
      <c r="E359" s="51">
        <v>38</v>
      </c>
      <c r="F359" s="50" t="s">
        <v>1981</v>
      </c>
      <c r="G359" s="51" t="s">
        <v>132</v>
      </c>
      <c r="H359" s="51">
        <v>5</v>
      </c>
      <c r="I359" s="48">
        <v>1</v>
      </c>
      <c r="J359" s="48" t="s">
        <v>138</v>
      </c>
      <c r="K359" s="48" t="s">
        <v>139</v>
      </c>
      <c r="L359" s="48" t="s">
        <v>140</v>
      </c>
      <c r="M359" s="48" t="s">
        <v>141</v>
      </c>
    </row>
    <row r="360" spans="1:13" ht="20.100000000000001" customHeight="1" x14ac:dyDescent="0.25">
      <c r="A360" s="48"/>
      <c r="B360" s="48"/>
      <c r="C360" s="51"/>
      <c r="D360" s="51"/>
      <c r="E360" s="51">
        <v>39</v>
      </c>
      <c r="F360" s="50" t="s">
        <v>1985</v>
      </c>
      <c r="G360" s="51" t="s">
        <v>136</v>
      </c>
      <c r="H360" s="51">
        <v>5</v>
      </c>
      <c r="I360" s="48">
        <v>1</v>
      </c>
      <c r="J360" s="48" t="s">
        <v>395</v>
      </c>
      <c r="K360" s="48" t="s">
        <v>1737</v>
      </c>
      <c r="L360" s="48" t="s">
        <v>1738</v>
      </c>
      <c r="M360" s="48" t="s">
        <v>1739</v>
      </c>
    </row>
    <row r="361" spans="1:13" ht="20.100000000000001" customHeight="1" x14ac:dyDescent="0.25">
      <c r="A361" s="48"/>
      <c r="B361" s="48"/>
      <c r="C361" s="51"/>
      <c r="D361" s="51"/>
      <c r="E361" s="51">
        <v>40</v>
      </c>
      <c r="F361" s="50" t="s">
        <v>1986</v>
      </c>
      <c r="G361" s="51" t="s">
        <v>137</v>
      </c>
      <c r="H361" s="51">
        <v>5</v>
      </c>
      <c r="I361" s="48">
        <v>1</v>
      </c>
      <c r="J361" s="48" t="s">
        <v>1740</v>
      </c>
      <c r="K361" s="48" t="s">
        <v>1741</v>
      </c>
      <c r="L361" s="48" t="s">
        <v>406</v>
      </c>
      <c r="M361" s="48" t="s">
        <v>410</v>
      </c>
    </row>
    <row r="362" spans="1:13" ht="20.100000000000001" customHeight="1" x14ac:dyDescent="0.25">
      <c r="A362" s="52"/>
      <c r="B362" s="52"/>
      <c r="C362" s="52">
        <v>2000</v>
      </c>
      <c r="D362" s="52" t="s">
        <v>2069</v>
      </c>
      <c r="E362" s="52">
        <v>1</v>
      </c>
      <c r="F362" s="52" t="s">
        <v>2107</v>
      </c>
      <c r="G362" s="52" t="s">
        <v>1236</v>
      </c>
      <c r="H362" s="53">
        <v>5</v>
      </c>
      <c r="I362" s="53">
        <v>1</v>
      </c>
      <c r="J362" s="53" t="s">
        <v>188</v>
      </c>
      <c r="K362" s="53" t="s">
        <v>208</v>
      </c>
      <c r="L362" s="53" t="s">
        <v>228</v>
      </c>
      <c r="M362" s="53" t="s">
        <v>248</v>
      </c>
    </row>
    <row r="363" spans="1:13" ht="20.100000000000001" customHeight="1" x14ac:dyDescent="0.25">
      <c r="A363" s="52"/>
      <c r="B363" s="52"/>
      <c r="C363" s="52"/>
      <c r="D363" s="52" t="s">
        <v>1988</v>
      </c>
      <c r="E363" s="52">
        <v>2</v>
      </c>
      <c r="F363" s="52" t="s">
        <v>2106</v>
      </c>
      <c r="G363" s="52" t="s">
        <v>1237</v>
      </c>
      <c r="H363" s="53">
        <v>5</v>
      </c>
      <c r="I363" s="53">
        <v>1</v>
      </c>
      <c r="J363" s="53" t="s">
        <v>189</v>
      </c>
      <c r="K363" s="53" t="s">
        <v>209</v>
      </c>
      <c r="L363" s="53" t="s">
        <v>229</v>
      </c>
      <c r="M363" s="53" t="s">
        <v>249</v>
      </c>
    </row>
    <row r="364" spans="1:13" ht="20.100000000000001" customHeight="1" x14ac:dyDescent="0.25">
      <c r="A364" s="52"/>
      <c r="B364" s="52"/>
      <c r="C364" s="52"/>
      <c r="D364" s="54" t="s">
        <v>8972</v>
      </c>
      <c r="E364" s="52">
        <v>3</v>
      </c>
      <c r="F364" s="52" t="s">
        <v>2089</v>
      </c>
      <c r="G364" s="52" t="s">
        <v>1238</v>
      </c>
      <c r="H364" s="53">
        <v>5</v>
      </c>
      <c r="I364" s="53">
        <v>1</v>
      </c>
      <c r="J364" s="53" t="s">
        <v>190</v>
      </c>
      <c r="K364" s="53" t="s">
        <v>210</v>
      </c>
      <c r="L364" s="53" t="s">
        <v>230</v>
      </c>
      <c r="M364" s="53" t="s">
        <v>250</v>
      </c>
    </row>
    <row r="365" spans="1:13" ht="20.100000000000001" customHeight="1" x14ac:dyDescent="0.25">
      <c r="A365" s="52"/>
      <c r="B365" s="52"/>
      <c r="C365" s="52"/>
      <c r="D365" s="52"/>
      <c r="E365" s="52">
        <v>4</v>
      </c>
      <c r="F365" s="52" t="s">
        <v>2090</v>
      </c>
      <c r="G365" s="52" t="s">
        <v>1239</v>
      </c>
      <c r="H365" s="53">
        <v>5</v>
      </c>
      <c r="I365" s="53">
        <v>1</v>
      </c>
      <c r="J365" s="53" t="s">
        <v>191</v>
      </c>
      <c r="K365" s="53" t="s">
        <v>211</v>
      </c>
      <c r="L365" s="53" t="s">
        <v>231</v>
      </c>
      <c r="M365" s="53" t="s">
        <v>251</v>
      </c>
    </row>
    <row r="366" spans="1:13" ht="20.100000000000001" customHeight="1" x14ac:dyDescent="0.25">
      <c r="A366" s="52"/>
      <c r="B366" s="52"/>
      <c r="C366" s="52"/>
      <c r="D366" s="52"/>
      <c r="E366" s="52">
        <v>5</v>
      </c>
      <c r="F366" s="52" t="s">
        <v>2091</v>
      </c>
      <c r="G366" s="52" t="s">
        <v>1240</v>
      </c>
      <c r="H366" s="53">
        <v>5</v>
      </c>
      <c r="I366" s="53">
        <v>1</v>
      </c>
      <c r="J366" s="53" t="s">
        <v>192</v>
      </c>
      <c r="K366" s="53" t="s">
        <v>212</v>
      </c>
      <c r="L366" s="53" t="s">
        <v>232</v>
      </c>
      <c r="M366" s="53" t="s">
        <v>252</v>
      </c>
    </row>
    <row r="367" spans="1:13" ht="20.100000000000001" customHeight="1" x14ac:dyDescent="0.25">
      <c r="A367" s="52"/>
      <c r="B367" s="52"/>
      <c r="C367" s="52"/>
      <c r="D367" s="52"/>
      <c r="E367" s="52">
        <v>6</v>
      </c>
      <c r="F367" s="52" t="s">
        <v>2092</v>
      </c>
      <c r="G367" s="52" t="s">
        <v>1241</v>
      </c>
      <c r="H367" s="53">
        <v>5</v>
      </c>
      <c r="I367" s="53">
        <v>1</v>
      </c>
      <c r="J367" s="53" t="s">
        <v>193</v>
      </c>
      <c r="K367" s="53" t="s">
        <v>213</v>
      </c>
      <c r="L367" s="53" t="s">
        <v>233</v>
      </c>
      <c r="M367" s="53" t="s">
        <v>253</v>
      </c>
    </row>
    <row r="368" spans="1:13" ht="20.100000000000001" customHeight="1" x14ac:dyDescent="0.25">
      <c r="A368" s="52"/>
      <c r="B368" s="52"/>
      <c r="C368" s="52"/>
      <c r="D368" s="52"/>
      <c r="E368" s="52">
        <v>7</v>
      </c>
      <c r="F368" s="55" t="s">
        <v>2093</v>
      </c>
      <c r="G368" s="52" t="s">
        <v>1242</v>
      </c>
      <c r="H368" s="53">
        <v>5</v>
      </c>
      <c r="I368" s="53">
        <v>1</v>
      </c>
      <c r="J368" s="53" t="s">
        <v>194</v>
      </c>
      <c r="K368" s="53" t="s">
        <v>214</v>
      </c>
      <c r="L368" s="53" t="s">
        <v>234</v>
      </c>
      <c r="M368" s="53" t="s">
        <v>254</v>
      </c>
    </row>
    <row r="369" spans="1:13" ht="20.100000000000001" customHeight="1" x14ac:dyDescent="0.25">
      <c r="A369" s="52"/>
      <c r="B369" s="52"/>
      <c r="C369" s="52"/>
      <c r="D369" s="52"/>
      <c r="E369" s="52">
        <v>8</v>
      </c>
      <c r="F369" s="52" t="s">
        <v>2094</v>
      </c>
      <c r="G369" s="52" t="s">
        <v>1243</v>
      </c>
      <c r="H369" s="53">
        <v>5</v>
      </c>
      <c r="I369" s="53">
        <v>1</v>
      </c>
      <c r="J369" s="53" t="s">
        <v>195</v>
      </c>
      <c r="K369" s="53" t="s">
        <v>215</v>
      </c>
      <c r="L369" s="53" t="s">
        <v>235</v>
      </c>
      <c r="M369" s="53" t="s">
        <v>255</v>
      </c>
    </row>
    <row r="370" spans="1:13" ht="20.100000000000001" customHeight="1" x14ac:dyDescent="0.25">
      <c r="A370" s="52"/>
      <c r="B370" s="52"/>
      <c r="C370" s="52"/>
      <c r="D370" s="52"/>
      <c r="E370" s="52">
        <v>9</v>
      </c>
      <c r="F370" s="55" t="s">
        <v>2095</v>
      </c>
      <c r="G370" s="52" t="s">
        <v>1244</v>
      </c>
      <c r="H370" s="53">
        <v>5</v>
      </c>
      <c r="I370" s="53">
        <v>1</v>
      </c>
      <c r="J370" s="53" t="s">
        <v>196</v>
      </c>
      <c r="K370" s="53" t="s">
        <v>216</v>
      </c>
      <c r="L370" s="53" t="s">
        <v>236</v>
      </c>
      <c r="M370" s="53" t="s">
        <v>256</v>
      </c>
    </row>
    <row r="371" spans="1:13" ht="20.100000000000001" customHeight="1" x14ac:dyDescent="0.25">
      <c r="A371" s="52"/>
      <c r="B371" s="52"/>
      <c r="C371" s="52"/>
      <c r="D371" s="52"/>
      <c r="E371" s="52">
        <v>10</v>
      </c>
      <c r="F371" s="55" t="s">
        <v>2096</v>
      </c>
      <c r="G371" s="53" t="s">
        <v>440</v>
      </c>
      <c r="H371" s="53">
        <v>5</v>
      </c>
      <c r="I371" s="53">
        <v>1</v>
      </c>
      <c r="J371" s="53" t="s">
        <v>197</v>
      </c>
      <c r="K371" s="53" t="s">
        <v>217</v>
      </c>
      <c r="L371" s="53" t="s">
        <v>237</v>
      </c>
      <c r="M371" s="53" t="s">
        <v>257</v>
      </c>
    </row>
    <row r="372" spans="1:13" ht="20.100000000000001" customHeight="1" x14ac:dyDescent="0.25">
      <c r="A372" s="52"/>
      <c r="B372" s="52"/>
      <c r="C372" s="52"/>
      <c r="D372" s="52"/>
      <c r="E372" s="52">
        <v>11</v>
      </c>
      <c r="F372" s="55" t="s">
        <v>2097</v>
      </c>
      <c r="G372" s="53" t="s">
        <v>441</v>
      </c>
      <c r="H372" s="53">
        <v>5</v>
      </c>
      <c r="I372" s="53">
        <v>1</v>
      </c>
      <c r="J372" s="53" t="s">
        <v>198</v>
      </c>
      <c r="K372" s="53" t="s">
        <v>218</v>
      </c>
      <c r="L372" s="53" t="s">
        <v>238</v>
      </c>
      <c r="M372" s="53" t="s">
        <v>258</v>
      </c>
    </row>
    <row r="373" spans="1:13" ht="20.100000000000001" customHeight="1" x14ac:dyDescent="0.25">
      <c r="A373" s="52"/>
      <c r="B373" s="52"/>
      <c r="C373" s="52"/>
      <c r="D373" s="52"/>
      <c r="E373" s="52">
        <v>12</v>
      </c>
      <c r="F373" s="55" t="s">
        <v>2098</v>
      </c>
      <c r="G373" s="53" t="s">
        <v>442</v>
      </c>
      <c r="H373" s="53">
        <v>5</v>
      </c>
      <c r="I373" s="53">
        <v>1</v>
      </c>
      <c r="J373" s="53" t="s">
        <v>199</v>
      </c>
      <c r="K373" s="53" t="s">
        <v>219</v>
      </c>
      <c r="L373" s="53" t="s">
        <v>239</v>
      </c>
      <c r="M373" s="53" t="s">
        <v>259</v>
      </c>
    </row>
    <row r="374" spans="1:13" ht="20.100000000000001" customHeight="1" x14ac:dyDescent="0.25">
      <c r="A374" s="52"/>
      <c r="B374" s="52"/>
      <c r="C374" s="52"/>
      <c r="D374" s="52"/>
      <c r="E374" s="52">
        <v>13</v>
      </c>
      <c r="F374" s="55" t="s">
        <v>2099</v>
      </c>
      <c r="G374" s="53" t="s">
        <v>443</v>
      </c>
      <c r="H374" s="53">
        <v>5</v>
      </c>
      <c r="I374" s="53">
        <v>1</v>
      </c>
      <c r="J374" s="53" t="s">
        <v>200</v>
      </c>
      <c r="K374" s="53" t="s">
        <v>220</v>
      </c>
      <c r="L374" s="53" t="s">
        <v>240</v>
      </c>
      <c r="M374" s="53" t="s">
        <v>260</v>
      </c>
    </row>
    <row r="375" spans="1:13" ht="20.100000000000001" customHeight="1" x14ac:dyDescent="0.25">
      <c r="A375" s="52"/>
      <c r="B375" s="52"/>
      <c r="C375" s="52"/>
      <c r="D375" s="52"/>
      <c r="E375" s="52">
        <v>14</v>
      </c>
      <c r="F375" s="55" t="s">
        <v>2100</v>
      </c>
      <c r="G375" s="53" t="s">
        <v>444</v>
      </c>
      <c r="H375" s="53">
        <v>5</v>
      </c>
      <c r="I375" s="53">
        <v>1</v>
      </c>
      <c r="J375" s="53" t="s">
        <v>201</v>
      </c>
      <c r="K375" s="53" t="s">
        <v>221</v>
      </c>
      <c r="L375" s="53" t="s">
        <v>241</v>
      </c>
      <c r="M375" s="53" t="s">
        <v>261</v>
      </c>
    </row>
    <row r="376" spans="1:13" ht="20.100000000000001" customHeight="1" x14ac:dyDescent="0.25">
      <c r="A376" s="52"/>
      <c r="B376" s="52"/>
      <c r="C376" s="52"/>
      <c r="D376" s="52"/>
      <c r="E376" s="52">
        <v>15</v>
      </c>
      <c r="F376" s="55" t="s">
        <v>2101</v>
      </c>
      <c r="G376" s="53" t="s">
        <v>445</v>
      </c>
      <c r="H376" s="53">
        <v>5</v>
      </c>
      <c r="I376" s="53">
        <v>1</v>
      </c>
      <c r="J376" s="53" t="s">
        <v>202</v>
      </c>
      <c r="K376" s="53" t="s">
        <v>222</v>
      </c>
      <c r="L376" s="53" t="s">
        <v>242</v>
      </c>
      <c r="M376" s="53" t="s">
        <v>262</v>
      </c>
    </row>
    <row r="377" spans="1:13" ht="20.100000000000001" customHeight="1" x14ac:dyDescent="0.25">
      <c r="A377" s="52"/>
      <c r="B377" s="52"/>
      <c r="C377" s="52"/>
      <c r="D377" s="52"/>
      <c r="E377" s="52">
        <v>16</v>
      </c>
      <c r="F377" s="55" t="s">
        <v>2102</v>
      </c>
      <c r="G377" s="53" t="s">
        <v>446</v>
      </c>
      <c r="H377" s="53">
        <v>5</v>
      </c>
      <c r="I377" s="53">
        <v>1</v>
      </c>
      <c r="J377" s="53" t="s">
        <v>203</v>
      </c>
      <c r="K377" s="53" t="s">
        <v>223</v>
      </c>
      <c r="L377" s="53" t="s">
        <v>243</v>
      </c>
      <c r="M377" s="53" t="s">
        <v>263</v>
      </c>
    </row>
    <row r="378" spans="1:13" ht="20.100000000000001" customHeight="1" x14ac:dyDescent="0.25">
      <c r="A378" s="52"/>
      <c r="B378" s="52"/>
      <c r="C378" s="52"/>
      <c r="D378" s="52"/>
      <c r="E378" s="52">
        <v>17</v>
      </c>
      <c r="F378" s="55" t="s">
        <v>2103</v>
      </c>
      <c r="G378" s="53" t="s">
        <v>447</v>
      </c>
      <c r="H378" s="53">
        <v>5</v>
      </c>
      <c r="I378" s="53">
        <v>1</v>
      </c>
      <c r="J378" s="53" t="s">
        <v>204</v>
      </c>
      <c r="K378" s="53" t="s">
        <v>224</v>
      </c>
      <c r="L378" s="53" t="s">
        <v>244</v>
      </c>
      <c r="M378" s="53" t="s">
        <v>264</v>
      </c>
    </row>
    <row r="379" spans="1:13" ht="20.100000000000001" customHeight="1" x14ac:dyDescent="0.25">
      <c r="A379" s="52"/>
      <c r="B379" s="52"/>
      <c r="C379" s="52"/>
      <c r="D379" s="52"/>
      <c r="E379" s="52">
        <v>18</v>
      </c>
      <c r="F379" s="55" t="s">
        <v>2104</v>
      </c>
      <c r="G379" s="53" t="s">
        <v>448</v>
      </c>
      <c r="H379" s="53">
        <v>5</v>
      </c>
      <c r="I379" s="53">
        <v>1</v>
      </c>
      <c r="J379" s="53" t="s">
        <v>205</v>
      </c>
      <c r="K379" s="53" t="s">
        <v>225</v>
      </c>
      <c r="L379" s="53" t="s">
        <v>245</v>
      </c>
      <c r="M379" s="53" t="s">
        <v>265</v>
      </c>
    </row>
    <row r="380" spans="1:13" ht="20.100000000000001" customHeight="1" x14ac:dyDescent="0.25">
      <c r="A380" s="52"/>
      <c r="B380" s="52"/>
      <c r="C380" s="52"/>
      <c r="D380" s="52"/>
      <c r="E380" s="52">
        <v>19</v>
      </c>
      <c r="F380" s="55" t="s">
        <v>2104</v>
      </c>
      <c r="G380" s="53" t="s">
        <v>449</v>
      </c>
      <c r="H380" s="53">
        <v>5</v>
      </c>
      <c r="I380" s="53">
        <v>1</v>
      </c>
      <c r="J380" s="53" t="s">
        <v>206</v>
      </c>
      <c r="K380" s="53" t="s">
        <v>226</v>
      </c>
      <c r="L380" s="53" t="s">
        <v>246</v>
      </c>
      <c r="M380" s="53" t="s">
        <v>266</v>
      </c>
    </row>
    <row r="381" spans="1:13" ht="20.100000000000001" customHeight="1" x14ac:dyDescent="0.25">
      <c r="A381" s="52"/>
      <c r="B381" s="52"/>
      <c r="C381" s="52"/>
      <c r="D381" s="52"/>
      <c r="E381" s="52">
        <v>20</v>
      </c>
      <c r="F381" s="55" t="s">
        <v>2105</v>
      </c>
      <c r="G381" s="53" t="s">
        <v>450</v>
      </c>
      <c r="H381" s="53">
        <v>5</v>
      </c>
      <c r="I381" s="53">
        <v>1</v>
      </c>
      <c r="J381" s="53" t="s">
        <v>207</v>
      </c>
      <c r="K381" s="53" t="s">
        <v>227</v>
      </c>
      <c r="L381" s="53" t="s">
        <v>247</v>
      </c>
      <c r="M381" s="53" t="s">
        <v>267</v>
      </c>
    </row>
    <row r="382" spans="1:13" ht="20.100000000000001" customHeight="1" x14ac:dyDescent="0.25">
      <c r="A382" s="52"/>
      <c r="B382" s="52"/>
      <c r="C382" s="52"/>
      <c r="D382" s="52"/>
      <c r="E382" s="52">
        <v>21</v>
      </c>
      <c r="F382" s="55" t="s">
        <v>2071</v>
      </c>
      <c r="G382" s="53" t="s">
        <v>451</v>
      </c>
      <c r="H382" s="53">
        <v>5</v>
      </c>
      <c r="I382" s="53">
        <v>1</v>
      </c>
      <c r="J382" s="53" t="s">
        <v>2014</v>
      </c>
      <c r="K382" s="53" t="s">
        <v>400</v>
      </c>
      <c r="L382" s="53" t="s">
        <v>2015</v>
      </c>
      <c r="M382" s="53" t="s">
        <v>2016</v>
      </c>
    </row>
    <row r="383" spans="1:13" ht="20.100000000000001" customHeight="1" x14ac:dyDescent="0.25">
      <c r="A383" s="52"/>
      <c r="B383" s="52"/>
      <c r="C383" s="52"/>
      <c r="D383" s="52"/>
      <c r="E383" s="52">
        <v>22</v>
      </c>
      <c r="F383" s="55" t="s">
        <v>2109</v>
      </c>
      <c r="G383" s="53" t="s">
        <v>452</v>
      </c>
      <c r="H383" s="53">
        <v>5</v>
      </c>
      <c r="I383" s="53">
        <v>1</v>
      </c>
      <c r="J383" s="53" t="s">
        <v>2017</v>
      </c>
      <c r="K383" s="53" t="s">
        <v>2018</v>
      </c>
      <c r="L383" s="53" t="s">
        <v>405</v>
      </c>
      <c r="M383" s="53" t="s">
        <v>2019</v>
      </c>
    </row>
    <row r="384" spans="1:13" ht="20.100000000000001" customHeight="1" x14ac:dyDescent="0.25">
      <c r="A384" s="52"/>
      <c r="B384" s="52"/>
      <c r="C384" s="52"/>
      <c r="D384" s="52"/>
      <c r="E384" s="52">
        <v>23</v>
      </c>
      <c r="F384" s="55" t="s">
        <v>2085</v>
      </c>
      <c r="G384" s="53" t="s">
        <v>453</v>
      </c>
      <c r="H384" s="53">
        <v>5</v>
      </c>
      <c r="I384" s="53">
        <v>1</v>
      </c>
      <c r="J384" s="53" t="s">
        <v>2020</v>
      </c>
      <c r="K384" s="53" t="s">
        <v>401</v>
      </c>
      <c r="L384" s="53" t="s">
        <v>2021</v>
      </c>
      <c r="M384" s="53" t="s">
        <v>2022</v>
      </c>
    </row>
    <row r="385" spans="1:13" ht="20.100000000000001" customHeight="1" x14ac:dyDescent="0.25">
      <c r="A385" s="52"/>
      <c r="B385" s="52"/>
      <c r="C385" s="52"/>
      <c r="D385" s="52"/>
      <c r="E385" s="52">
        <v>24</v>
      </c>
      <c r="F385" s="55" t="s">
        <v>2084</v>
      </c>
      <c r="G385" s="53" t="s">
        <v>454</v>
      </c>
      <c r="H385" s="53">
        <v>5</v>
      </c>
      <c r="I385" s="53">
        <v>1</v>
      </c>
      <c r="J385" s="53" t="s">
        <v>2023</v>
      </c>
      <c r="K385" s="53" t="s">
        <v>2024</v>
      </c>
      <c r="L385" s="53" t="s">
        <v>2025</v>
      </c>
      <c r="M385" s="53" t="s">
        <v>411</v>
      </c>
    </row>
    <row r="386" spans="1:13" ht="20.100000000000001" customHeight="1" x14ac:dyDescent="0.25">
      <c r="A386" s="52"/>
      <c r="B386" s="52"/>
      <c r="C386" s="52"/>
      <c r="D386" s="52"/>
      <c r="E386" s="52">
        <v>25</v>
      </c>
      <c r="F386" s="55" t="s">
        <v>2072</v>
      </c>
      <c r="G386" s="53" t="s">
        <v>455</v>
      </c>
      <c r="H386" s="53">
        <v>5</v>
      </c>
      <c r="I386" s="53">
        <v>1</v>
      </c>
      <c r="J386" s="53" t="s">
        <v>2026</v>
      </c>
      <c r="K386" s="53" t="s">
        <v>2027</v>
      </c>
      <c r="L386" s="53" t="s">
        <v>2028</v>
      </c>
      <c r="M386" s="53" t="s">
        <v>2029</v>
      </c>
    </row>
    <row r="387" spans="1:13" ht="20.100000000000001" customHeight="1" x14ac:dyDescent="0.25">
      <c r="A387" s="52"/>
      <c r="B387" s="52"/>
      <c r="C387" s="52"/>
      <c r="D387" s="52"/>
      <c r="E387" s="52">
        <v>26</v>
      </c>
      <c r="F387" s="55" t="s">
        <v>2073</v>
      </c>
      <c r="G387" s="53" t="s">
        <v>456</v>
      </c>
      <c r="H387" s="53">
        <v>5</v>
      </c>
      <c r="I387" s="53">
        <v>1</v>
      </c>
      <c r="J387" s="53" t="s">
        <v>2030</v>
      </c>
      <c r="K387" s="53" t="s">
        <v>402</v>
      </c>
      <c r="L387" s="53" t="s">
        <v>2031</v>
      </c>
      <c r="M387" s="53" t="s">
        <v>2032</v>
      </c>
    </row>
    <row r="388" spans="1:13" ht="20.100000000000001" customHeight="1" x14ac:dyDescent="0.25">
      <c r="A388" s="52"/>
      <c r="B388" s="52"/>
      <c r="C388" s="52"/>
      <c r="D388" s="52"/>
      <c r="E388" s="52">
        <v>27</v>
      </c>
      <c r="F388" s="55" t="s">
        <v>2086</v>
      </c>
      <c r="G388" s="53" t="s">
        <v>457</v>
      </c>
      <c r="H388" s="53">
        <v>5</v>
      </c>
      <c r="I388" s="53">
        <v>1</v>
      </c>
      <c r="J388" s="53" t="s">
        <v>396</v>
      </c>
      <c r="K388" s="53" t="s">
        <v>2033</v>
      </c>
      <c r="L388" s="53" t="s">
        <v>2034</v>
      </c>
      <c r="M388" s="53" t="s">
        <v>412</v>
      </c>
    </row>
    <row r="389" spans="1:13" ht="20.100000000000001" customHeight="1" x14ac:dyDescent="0.25">
      <c r="A389" s="52"/>
      <c r="B389" s="52"/>
      <c r="C389" s="52"/>
      <c r="D389" s="52"/>
      <c r="E389" s="52">
        <v>28</v>
      </c>
      <c r="F389" s="55" t="s">
        <v>2074</v>
      </c>
      <c r="G389" s="53" t="s">
        <v>458</v>
      </c>
      <c r="H389" s="53">
        <v>5</v>
      </c>
      <c r="I389" s="53">
        <v>1</v>
      </c>
      <c r="J389" s="53" t="s">
        <v>2035</v>
      </c>
      <c r="K389" s="53" t="s">
        <v>2036</v>
      </c>
      <c r="L389" s="53" t="s">
        <v>407</v>
      </c>
      <c r="M389" s="53" t="s">
        <v>2037</v>
      </c>
    </row>
    <row r="390" spans="1:13" ht="20.100000000000001" customHeight="1" x14ac:dyDescent="0.25">
      <c r="A390" s="52"/>
      <c r="B390" s="52"/>
      <c r="C390" s="52"/>
      <c r="D390" s="52"/>
      <c r="E390" s="52">
        <v>29</v>
      </c>
      <c r="F390" s="55" t="s">
        <v>2075</v>
      </c>
      <c r="G390" s="53" t="s">
        <v>459</v>
      </c>
      <c r="H390" s="53">
        <v>5</v>
      </c>
      <c r="I390" s="53">
        <v>1</v>
      </c>
      <c r="J390" s="53" t="s">
        <v>2038</v>
      </c>
      <c r="K390" s="53" t="s">
        <v>2039</v>
      </c>
      <c r="L390" s="53" t="s">
        <v>2040</v>
      </c>
      <c r="M390" s="53" t="s">
        <v>2041</v>
      </c>
    </row>
    <row r="391" spans="1:13" ht="20.100000000000001" customHeight="1" x14ac:dyDescent="0.25">
      <c r="A391" s="52"/>
      <c r="B391" s="52"/>
      <c r="C391" s="52"/>
      <c r="D391" s="52"/>
      <c r="E391" s="52">
        <v>30</v>
      </c>
      <c r="F391" s="55" t="s">
        <v>2076</v>
      </c>
      <c r="G391" s="53" t="s">
        <v>460</v>
      </c>
      <c r="H391" s="53">
        <v>5</v>
      </c>
      <c r="I391" s="53">
        <v>1</v>
      </c>
      <c r="J391" s="53" t="s">
        <v>2042</v>
      </c>
      <c r="K391" s="53" t="s">
        <v>2043</v>
      </c>
      <c r="L391" s="53" t="s">
        <v>2044</v>
      </c>
      <c r="M391" s="53" t="s">
        <v>2045</v>
      </c>
    </row>
    <row r="392" spans="1:13" ht="20.100000000000001" customHeight="1" x14ac:dyDescent="0.25">
      <c r="A392" s="52"/>
      <c r="B392" s="52"/>
      <c r="C392" s="52"/>
      <c r="D392" s="52"/>
      <c r="E392" s="52">
        <v>31</v>
      </c>
      <c r="F392" s="55" t="s">
        <v>2077</v>
      </c>
      <c r="G392" s="53" t="s">
        <v>439</v>
      </c>
      <c r="H392" s="53">
        <v>5</v>
      </c>
      <c r="I392" s="53">
        <v>1</v>
      </c>
      <c r="J392" s="53" t="s">
        <v>2046</v>
      </c>
      <c r="K392" s="53" t="s">
        <v>2047</v>
      </c>
      <c r="L392" s="53" t="s">
        <v>408</v>
      </c>
      <c r="M392" s="53" t="s">
        <v>413</v>
      </c>
    </row>
    <row r="393" spans="1:13" ht="20.100000000000001" customHeight="1" x14ac:dyDescent="0.25">
      <c r="A393" s="52"/>
      <c r="B393" s="52"/>
      <c r="C393" s="52"/>
      <c r="D393" s="52"/>
      <c r="E393" s="52">
        <v>32</v>
      </c>
      <c r="F393" s="55" t="s">
        <v>2078</v>
      </c>
      <c r="G393" s="53" t="s">
        <v>438</v>
      </c>
      <c r="H393" s="53">
        <v>5</v>
      </c>
      <c r="I393" s="53">
        <v>1</v>
      </c>
      <c r="J393" s="53" t="s">
        <v>397</v>
      </c>
      <c r="K393" s="53" t="s">
        <v>403</v>
      </c>
      <c r="L393" s="53" t="s">
        <v>2048</v>
      </c>
      <c r="M393" s="53" t="s">
        <v>2049</v>
      </c>
    </row>
    <row r="394" spans="1:13" ht="20.100000000000001" customHeight="1" x14ac:dyDescent="0.25">
      <c r="A394" s="52"/>
      <c r="B394" s="52"/>
      <c r="C394" s="52"/>
      <c r="D394" s="52"/>
      <c r="E394" s="52">
        <v>33</v>
      </c>
      <c r="F394" s="55" t="s">
        <v>2087</v>
      </c>
      <c r="G394" s="53" t="s">
        <v>437</v>
      </c>
      <c r="H394" s="53">
        <v>5</v>
      </c>
      <c r="I394" s="53">
        <v>1</v>
      </c>
      <c r="J394" s="53" t="s">
        <v>398</v>
      </c>
      <c r="K394" s="53" t="s">
        <v>404</v>
      </c>
      <c r="L394" s="53" t="s">
        <v>2050</v>
      </c>
      <c r="M394" s="53" t="s">
        <v>2051</v>
      </c>
    </row>
    <row r="395" spans="1:13" ht="20.100000000000001" customHeight="1" x14ac:dyDescent="0.25">
      <c r="A395" s="52"/>
      <c r="B395" s="52"/>
      <c r="C395" s="52"/>
      <c r="D395" s="52"/>
      <c r="E395" s="52">
        <v>34</v>
      </c>
      <c r="F395" s="55" t="s">
        <v>2079</v>
      </c>
      <c r="G395" s="53" t="s">
        <v>436</v>
      </c>
      <c r="H395" s="53">
        <v>5</v>
      </c>
      <c r="I395" s="53">
        <v>1</v>
      </c>
      <c r="J395" s="53" t="s">
        <v>399</v>
      </c>
      <c r="K395" s="53" t="s">
        <v>2052</v>
      </c>
      <c r="L395" s="53" t="s">
        <v>409</v>
      </c>
      <c r="M395" s="53" t="s">
        <v>2053</v>
      </c>
    </row>
    <row r="396" spans="1:13" ht="20.100000000000001" customHeight="1" x14ac:dyDescent="0.25">
      <c r="A396" s="52"/>
      <c r="B396" s="52"/>
      <c r="C396" s="52"/>
      <c r="D396" s="52"/>
      <c r="E396" s="52">
        <v>35</v>
      </c>
      <c r="F396" s="55" t="s">
        <v>2080</v>
      </c>
      <c r="G396" s="53" t="s">
        <v>435</v>
      </c>
      <c r="H396" s="53">
        <v>5</v>
      </c>
      <c r="I396" s="53">
        <v>1</v>
      </c>
      <c r="J396" s="53" t="s">
        <v>2054</v>
      </c>
      <c r="K396" s="53" t="s">
        <v>2055</v>
      </c>
      <c r="L396" s="53" t="s">
        <v>2056</v>
      </c>
      <c r="M396" s="53" t="s">
        <v>2057</v>
      </c>
    </row>
    <row r="397" spans="1:13" ht="20.100000000000001" customHeight="1" x14ac:dyDescent="0.25">
      <c r="A397" s="52"/>
      <c r="B397" s="52"/>
      <c r="C397" s="52"/>
      <c r="D397" s="52"/>
      <c r="E397" s="52">
        <v>36</v>
      </c>
      <c r="F397" s="55" t="s">
        <v>2081</v>
      </c>
      <c r="G397" s="53" t="s">
        <v>434</v>
      </c>
      <c r="H397" s="53">
        <v>5</v>
      </c>
      <c r="I397" s="53">
        <v>1</v>
      </c>
      <c r="J397" s="53" t="s">
        <v>2058</v>
      </c>
      <c r="K397" s="53" t="s">
        <v>2059</v>
      </c>
      <c r="L397" s="53" t="s">
        <v>2060</v>
      </c>
      <c r="M397" s="53" t="s">
        <v>2061</v>
      </c>
    </row>
    <row r="398" spans="1:13" ht="20.100000000000001" customHeight="1" x14ac:dyDescent="0.25">
      <c r="A398" s="52"/>
      <c r="B398" s="52"/>
      <c r="C398" s="52"/>
      <c r="D398" s="52"/>
      <c r="E398" s="52">
        <v>37</v>
      </c>
      <c r="F398" s="55" t="s">
        <v>2082</v>
      </c>
      <c r="G398" s="53" t="s">
        <v>433</v>
      </c>
      <c r="H398" s="53">
        <v>5</v>
      </c>
      <c r="I398" s="53">
        <v>1</v>
      </c>
      <c r="J398" s="53" t="s">
        <v>2062</v>
      </c>
      <c r="K398" s="53" t="s">
        <v>2063</v>
      </c>
      <c r="L398" s="53" t="s">
        <v>2064</v>
      </c>
      <c r="M398" s="53" t="s">
        <v>2065</v>
      </c>
    </row>
    <row r="399" spans="1:13" ht="20.100000000000001" customHeight="1" x14ac:dyDescent="0.25">
      <c r="A399" s="52"/>
      <c r="B399" s="52"/>
      <c r="C399" s="52"/>
      <c r="D399" s="52"/>
      <c r="E399" s="52">
        <v>38</v>
      </c>
      <c r="F399" s="55" t="s">
        <v>2083</v>
      </c>
      <c r="G399" s="53" t="s">
        <v>432</v>
      </c>
      <c r="H399" s="53">
        <v>5</v>
      </c>
      <c r="I399" s="53">
        <v>1</v>
      </c>
      <c r="J399" s="53" t="s">
        <v>555</v>
      </c>
      <c r="K399" s="53" t="s">
        <v>596</v>
      </c>
      <c r="L399" s="53" t="s">
        <v>633</v>
      </c>
      <c r="M399" s="53" t="s">
        <v>663</v>
      </c>
    </row>
    <row r="400" spans="1:13" ht="20.100000000000001" customHeight="1" x14ac:dyDescent="0.25">
      <c r="A400" s="52"/>
      <c r="B400" s="52"/>
      <c r="C400" s="52"/>
      <c r="D400" s="52"/>
      <c r="E400" s="52">
        <v>39</v>
      </c>
      <c r="F400" s="55" t="s">
        <v>2108</v>
      </c>
      <c r="G400" s="53" t="s">
        <v>431</v>
      </c>
      <c r="H400" s="53">
        <v>5</v>
      </c>
      <c r="I400" s="53">
        <v>1</v>
      </c>
      <c r="J400" s="53" t="s">
        <v>556</v>
      </c>
      <c r="K400" s="53" t="s">
        <v>595</v>
      </c>
      <c r="L400" s="53" t="s">
        <v>634</v>
      </c>
      <c r="M400" s="53" t="s">
        <v>2066</v>
      </c>
    </row>
    <row r="401" spans="1:13" ht="20.100000000000001" customHeight="1" x14ac:dyDescent="0.25">
      <c r="A401" s="52"/>
      <c r="B401" s="52"/>
      <c r="C401" s="52"/>
      <c r="D401" s="52"/>
      <c r="E401" s="52">
        <v>40</v>
      </c>
      <c r="F401" s="55" t="s">
        <v>2088</v>
      </c>
      <c r="G401" s="53" t="s">
        <v>430</v>
      </c>
      <c r="H401" s="53">
        <v>5</v>
      </c>
      <c r="I401" s="53">
        <v>1</v>
      </c>
      <c r="J401" s="53" t="s">
        <v>557</v>
      </c>
      <c r="K401" s="53" t="s">
        <v>2067</v>
      </c>
      <c r="L401" s="53" t="s">
        <v>635</v>
      </c>
      <c r="M401" s="53" t="s">
        <v>661</v>
      </c>
    </row>
    <row r="402" spans="1:13" ht="20.100000000000001" customHeight="1" x14ac:dyDescent="0.25">
      <c r="A402" s="12"/>
      <c r="B402" s="12"/>
      <c r="C402" s="12">
        <v>3000</v>
      </c>
      <c r="D402" s="12" t="s">
        <v>2110</v>
      </c>
      <c r="E402" s="12">
        <v>1</v>
      </c>
      <c r="F402" s="12" t="s">
        <v>2112</v>
      </c>
      <c r="G402" s="12" t="s">
        <v>742</v>
      </c>
      <c r="H402" s="12">
        <v>5</v>
      </c>
      <c r="I402" s="12">
        <v>1</v>
      </c>
      <c r="J402" s="12" t="s">
        <v>542</v>
      </c>
      <c r="K402" s="12" t="s">
        <v>717</v>
      </c>
      <c r="L402" s="12" t="s">
        <v>718</v>
      </c>
      <c r="M402" s="12" t="s">
        <v>674</v>
      </c>
    </row>
    <row r="403" spans="1:13" ht="20.100000000000001" customHeight="1" x14ac:dyDescent="0.25">
      <c r="A403" s="12"/>
      <c r="B403" s="12"/>
      <c r="C403" s="12"/>
      <c r="D403" s="12" t="s">
        <v>2111</v>
      </c>
      <c r="E403" s="12">
        <v>2</v>
      </c>
      <c r="F403" s="12" t="s">
        <v>2162</v>
      </c>
      <c r="G403" s="12" t="s">
        <v>743</v>
      </c>
      <c r="H403" s="12">
        <v>5</v>
      </c>
      <c r="I403" s="12">
        <v>1</v>
      </c>
      <c r="J403" s="12" t="s">
        <v>543</v>
      </c>
      <c r="K403" s="12" t="s">
        <v>575</v>
      </c>
      <c r="L403" s="12" t="s">
        <v>609</v>
      </c>
      <c r="M403" s="12" t="s">
        <v>719</v>
      </c>
    </row>
    <row r="404" spans="1:13" ht="20.100000000000001" customHeight="1" x14ac:dyDescent="0.25">
      <c r="A404" s="12"/>
      <c r="B404" s="12"/>
      <c r="C404" s="12"/>
      <c r="D404" s="12" t="s">
        <v>8972</v>
      </c>
      <c r="E404" s="12">
        <v>3</v>
      </c>
      <c r="F404" s="12" t="s">
        <v>2113</v>
      </c>
      <c r="G404" s="12" t="s">
        <v>744</v>
      </c>
      <c r="H404" s="12">
        <v>5</v>
      </c>
      <c r="I404" s="12">
        <v>1</v>
      </c>
      <c r="J404" s="12" t="s">
        <v>544</v>
      </c>
      <c r="K404" s="12" t="s">
        <v>576</v>
      </c>
      <c r="L404" s="12" t="s">
        <v>720</v>
      </c>
      <c r="M404" s="12" t="s">
        <v>721</v>
      </c>
    </row>
    <row r="405" spans="1:13" ht="20.100000000000001" customHeight="1" x14ac:dyDescent="0.25">
      <c r="A405" s="12"/>
      <c r="B405" s="12"/>
      <c r="C405" s="12"/>
      <c r="D405" s="12"/>
      <c r="E405" s="12">
        <v>4</v>
      </c>
      <c r="F405" s="56" t="s">
        <v>2119</v>
      </c>
      <c r="G405" s="12" t="s">
        <v>745</v>
      </c>
      <c r="H405" s="12">
        <v>5</v>
      </c>
      <c r="I405" s="12">
        <v>1</v>
      </c>
      <c r="J405" s="12" t="s">
        <v>722</v>
      </c>
      <c r="K405" s="12" t="s">
        <v>608</v>
      </c>
      <c r="L405" s="12" t="s">
        <v>610</v>
      </c>
      <c r="M405" s="12" t="s">
        <v>673</v>
      </c>
    </row>
    <row r="406" spans="1:13" ht="20.100000000000001" customHeight="1" x14ac:dyDescent="0.25">
      <c r="A406" s="12"/>
      <c r="B406" s="12"/>
      <c r="C406" s="12"/>
      <c r="D406" s="12"/>
      <c r="E406" s="12">
        <v>5</v>
      </c>
      <c r="F406" s="12" t="s">
        <v>2114</v>
      </c>
      <c r="G406" s="12" t="s">
        <v>746</v>
      </c>
      <c r="H406" s="12">
        <v>5</v>
      </c>
      <c r="I406" s="12">
        <v>1</v>
      </c>
      <c r="J406" s="12" t="s">
        <v>723</v>
      </c>
      <c r="K406" s="12" t="s">
        <v>607</v>
      </c>
      <c r="L406" s="12" t="s">
        <v>611</v>
      </c>
      <c r="M406" s="12" t="s">
        <v>672</v>
      </c>
    </row>
    <row r="407" spans="1:13" ht="20.100000000000001" customHeight="1" x14ac:dyDescent="0.25">
      <c r="A407" s="12"/>
      <c r="B407" s="12"/>
      <c r="C407" s="12"/>
      <c r="D407" s="12"/>
      <c r="E407" s="12">
        <v>6</v>
      </c>
      <c r="F407" s="56" t="s">
        <v>2118</v>
      </c>
      <c r="G407" s="12" t="s">
        <v>747</v>
      </c>
      <c r="H407" s="12">
        <v>5</v>
      </c>
      <c r="I407" s="12">
        <v>1</v>
      </c>
      <c r="J407" s="12" t="s">
        <v>724</v>
      </c>
      <c r="K407" s="12" t="s">
        <v>606</v>
      </c>
      <c r="L407" s="12" t="s">
        <v>612</v>
      </c>
      <c r="M407" s="12" t="s">
        <v>725</v>
      </c>
    </row>
    <row r="408" spans="1:13" ht="20.100000000000001" customHeight="1" x14ac:dyDescent="0.25">
      <c r="A408" s="12"/>
      <c r="B408" s="12"/>
      <c r="C408" s="12"/>
      <c r="D408" s="12"/>
      <c r="E408" s="12">
        <v>7</v>
      </c>
      <c r="F408" s="56" t="s">
        <v>2115</v>
      </c>
      <c r="G408" s="12" t="s">
        <v>748</v>
      </c>
      <c r="H408" s="12">
        <v>5</v>
      </c>
      <c r="I408" s="12">
        <v>1</v>
      </c>
      <c r="J408" s="12" t="s">
        <v>726</v>
      </c>
      <c r="K408" s="12" t="s">
        <v>605</v>
      </c>
      <c r="L408" s="12" t="s">
        <v>727</v>
      </c>
      <c r="M408" s="12" t="s">
        <v>728</v>
      </c>
    </row>
    <row r="409" spans="1:13" ht="20.100000000000001" customHeight="1" x14ac:dyDescent="0.25">
      <c r="A409" s="12"/>
      <c r="B409" s="12"/>
      <c r="C409" s="12"/>
      <c r="D409" s="12"/>
      <c r="E409" s="12">
        <v>8</v>
      </c>
      <c r="F409" s="56" t="s">
        <v>2117</v>
      </c>
      <c r="G409" s="12" t="s">
        <v>749</v>
      </c>
      <c r="H409" s="12">
        <v>5</v>
      </c>
      <c r="I409" s="12">
        <v>1</v>
      </c>
      <c r="J409" s="12" t="s">
        <v>545</v>
      </c>
      <c r="K409" s="12" t="s">
        <v>729</v>
      </c>
      <c r="L409" s="12" t="s">
        <v>613</v>
      </c>
      <c r="M409" s="12" t="s">
        <v>730</v>
      </c>
    </row>
    <row r="410" spans="1:13" ht="20.100000000000001" customHeight="1" x14ac:dyDescent="0.25">
      <c r="A410" s="12"/>
      <c r="B410" s="12"/>
      <c r="C410" s="12"/>
      <c r="D410" s="12"/>
      <c r="E410" s="12">
        <v>9</v>
      </c>
      <c r="F410" s="56" t="s">
        <v>2116</v>
      </c>
      <c r="G410" s="12" t="s">
        <v>750</v>
      </c>
      <c r="H410" s="12">
        <v>5</v>
      </c>
      <c r="I410" s="12">
        <v>1</v>
      </c>
      <c r="J410" s="12" t="s">
        <v>546</v>
      </c>
      <c r="K410" s="12" t="s">
        <v>731</v>
      </c>
      <c r="L410" s="12" t="s">
        <v>614</v>
      </c>
      <c r="M410" s="12" t="s">
        <v>732</v>
      </c>
    </row>
    <row r="411" spans="1:13" ht="20.100000000000001" customHeight="1" x14ac:dyDescent="0.25">
      <c r="A411" s="12"/>
      <c r="B411" s="12"/>
      <c r="C411" s="12"/>
      <c r="D411" s="12"/>
      <c r="E411" s="12">
        <v>10</v>
      </c>
      <c r="F411" s="56" t="s">
        <v>2126</v>
      </c>
      <c r="G411" s="12" t="s">
        <v>468</v>
      </c>
      <c r="H411" s="12">
        <v>5</v>
      </c>
      <c r="I411" s="12">
        <v>1</v>
      </c>
      <c r="J411" s="12" t="s">
        <v>547</v>
      </c>
      <c r="K411" s="12" t="s">
        <v>604</v>
      </c>
      <c r="L411" s="12" t="s">
        <v>615</v>
      </c>
      <c r="M411" s="12" t="s">
        <v>671</v>
      </c>
    </row>
    <row r="412" spans="1:13" ht="20.100000000000001" customHeight="1" x14ac:dyDescent="0.25">
      <c r="A412" s="12"/>
      <c r="B412" s="12"/>
      <c r="C412" s="12"/>
      <c r="D412" s="12"/>
      <c r="E412" s="12">
        <v>11</v>
      </c>
      <c r="F412" s="56" t="s">
        <v>2127</v>
      </c>
      <c r="G412" s="12" t="s">
        <v>467</v>
      </c>
      <c r="H412" s="12">
        <v>5</v>
      </c>
      <c r="I412" s="12">
        <v>1</v>
      </c>
      <c r="J412" s="12" t="s">
        <v>548</v>
      </c>
      <c r="K412" s="12" t="s">
        <v>603</v>
      </c>
      <c r="L412" s="12" t="s">
        <v>733</v>
      </c>
      <c r="M412" s="12" t="s">
        <v>670</v>
      </c>
    </row>
    <row r="413" spans="1:13" ht="20.100000000000001" customHeight="1" x14ac:dyDescent="0.25">
      <c r="A413" s="12"/>
      <c r="B413" s="12"/>
      <c r="C413" s="12"/>
      <c r="D413" s="12"/>
      <c r="E413" s="12">
        <v>12</v>
      </c>
      <c r="F413" s="56" t="s">
        <v>2128</v>
      </c>
      <c r="G413" s="12" t="s">
        <v>466</v>
      </c>
      <c r="H413" s="12">
        <v>5</v>
      </c>
      <c r="I413" s="12">
        <v>1</v>
      </c>
      <c r="J413" s="12" t="s">
        <v>549</v>
      </c>
      <c r="K413" s="12" t="s">
        <v>602</v>
      </c>
      <c r="L413" s="12" t="s">
        <v>616</v>
      </c>
      <c r="M413" s="12" t="s">
        <v>669</v>
      </c>
    </row>
    <row r="414" spans="1:13" ht="20.100000000000001" customHeight="1" x14ac:dyDescent="0.25">
      <c r="A414" s="12"/>
      <c r="B414" s="12"/>
      <c r="C414" s="12"/>
      <c r="D414" s="12"/>
      <c r="E414" s="12">
        <v>13</v>
      </c>
      <c r="F414" s="56" t="s">
        <v>2120</v>
      </c>
      <c r="G414" s="12" t="s">
        <v>465</v>
      </c>
      <c r="H414" s="12">
        <v>5</v>
      </c>
      <c r="I414" s="12">
        <v>1</v>
      </c>
      <c r="J414" s="12" t="s">
        <v>734</v>
      </c>
      <c r="K414" s="12" t="s">
        <v>735</v>
      </c>
      <c r="L414" s="12" t="s">
        <v>617</v>
      </c>
      <c r="M414" s="12" t="s">
        <v>736</v>
      </c>
    </row>
    <row r="415" spans="1:13" ht="20.100000000000001" customHeight="1" x14ac:dyDescent="0.25">
      <c r="A415" s="12"/>
      <c r="B415" s="12"/>
      <c r="C415" s="12"/>
      <c r="D415" s="12"/>
      <c r="E415" s="12">
        <v>14</v>
      </c>
      <c r="F415" s="56" t="s">
        <v>2121</v>
      </c>
      <c r="G415" s="12" t="s">
        <v>464</v>
      </c>
      <c r="H415" s="12">
        <v>5</v>
      </c>
      <c r="I415" s="12">
        <v>1</v>
      </c>
      <c r="J415" s="12" t="s">
        <v>550</v>
      </c>
      <c r="K415" s="12" t="s">
        <v>601</v>
      </c>
      <c r="L415" s="12" t="s">
        <v>618</v>
      </c>
      <c r="M415" s="12" t="s">
        <v>737</v>
      </c>
    </row>
    <row r="416" spans="1:13" ht="20.100000000000001" customHeight="1" x14ac:dyDescent="0.25">
      <c r="A416" s="12"/>
      <c r="B416" s="12"/>
      <c r="C416" s="12"/>
      <c r="D416" s="12"/>
      <c r="E416" s="12">
        <v>15</v>
      </c>
      <c r="F416" s="56" t="s">
        <v>2122</v>
      </c>
      <c r="G416" s="12" t="s">
        <v>463</v>
      </c>
      <c r="H416" s="12">
        <v>5</v>
      </c>
      <c r="I416" s="12">
        <v>1</v>
      </c>
      <c r="J416" s="12" t="s">
        <v>551</v>
      </c>
      <c r="K416" s="12" t="s">
        <v>738</v>
      </c>
      <c r="L416" s="12" t="s">
        <v>619</v>
      </c>
      <c r="M416" s="12" t="s">
        <v>739</v>
      </c>
    </row>
    <row r="417" spans="1:13" ht="20.100000000000001" customHeight="1" x14ac:dyDescent="0.25">
      <c r="A417" s="12"/>
      <c r="B417" s="12"/>
      <c r="C417" s="12"/>
      <c r="D417" s="12"/>
      <c r="E417" s="12">
        <v>16</v>
      </c>
      <c r="F417" s="56" t="s">
        <v>2129</v>
      </c>
      <c r="G417" s="12" t="s">
        <v>462</v>
      </c>
      <c r="H417" s="12">
        <v>5</v>
      </c>
      <c r="I417" s="12">
        <v>1</v>
      </c>
      <c r="J417" s="12" t="s">
        <v>552</v>
      </c>
      <c r="K417" s="12" t="s">
        <v>600</v>
      </c>
      <c r="L417" s="12" t="s">
        <v>620</v>
      </c>
      <c r="M417" s="12" t="s">
        <v>668</v>
      </c>
    </row>
    <row r="418" spans="1:13" ht="20.100000000000001" customHeight="1" x14ac:dyDescent="0.25">
      <c r="A418" s="12"/>
      <c r="B418" s="12"/>
      <c r="C418" s="12"/>
      <c r="D418" s="12"/>
      <c r="E418" s="12">
        <v>17</v>
      </c>
      <c r="F418" s="56" t="s">
        <v>2123</v>
      </c>
      <c r="G418" s="12" t="s">
        <v>461</v>
      </c>
      <c r="H418" s="12">
        <v>5</v>
      </c>
      <c r="I418" s="12">
        <v>1</v>
      </c>
      <c r="J418" s="12" t="s">
        <v>553</v>
      </c>
      <c r="K418" s="12" t="s">
        <v>599</v>
      </c>
      <c r="L418" s="12" t="s">
        <v>621</v>
      </c>
      <c r="M418" s="12" t="s">
        <v>667</v>
      </c>
    </row>
    <row r="419" spans="1:13" ht="20.100000000000001" customHeight="1" x14ac:dyDescent="0.25">
      <c r="A419" s="12"/>
      <c r="B419" s="12"/>
      <c r="C419" s="12"/>
      <c r="D419" s="12"/>
      <c r="E419" s="12">
        <v>18</v>
      </c>
      <c r="F419" s="56" t="s">
        <v>2124</v>
      </c>
      <c r="G419" s="12" t="s">
        <v>469</v>
      </c>
      <c r="H419" s="12">
        <v>5</v>
      </c>
      <c r="I419" s="12">
        <v>1</v>
      </c>
      <c r="J419" s="12" t="s">
        <v>554</v>
      </c>
      <c r="K419" s="12" t="s">
        <v>598</v>
      </c>
      <c r="L419" s="12" t="s">
        <v>630</v>
      </c>
      <c r="M419" s="12" t="s">
        <v>666</v>
      </c>
    </row>
    <row r="420" spans="1:13" ht="20.100000000000001" customHeight="1" x14ac:dyDescent="0.25">
      <c r="A420" s="12"/>
      <c r="B420" s="12"/>
      <c r="C420" s="12"/>
      <c r="D420" s="12"/>
      <c r="E420" s="12">
        <v>19</v>
      </c>
      <c r="F420" s="56" t="s">
        <v>2130</v>
      </c>
      <c r="G420" s="12" t="s">
        <v>470</v>
      </c>
      <c r="H420" s="12">
        <v>5</v>
      </c>
      <c r="I420" s="12">
        <v>1</v>
      </c>
      <c r="J420" s="12" t="s">
        <v>715</v>
      </c>
      <c r="K420" s="12" t="s">
        <v>716</v>
      </c>
      <c r="L420" s="12" t="s">
        <v>631</v>
      </c>
      <c r="M420" s="12" t="s">
        <v>665</v>
      </c>
    </row>
    <row r="421" spans="1:13" ht="20.100000000000001" customHeight="1" x14ac:dyDescent="0.25">
      <c r="A421" s="12"/>
      <c r="B421" s="12"/>
      <c r="C421" s="12"/>
      <c r="D421" s="12"/>
      <c r="E421" s="12">
        <v>20</v>
      </c>
      <c r="F421" s="56" t="s">
        <v>2125</v>
      </c>
      <c r="G421" s="12" t="s">
        <v>471</v>
      </c>
      <c r="H421" s="12">
        <v>5</v>
      </c>
      <c r="I421" s="12">
        <v>1</v>
      </c>
      <c r="J421" s="12" t="s">
        <v>740</v>
      </c>
      <c r="K421" s="12" t="s">
        <v>597</v>
      </c>
      <c r="L421" s="12" t="s">
        <v>632</v>
      </c>
      <c r="M421" s="12" t="s">
        <v>664</v>
      </c>
    </row>
    <row r="422" spans="1:13" ht="20.100000000000001" customHeight="1" x14ac:dyDescent="0.25">
      <c r="A422" s="12"/>
      <c r="B422" s="12"/>
      <c r="C422" s="12"/>
      <c r="D422" s="12"/>
      <c r="E422" s="12">
        <v>21</v>
      </c>
      <c r="F422" s="56" t="s">
        <v>2248</v>
      </c>
      <c r="G422" s="12" t="s">
        <v>472</v>
      </c>
      <c r="H422" s="12">
        <v>5</v>
      </c>
      <c r="I422" s="12">
        <v>1</v>
      </c>
      <c r="J422" s="12" t="s">
        <v>555</v>
      </c>
      <c r="K422" s="12" t="s">
        <v>596</v>
      </c>
      <c r="L422" s="12" t="s">
        <v>633</v>
      </c>
      <c r="M422" s="12" t="s">
        <v>663</v>
      </c>
    </row>
    <row r="423" spans="1:13" ht="20.100000000000001" customHeight="1" x14ac:dyDescent="0.25">
      <c r="A423" s="12"/>
      <c r="B423" s="12"/>
      <c r="C423" s="12"/>
      <c r="D423" s="12"/>
      <c r="E423" s="12">
        <v>22</v>
      </c>
      <c r="F423" s="56" t="s">
        <v>2249</v>
      </c>
      <c r="G423" s="12" t="s">
        <v>473</v>
      </c>
      <c r="H423" s="12">
        <v>5</v>
      </c>
      <c r="I423" s="12">
        <v>1</v>
      </c>
      <c r="J423" s="12" t="s">
        <v>556</v>
      </c>
      <c r="K423" s="12" t="s">
        <v>595</v>
      </c>
      <c r="L423" s="12" t="s">
        <v>634</v>
      </c>
      <c r="M423" s="12" t="s">
        <v>662</v>
      </c>
    </row>
    <row r="424" spans="1:13" ht="20.100000000000001" customHeight="1" x14ac:dyDescent="0.25">
      <c r="A424" s="12"/>
      <c r="B424" s="12"/>
      <c r="C424" s="12"/>
      <c r="D424" s="12"/>
      <c r="E424" s="12">
        <v>23</v>
      </c>
      <c r="F424" s="56" t="s">
        <v>2250</v>
      </c>
      <c r="G424" s="12" t="s">
        <v>474</v>
      </c>
      <c r="H424" s="12">
        <v>5</v>
      </c>
      <c r="I424" s="12">
        <v>1</v>
      </c>
      <c r="J424" s="12" t="s">
        <v>557</v>
      </c>
      <c r="K424" s="12" t="s">
        <v>594</v>
      </c>
      <c r="L424" s="12" t="s">
        <v>635</v>
      </c>
      <c r="M424" s="12" t="s">
        <v>661</v>
      </c>
    </row>
    <row r="425" spans="1:13" ht="20.100000000000001" customHeight="1" x14ac:dyDescent="0.25">
      <c r="A425" s="12"/>
      <c r="B425" s="12"/>
      <c r="C425" s="12"/>
      <c r="D425" s="12"/>
      <c r="E425" s="12">
        <v>24</v>
      </c>
      <c r="F425" s="56" t="s">
        <v>2251</v>
      </c>
      <c r="G425" s="12" t="s">
        <v>475</v>
      </c>
      <c r="H425" s="12">
        <v>5</v>
      </c>
      <c r="I425" s="12">
        <v>1</v>
      </c>
      <c r="J425" s="12" t="s">
        <v>558</v>
      </c>
      <c r="K425" s="12" t="s">
        <v>593</v>
      </c>
      <c r="L425" s="12" t="s">
        <v>636</v>
      </c>
      <c r="M425" s="12" t="s">
        <v>660</v>
      </c>
    </row>
    <row r="426" spans="1:13" ht="20.100000000000001" customHeight="1" x14ac:dyDescent="0.25">
      <c r="A426" s="12"/>
      <c r="B426" s="12"/>
      <c r="C426" s="12"/>
      <c r="D426" s="12"/>
      <c r="E426" s="12">
        <v>25</v>
      </c>
      <c r="F426" s="56" t="s">
        <v>2235</v>
      </c>
      <c r="G426" s="12" t="s">
        <v>476</v>
      </c>
      <c r="H426" s="12">
        <v>5</v>
      </c>
      <c r="I426" s="12">
        <v>1</v>
      </c>
      <c r="J426" s="12" t="s">
        <v>559</v>
      </c>
      <c r="K426" s="12" t="s">
        <v>592</v>
      </c>
      <c r="L426" s="12" t="s">
        <v>637</v>
      </c>
      <c r="M426" s="12" t="s">
        <v>659</v>
      </c>
    </row>
    <row r="427" spans="1:13" ht="20.100000000000001" customHeight="1" x14ac:dyDescent="0.25">
      <c r="A427" s="12"/>
      <c r="B427" s="12"/>
      <c r="C427" s="12"/>
      <c r="D427" s="12"/>
      <c r="E427" s="12">
        <v>26</v>
      </c>
      <c r="F427" s="56" t="s">
        <v>2236</v>
      </c>
      <c r="G427" s="12" t="s">
        <v>477</v>
      </c>
      <c r="H427" s="12">
        <v>5</v>
      </c>
      <c r="I427" s="12">
        <v>1</v>
      </c>
      <c r="J427" s="12" t="s">
        <v>560</v>
      </c>
      <c r="K427" s="12" t="s">
        <v>591</v>
      </c>
      <c r="L427" s="12" t="s">
        <v>638</v>
      </c>
      <c r="M427" s="12" t="s">
        <v>658</v>
      </c>
    </row>
    <row r="428" spans="1:13" ht="20.100000000000001" customHeight="1" x14ac:dyDescent="0.25">
      <c r="A428" s="12"/>
      <c r="B428" s="12"/>
      <c r="C428" s="12"/>
      <c r="D428" s="12"/>
      <c r="E428" s="12">
        <v>27</v>
      </c>
      <c r="F428" s="56" t="s">
        <v>2252</v>
      </c>
      <c r="G428" s="12" t="s">
        <v>478</v>
      </c>
      <c r="H428" s="12">
        <v>5</v>
      </c>
      <c r="I428" s="12">
        <v>1</v>
      </c>
      <c r="J428" s="12" t="s">
        <v>561</v>
      </c>
      <c r="K428" s="12" t="s">
        <v>590</v>
      </c>
      <c r="L428" s="12" t="s">
        <v>639</v>
      </c>
      <c r="M428" s="12" t="s">
        <v>657</v>
      </c>
    </row>
    <row r="429" spans="1:13" ht="20.100000000000001" customHeight="1" x14ac:dyDescent="0.25">
      <c r="A429" s="12"/>
      <c r="B429" s="12"/>
      <c r="C429" s="12"/>
      <c r="D429" s="12"/>
      <c r="E429" s="12">
        <v>28</v>
      </c>
      <c r="F429" s="56" t="s">
        <v>2237</v>
      </c>
      <c r="G429" s="12" t="s">
        <v>479</v>
      </c>
      <c r="H429" s="12">
        <v>5</v>
      </c>
      <c r="I429" s="12">
        <v>1</v>
      </c>
      <c r="J429" s="12" t="s">
        <v>562</v>
      </c>
      <c r="K429" s="12" t="s">
        <v>589</v>
      </c>
      <c r="L429" s="12" t="s">
        <v>640</v>
      </c>
      <c r="M429" s="12" t="s">
        <v>656</v>
      </c>
    </row>
    <row r="430" spans="1:13" ht="20.100000000000001" customHeight="1" x14ac:dyDescent="0.25">
      <c r="A430" s="12"/>
      <c r="B430" s="12"/>
      <c r="C430" s="12"/>
      <c r="D430" s="12"/>
      <c r="E430" s="12">
        <v>29</v>
      </c>
      <c r="F430" s="56" t="s">
        <v>2253</v>
      </c>
      <c r="G430" s="12" t="s">
        <v>480</v>
      </c>
      <c r="H430" s="12">
        <v>5</v>
      </c>
      <c r="I430" s="12">
        <v>1</v>
      </c>
      <c r="J430" s="12" t="s">
        <v>563</v>
      </c>
      <c r="K430" s="12" t="s">
        <v>588</v>
      </c>
      <c r="L430" s="12" t="s">
        <v>641</v>
      </c>
      <c r="M430" s="12" t="s">
        <v>655</v>
      </c>
    </row>
    <row r="431" spans="1:13" ht="20.100000000000001" customHeight="1" x14ac:dyDescent="0.25">
      <c r="A431" s="12"/>
      <c r="B431" s="12"/>
      <c r="C431" s="12"/>
      <c r="D431" s="12"/>
      <c r="E431" s="12">
        <v>30</v>
      </c>
      <c r="F431" s="56" t="s">
        <v>2238</v>
      </c>
      <c r="G431" s="12" t="s">
        <v>481</v>
      </c>
      <c r="H431" s="12">
        <v>5</v>
      </c>
      <c r="I431" s="12">
        <v>1</v>
      </c>
      <c r="J431" s="12" t="s">
        <v>564</v>
      </c>
      <c r="K431" s="12" t="s">
        <v>587</v>
      </c>
      <c r="L431" s="12" t="s">
        <v>642</v>
      </c>
      <c r="M431" s="12" t="s">
        <v>654</v>
      </c>
    </row>
    <row r="432" spans="1:13" ht="20.100000000000001" customHeight="1" x14ac:dyDescent="0.25">
      <c r="A432" s="12"/>
      <c r="B432" s="12"/>
      <c r="C432" s="12"/>
      <c r="D432" s="12"/>
      <c r="E432" s="12">
        <v>31</v>
      </c>
      <c r="F432" s="56" t="s">
        <v>2239</v>
      </c>
      <c r="G432" s="12" t="s">
        <v>482</v>
      </c>
      <c r="H432" s="12">
        <v>5</v>
      </c>
      <c r="I432" s="12">
        <v>1</v>
      </c>
      <c r="J432" s="12" t="s">
        <v>565</v>
      </c>
      <c r="K432" s="12" t="s">
        <v>586</v>
      </c>
      <c r="L432" s="12" t="s">
        <v>643</v>
      </c>
      <c r="M432" s="12" t="s">
        <v>653</v>
      </c>
    </row>
    <row r="433" spans="1:13" ht="20.100000000000001" customHeight="1" x14ac:dyDescent="0.25">
      <c r="A433" s="12"/>
      <c r="B433" s="12"/>
      <c r="C433" s="12"/>
      <c r="D433" s="12"/>
      <c r="E433" s="12">
        <v>32</v>
      </c>
      <c r="F433" s="56" t="s">
        <v>2240</v>
      </c>
      <c r="G433" s="12" t="s">
        <v>483</v>
      </c>
      <c r="H433" s="12">
        <v>5</v>
      </c>
      <c r="I433" s="12">
        <v>1</v>
      </c>
      <c r="J433" s="12" t="s">
        <v>566</v>
      </c>
      <c r="K433" s="12" t="s">
        <v>585</v>
      </c>
      <c r="L433" s="12" t="s">
        <v>644</v>
      </c>
      <c r="M433" s="12" t="s">
        <v>652</v>
      </c>
    </row>
    <row r="434" spans="1:13" ht="20.100000000000001" customHeight="1" x14ac:dyDescent="0.25">
      <c r="A434" s="12"/>
      <c r="B434" s="12"/>
      <c r="C434" s="12"/>
      <c r="D434" s="12"/>
      <c r="E434" s="12">
        <v>33</v>
      </c>
      <c r="F434" s="56" t="s">
        <v>2241</v>
      </c>
      <c r="G434" s="12" t="s">
        <v>484</v>
      </c>
      <c r="H434" s="12">
        <v>5</v>
      </c>
      <c r="I434" s="12">
        <v>1</v>
      </c>
      <c r="J434" s="12" t="s">
        <v>567</v>
      </c>
      <c r="K434" s="12" t="s">
        <v>584</v>
      </c>
      <c r="L434" s="12" t="s">
        <v>629</v>
      </c>
      <c r="M434" s="12" t="s">
        <v>651</v>
      </c>
    </row>
    <row r="435" spans="1:13" ht="20.100000000000001" customHeight="1" x14ac:dyDescent="0.25">
      <c r="A435" s="12"/>
      <c r="B435" s="12"/>
      <c r="C435" s="12"/>
      <c r="D435" s="12"/>
      <c r="E435" s="12">
        <v>34</v>
      </c>
      <c r="F435" s="56" t="s">
        <v>2242</v>
      </c>
      <c r="G435" s="12" t="s">
        <v>485</v>
      </c>
      <c r="H435" s="12">
        <v>5</v>
      </c>
      <c r="I435" s="12">
        <v>1</v>
      </c>
      <c r="J435" s="12" t="s">
        <v>568</v>
      </c>
      <c r="K435" s="12" t="s">
        <v>583</v>
      </c>
      <c r="L435" s="12" t="s">
        <v>628</v>
      </c>
      <c r="M435" s="12" t="s">
        <v>650</v>
      </c>
    </row>
    <row r="436" spans="1:13" ht="20.100000000000001" customHeight="1" x14ac:dyDescent="0.25">
      <c r="A436" s="12"/>
      <c r="B436" s="12"/>
      <c r="C436" s="12"/>
      <c r="D436" s="12"/>
      <c r="E436" s="12">
        <v>35</v>
      </c>
      <c r="F436" s="56" t="s">
        <v>2254</v>
      </c>
      <c r="G436" s="12" t="s">
        <v>486</v>
      </c>
      <c r="H436" s="12">
        <v>5</v>
      </c>
      <c r="I436" s="12">
        <v>1</v>
      </c>
      <c r="J436" s="12" t="s">
        <v>569</v>
      </c>
      <c r="K436" s="12" t="s">
        <v>582</v>
      </c>
      <c r="L436" s="12" t="s">
        <v>627</v>
      </c>
      <c r="M436" s="12" t="s">
        <v>649</v>
      </c>
    </row>
    <row r="437" spans="1:13" ht="20.100000000000001" customHeight="1" x14ac:dyDescent="0.25">
      <c r="A437" s="12"/>
      <c r="B437" s="12"/>
      <c r="C437" s="12"/>
      <c r="D437" s="12"/>
      <c r="E437" s="12">
        <v>36</v>
      </c>
      <c r="F437" s="56" t="s">
        <v>2243</v>
      </c>
      <c r="G437" s="12" t="s">
        <v>487</v>
      </c>
      <c r="H437" s="12">
        <v>5</v>
      </c>
      <c r="I437" s="12">
        <v>1</v>
      </c>
      <c r="J437" s="12" t="s">
        <v>570</v>
      </c>
      <c r="K437" s="12" t="s">
        <v>581</v>
      </c>
      <c r="L437" s="12" t="s">
        <v>626</v>
      </c>
      <c r="M437" s="12" t="s">
        <v>648</v>
      </c>
    </row>
    <row r="438" spans="1:13" ht="20.100000000000001" customHeight="1" x14ac:dyDescent="0.25">
      <c r="A438" s="12"/>
      <c r="B438" s="12"/>
      <c r="C438" s="12"/>
      <c r="D438" s="12"/>
      <c r="E438" s="12">
        <v>37</v>
      </c>
      <c r="F438" s="56" t="s">
        <v>2244</v>
      </c>
      <c r="G438" s="12" t="s">
        <v>488</v>
      </c>
      <c r="H438" s="12">
        <v>5</v>
      </c>
      <c r="I438" s="12">
        <v>1</v>
      </c>
      <c r="J438" s="12" t="s">
        <v>571</v>
      </c>
      <c r="K438" s="12" t="s">
        <v>580</v>
      </c>
      <c r="L438" s="12" t="s">
        <v>625</v>
      </c>
      <c r="M438" s="12" t="s">
        <v>647</v>
      </c>
    </row>
    <row r="439" spans="1:13" ht="20.100000000000001" customHeight="1" x14ac:dyDescent="0.25">
      <c r="A439" s="12"/>
      <c r="B439" s="12"/>
      <c r="C439" s="12"/>
      <c r="D439" s="12"/>
      <c r="E439" s="12">
        <v>38</v>
      </c>
      <c r="F439" s="56" t="s">
        <v>2245</v>
      </c>
      <c r="G439" s="12" t="s">
        <v>489</v>
      </c>
      <c r="H439" s="12">
        <v>5</v>
      </c>
      <c r="I439" s="12">
        <v>1</v>
      </c>
      <c r="J439" s="12" t="s">
        <v>572</v>
      </c>
      <c r="K439" s="12" t="s">
        <v>579</v>
      </c>
      <c r="L439" s="12" t="s">
        <v>624</v>
      </c>
      <c r="M439" s="12" t="s">
        <v>646</v>
      </c>
    </row>
    <row r="440" spans="1:13" ht="20.100000000000001" customHeight="1" x14ac:dyDescent="0.25">
      <c r="A440" s="12"/>
      <c r="B440" s="12"/>
      <c r="C440" s="12"/>
      <c r="D440" s="12"/>
      <c r="E440" s="12">
        <v>39</v>
      </c>
      <c r="F440" s="56" t="s">
        <v>2246</v>
      </c>
      <c r="G440" s="12" t="s">
        <v>490</v>
      </c>
      <c r="H440" s="12">
        <v>5</v>
      </c>
      <c r="I440" s="12">
        <v>1</v>
      </c>
      <c r="J440" s="12" t="s">
        <v>573</v>
      </c>
      <c r="K440" s="12" t="s">
        <v>578</v>
      </c>
      <c r="L440" s="12" t="s">
        <v>623</v>
      </c>
      <c r="M440" s="12" t="s">
        <v>645</v>
      </c>
    </row>
    <row r="441" spans="1:13" ht="20.100000000000001" customHeight="1" x14ac:dyDescent="0.25">
      <c r="A441" s="12"/>
      <c r="B441" s="12"/>
      <c r="C441" s="12"/>
      <c r="D441" s="12"/>
      <c r="E441" s="12">
        <v>40</v>
      </c>
      <c r="F441" s="56" t="s">
        <v>2247</v>
      </c>
      <c r="G441" s="12" t="s">
        <v>491</v>
      </c>
      <c r="H441" s="12">
        <v>5</v>
      </c>
      <c r="I441" s="12">
        <v>1</v>
      </c>
      <c r="J441" s="12" t="s">
        <v>574</v>
      </c>
      <c r="K441" s="12" t="s">
        <v>577</v>
      </c>
      <c r="L441" s="12" t="s">
        <v>622</v>
      </c>
      <c r="M441" s="12" t="s">
        <v>741</v>
      </c>
    </row>
    <row r="442" spans="1:13" ht="20.100000000000001" customHeight="1" x14ac:dyDescent="0.25">
      <c r="A442" s="14"/>
      <c r="B442" s="14"/>
      <c r="C442" s="14">
        <v>4000</v>
      </c>
      <c r="D442" s="14" t="s">
        <v>1982</v>
      </c>
      <c r="E442" s="14">
        <v>1</v>
      </c>
      <c r="F442" s="15" t="s">
        <v>6252</v>
      </c>
      <c r="G442" s="14" t="s">
        <v>751</v>
      </c>
      <c r="H442" s="14">
        <v>5</v>
      </c>
      <c r="I442" s="14">
        <v>1</v>
      </c>
      <c r="J442" s="15" t="s">
        <v>6290</v>
      </c>
      <c r="K442" s="15" t="s">
        <v>6291</v>
      </c>
      <c r="L442" s="15" t="s">
        <v>6292</v>
      </c>
      <c r="M442" s="15" t="s">
        <v>6293</v>
      </c>
    </row>
    <row r="443" spans="1:13" ht="20.100000000000001" customHeight="1" x14ac:dyDescent="0.25">
      <c r="A443" s="14"/>
      <c r="B443" s="14"/>
      <c r="C443" s="14"/>
      <c r="D443" s="14" t="s">
        <v>1988</v>
      </c>
      <c r="E443" s="14">
        <v>2</v>
      </c>
      <c r="F443" s="15" t="s">
        <v>6253</v>
      </c>
      <c r="G443" s="14" t="s">
        <v>752</v>
      </c>
      <c r="H443" s="14">
        <v>5</v>
      </c>
      <c r="I443" s="14">
        <v>1</v>
      </c>
      <c r="J443" s="15" t="s">
        <v>6294</v>
      </c>
      <c r="K443" s="15" t="s">
        <v>6295</v>
      </c>
      <c r="L443" s="15" t="s">
        <v>6296</v>
      </c>
      <c r="M443" s="15" t="s">
        <v>6297</v>
      </c>
    </row>
    <row r="444" spans="1:13" ht="20.100000000000001" customHeight="1" x14ac:dyDescent="0.25">
      <c r="A444" s="14"/>
      <c r="B444" s="14"/>
      <c r="C444" s="14"/>
      <c r="D444" s="14" t="s">
        <v>8972</v>
      </c>
      <c r="E444" s="14">
        <v>3</v>
      </c>
      <c r="F444" s="15" t="s">
        <v>6254</v>
      </c>
      <c r="G444" s="14" t="s">
        <v>753</v>
      </c>
      <c r="H444" s="14">
        <v>5</v>
      </c>
      <c r="I444" s="14">
        <v>1</v>
      </c>
      <c r="J444" s="15" t="s">
        <v>6298</v>
      </c>
      <c r="K444" s="15" t="s">
        <v>6299</v>
      </c>
      <c r="L444" s="15" t="s">
        <v>6300</v>
      </c>
      <c r="M444" s="15" t="s">
        <v>6301</v>
      </c>
    </row>
    <row r="445" spans="1:13" ht="20.100000000000001" customHeight="1" x14ac:dyDescent="0.25">
      <c r="A445" s="14"/>
      <c r="B445" s="14"/>
      <c r="C445" s="14"/>
      <c r="D445" s="14"/>
      <c r="E445" s="14">
        <v>4</v>
      </c>
      <c r="F445" s="15" t="s">
        <v>6255</v>
      </c>
      <c r="G445" s="14" t="s">
        <v>754</v>
      </c>
      <c r="H445" s="14">
        <v>5</v>
      </c>
      <c r="I445" s="14">
        <v>1</v>
      </c>
      <c r="J445" s="15" t="s">
        <v>6302</v>
      </c>
      <c r="K445" s="15" t="s">
        <v>6303</v>
      </c>
      <c r="L445" s="15" t="s">
        <v>6304</v>
      </c>
      <c r="M445" s="15" t="s">
        <v>6305</v>
      </c>
    </row>
    <row r="446" spans="1:13" ht="20.100000000000001" customHeight="1" x14ac:dyDescent="0.25">
      <c r="A446" s="14"/>
      <c r="B446" s="14"/>
      <c r="C446" s="14"/>
      <c r="D446" s="14"/>
      <c r="E446" s="14">
        <v>5</v>
      </c>
      <c r="F446" s="15" t="s">
        <v>6256</v>
      </c>
      <c r="G446" s="14" t="s">
        <v>755</v>
      </c>
      <c r="H446" s="14">
        <v>5</v>
      </c>
      <c r="I446" s="14">
        <v>1</v>
      </c>
      <c r="J446" s="15" t="s">
        <v>6306</v>
      </c>
      <c r="K446" s="15" t="s">
        <v>6307</v>
      </c>
      <c r="L446" s="15" t="s">
        <v>6308</v>
      </c>
      <c r="M446" s="15" t="s">
        <v>6309</v>
      </c>
    </row>
    <row r="447" spans="1:13" ht="20.100000000000001" customHeight="1" x14ac:dyDescent="0.25">
      <c r="A447" s="14"/>
      <c r="B447" s="14"/>
      <c r="C447" s="14"/>
      <c r="D447" s="14"/>
      <c r="E447" s="14">
        <v>6</v>
      </c>
      <c r="F447" s="15" t="s">
        <v>6257</v>
      </c>
      <c r="G447" s="14" t="s">
        <v>756</v>
      </c>
      <c r="H447" s="14">
        <v>5</v>
      </c>
      <c r="I447" s="14">
        <v>1</v>
      </c>
      <c r="J447" s="15" t="s">
        <v>6310</v>
      </c>
      <c r="K447" s="15" t="s">
        <v>6311</v>
      </c>
      <c r="L447" s="15" t="s">
        <v>6312</v>
      </c>
      <c r="M447" s="15" t="s">
        <v>6313</v>
      </c>
    </row>
    <row r="448" spans="1:13" ht="20.100000000000001" customHeight="1" x14ac:dyDescent="0.25">
      <c r="A448" s="14"/>
      <c r="B448" s="14"/>
      <c r="C448" s="14"/>
      <c r="D448" s="14"/>
      <c r="E448" s="14">
        <v>7</v>
      </c>
      <c r="F448" s="15" t="s">
        <v>6258</v>
      </c>
      <c r="G448" s="14" t="s">
        <v>757</v>
      </c>
      <c r="H448" s="14">
        <v>5</v>
      </c>
      <c r="I448" s="14">
        <v>1</v>
      </c>
      <c r="J448" s="15" t="s">
        <v>6314</v>
      </c>
      <c r="K448" s="15" t="s">
        <v>6315</v>
      </c>
      <c r="L448" s="15" t="s">
        <v>6316</v>
      </c>
      <c r="M448" s="15" t="s">
        <v>6317</v>
      </c>
    </row>
    <row r="449" spans="1:13" ht="20.100000000000001" customHeight="1" x14ac:dyDescent="0.25">
      <c r="A449" s="14"/>
      <c r="B449" s="14"/>
      <c r="C449" s="14"/>
      <c r="D449" s="14"/>
      <c r="E449" s="14">
        <v>8</v>
      </c>
      <c r="F449" s="15" t="s">
        <v>6259</v>
      </c>
      <c r="G449" s="14" t="s">
        <v>758</v>
      </c>
      <c r="H449" s="14">
        <v>5</v>
      </c>
      <c r="I449" s="14">
        <v>1</v>
      </c>
      <c r="J449" s="15" t="s">
        <v>6318</v>
      </c>
      <c r="K449" s="15" t="s">
        <v>6319</v>
      </c>
      <c r="L449" s="15" t="s">
        <v>6320</v>
      </c>
      <c r="M449" s="15" t="s">
        <v>6321</v>
      </c>
    </row>
    <row r="450" spans="1:13" ht="20.100000000000001" customHeight="1" x14ac:dyDescent="0.25">
      <c r="A450" s="14"/>
      <c r="B450" s="14"/>
      <c r="C450" s="14"/>
      <c r="D450" s="14"/>
      <c r="E450" s="14">
        <v>9</v>
      </c>
      <c r="F450" s="15" t="s">
        <v>6260</v>
      </c>
      <c r="G450" s="14" t="s">
        <v>759</v>
      </c>
      <c r="H450" s="14">
        <v>5</v>
      </c>
      <c r="I450" s="14">
        <v>1</v>
      </c>
      <c r="J450" s="15" t="s">
        <v>6322</v>
      </c>
      <c r="K450" s="15" t="s">
        <v>6323</v>
      </c>
      <c r="L450" s="15" t="s">
        <v>6324</v>
      </c>
      <c r="M450" s="15" t="s">
        <v>6325</v>
      </c>
    </row>
    <row r="451" spans="1:13" ht="20.100000000000001" customHeight="1" x14ac:dyDescent="0.25">
      <c r="A451" s="14"/>
      <c r="B451" s="14"/>
      <c r="C451" s="14"/>
      <c r="D451" s="14"/>
      <c r="E451" s="14">
        <v>10</v>
      </c>
      <c r="F451" s="15" t="s">
        <v>1983</v>
      </c>
      <c r="G451" s="14" t="s">
        <v>684</v>
      </c>
      <c r="H451" s="14">
        <v>5</v>
      </c>
      <c r="I451" s="14">
        <v>1</v>
      </c>
      <c r="J451" s="15" t="s">
        <v>6326</v>
      </c>
      <c r="K451" s="15" t="s">
        <v>6327</v>
      </c>
      <c r="L451" s="15" t="s">
        <v>6328</v>
      </c>
      <c r="M451" s="15" t="s">
        <v>6329</v>
      </c>
    </row>
    <row r="452" spans="1:13" ht="20.100000000000001" customHeight="1" x14ac:dyDescent="0.25">
      <c r="A452" s="14"/>
      <c r="B452" s="14"/>
      <c r="C452" s="14"/>
      <c r="D452" s="14"/>
      <c r="E452" s="14">
        <v>11</v>
      </c>
      <c r="F452" s="16" t="s">
        <v>6261</v>
      </c>
      <c r="G452" s="14" t="s">
        <v>685</v>
      </c>
      <c r="H452" s="14">
        <v>5</v>
      </c>
      <c r="I452" s="14">
        <v>1</v>
      </c>
      <c r="J452" s="15" t="s">
        <v>6330</v>
      </c>
      <c r="K452" s="15" t="s">
        <v>6331</v>
      </c>
      <c r="L452" s="15" t="s">
        <v>6332</v>
      </c>
      <c r="M452" s="15" t="s">
        <v>6333</v>
      </c>
    </row>
    <row r="453" spans="1:13" ht="20.100000000000001" customHeight="1" x14ac:dyDescent="0.25">
      <c r="A453" s="14"/>
      <c r="B453" s="14"/>
      <c r="C453" s="14"/>
      <c r="D453" s="14"/>
      <c r="E453" s="14">
        <v>12</v>
      </c>
      <c r="F453" s="16" t="s">
        <v>6262</v>
      </c>
      <c r="G453" s="14" t="s">
        <v>686</v>
      </c>
      <c r="H453" s="14">
        <v>5</v>
      </c>
      <c r="I453" s="14">
        <v>1</v>
      </c>
      <c r="J453" s="15" t="s">
        <v>6334</v>
      </c>
      <c r="K453" s="15" t="s">
        <v>6335</v>
      </c>
      <c r="L453" s="15" t="s">
        <v>6336</v>
      </c>
      <c r="M453" s="15" t="s">
        <v>6337</v>
      </c>
    </row>
    <row r="454" spans="1:13" ht="20.100000000000001" customHeight="1" x14ac:dyDescent="0.25">
      <c r="A454" s="14"/>
      <c r="B454" s="14"/>
      <c r="C454" s="14"/>
      <c r="D454" s="14"/>
      <c r="E454" s="14">
        <v>13</v>
      </c>
      <c r="F454" s="16" t="s">
        <v>6263</v>
      </c>
      <c r="G454" s="14" t="s">
        <v>687</v>
      </c>
      <c r="H454" s="14">
        <v>5</v>
      </c>
      <c r="I454" s="14">
        <v>1</v>
      </c>
      <c r="J454" s="15" t="s">
        <v>6338</v>
      </c>
      <c r="K454" s="15" t="s">
        <v>6339</v>
      </c>
      <c r="L454" s="15" t="s">
        <v>6340</v>
      </c>
      <c r="M454" s="15" t="s">
        <v>6341</v>
      </c>
    </row>
    <row r="455" spans="1:13" ht="20.100000000000001" customHeight="1" x14ac:dyDescent="0.25">
      <c r="A455" s="16"/>
      <c r="B455" s="16"/>
      <c r="C455" s="14"/>
      <c r="D455" s="14"/>
      <c r="E455" s="14">
        <v>14</v>
      </c>
      <c r="F455" s="16" t="s">
        <v>6264</v>
      </c>
      <c r="G455" s="14" t="s">
        <v>688</v>
      </c>
      <c r="H455" s="14">
        <v>5</v>
      </c>
      <c r="I455" s="14">
        <v>1</v>
      </c>
      <c r="J455" s="15" t="s">
        <v>6342</v>
      </c>
      <c r="K455" s="15" t="s">
        <v>6343</v>
      </c>
      <c r="L455" s="15" t="s">
        <v>6344</v>
      </c>
      <c r="M455" s="15" t="s">
        <v>6345</v>
      </c>
    </row>
    <row r="456" spans="1:13" ht="20.100000000000001" customHeight="1" x14ac:dyDescent="0.25">
      <c r="A456" s="16"/>
      <c r="B456" s="16"/>
      <c r="C456" s="14"/>
      <c r="D456" s="14"/>
      <c r="E456" s="14">
        <v>15</v>
      </c>
      <c r="F456" s="16" t="s">
        <v>6265</v>
      </c>
      <c r="G456" s="14" t="s">
        <v>689</v>
      </c>
      <c r="H456" s="14">
        <v>5</v>
      </c>
      <c r="I456" s="14">
        <v>1</v>
      </c>
      <c r="J456" s="15" t="s">
        <v>6346</v>
      </c>
      <c r="K456" s="15" t="s">
        <v>6347</v>
      </c>
      <c r="L456" s="15" t="s">
        <v>6348</v>
      </c>
      <c r="M456" s="15" t="s">
        <v>6349</v>
      </c>
    </row>
    <row r="457" spans="1:13" ht="20.100000000000001" customHeight="1" x14ac:dyDescent="0.25">
      <c r="A457" s="16"/>
      <c r="B457" s="16"/>
      <c r="C457" s="14"/>
      <c r="D457" s="14"/>
      <c r="E457" s="14">
        <v>16</v>
      </c>
      <c r="F457" s="16" t="s">
        <v>6266</v>
      </c>
      <c r="G457" s="14" t="s">
        <v>690</v>
      </c>
      <c r="H457" s="14">
        <v>5</v>
      </c>
      <c r="I457" s="14">
        <v>1</v>
      </c>
      <c r="J457" s="15" t="s">
        <v>6350</v>
      </c>
      <c r="K457" s="15" t="s">
        <v>6351</v>
      </c>
      <c r="L457" s="15" t="s">
        <v>6352</v>
      </c>
      <c r="M457" s="15" t="s">
        <v>6353</v>
      </c>
    </row>
    <row r="458" spans="1:13" ht="20.100000000000001" customHeight="1" x14ac:dyDescent="0.25">
      <c r="A458" s="16"/>
      <c r="B458" s="16"/>
      <c r="C458" s="14"/>
      <c r="D458" s="14"/>
      <c r="E458" s="14">
        <v>17</v>
      </c>
      <c r="F458" s="16" t="s">
        <v>6267</v>
      </c>
      <c r="G458" s="14" t="s">
        <v>691</v>
      </c>
      <c r="H458" s="14">
        <v>5</v>
      </c>
      <c r="I458" s="14">
        <v>1</v>
      </c>
      <c r="J458" s="15" t="s">
        <v>6354</v>
      </c>
      <c r="K458" s="15" t="s">
        <v>6355</v>
      </c>
      <c r="L458" s="15" t="s">
        <v>6356</v>
      </c>
      <c r="M458" s="15" t="s">
        <v>6357</v>
      </c>
    </row>
    <row r="459" spans="1:13" ht="20.100000000000001" customHeight="1" x14ac:dyDescent="0.25">
      <c r="A459" s="16"/>
      <c r="B459" s="16"/>
      <c r="C459" s="14"/>
      <c r="D459" s="14"/>
      <c r="E459" s="14">
        <v>18</v>
      </c>
      <c r="F459" s="16" t="s">
        <v>6268</v>
      </c>
      <c r="G459" s="14" t="s">
        <v>692</v>
      </c>
      <c r="H459" s="14">
        <v>5</v>
      </c>
      <c r="I459" s="14">
        <v>1</v>
      </c>
      <c r="J459" s="15" t="s">
        <v>6358</v>
      </c>
      <c r="K459" s="15" t="s">
        <v>6359</v>
      </c>
      <c r="L459" s="15" t="s">
        <v>6360</v>
      </c>
      <c r="M459" s="15" t="s">
        <v>6361</v>
      </c>
    </row>
    <row r="460" spans="1:13" ht="20.100000000000001" customHeight="1" x14ac:dyDescent="0.25">
      <c r="A460" s="16"/>
      <c r="B460" s="16"/>
      <c r="C460" s="14"/>
      <c r="D460" s="14"/>
      <c r="E460" s="14">
        <v>19</v>
      </c>
      <c r="F460" s="16" t="s">
        <v>6269</v>
      </c>
      <c r="G460" s="14" t="s">
        <v>693</v>
      </c>
      <c r="H460" s="14">
        <v>5</v>
      </c>
      <c r="I460" s="14">
        <v>1</v>
      </c>
      <c r="J460" s="15" t="s">
        <v>6362</v>
      </c>
      <c r="K460" s="15" t="s">
        <v>6363</v>
      </c>
      <c r="L460" s="15" t="s">
        <v>6364</v>
      </c>
      <c r="M460" s="15" t="s">
        <v>6365</v>
      </c>
    </row>
    <row r="461" spans="1:13" ht="20.100000000000001" customHeight="1" x14ac:dyDescent="0.25">
      <c r="A461" s="16"/>
      <c r="B461" s="16"/>
      <c r="C461" s="14"/>
      <c r="D461" s="14"/>
      <c r="E461" s="14">
        <v>20</v>
      </c>
      <c r="F461" s="16" t="s">
        <v>6270</v>
      </c>
      <c r="G461" s="14" t="s">
        <v>694</v>
      </c>
      <c r="H461" s="14">
        <v>5</v>
      </c>
      <c r="I461" s="14">
        <v>1</v>
      </c>
      <c r="J461" s="15" t="s">
        <v>6366</v>
      </c>
      <c r="K461" s="15" t="s">
        <v>6367</v>
      </c>
      <c r="L461" s="15" t="s">
        <v>6368</v>
      </c>
      <c r="M461" s="15" t="s">
        <v>6369</v>
      </c>
    </row>
    <row r="462" spans="1:13" ht="20.100000000000001" customHeight="1" x14ac:dyDescent="0.25">
      <c r="A462" s="16"/>
      <c r="B462" s="16"/>
      <c r="C462" s="14"/>
      <c r="D462" s="14"/>
      <c r="E462" s="14">
        <v>21</v>
      </c>
      <c r="F462" s="16" t="s">
        <v>6271</v>
      </c>
      <c r="G462" s="14" t="s">
        <v>695</v>
      </c>
      <c r="H462" s="14">
        <v>5</v>
      </c>
      <c r="I462" s="14">
        <v>1</v>
      </c>
      <c r="J462" s="15" t="s">
        <v>6370</v>
      </c>
      <c r="K462" s="15" t="s">
        <v>6371</v>
      </c>
      <c r="L462" s="15" t="s">
        <v>6372</v>
      </c>
      <c r="M462" s="15" t="s">
        <v>6373</v>
      </c>
    </row>
    <row r="463" spans="1:13" ht="20.100000000000001" customHeight="1" x14ac:dyDescent="0.25">
      <c r="A463" s="16"/>
      <c r="B463" s="16"/>
      <c r="C463" s="14"/>
      <c r="D463" s="14"/>
      <c r="E463" s="14">
        <v>22</v>
      </c>
      <c r="F463" s="16" t="s">
        <v>6272</v>
      </c>
      <c r="G463" s="14" t="s">
        <v>696</v>
      </c>
      <c r="H463" s="14">
        <v>5</v>
      </c>
      <c r="I463" s="14">
        <v>1</v>
      </c>
      <c r="J463" s="15" t="s">
        <v>6374</v>
      </c>
      <c r="K463" s="15" t="s">
        <v>6375</v>
      </c>
      <c r="L463" s="15" t="s">
        <v>6376</v>
      </c>
      <c r="M463" s="15" t="s">
        <v>6377</v>
      </c>
    </row>
    <row r="464" spans="1:13" ht="20.100000000000001" customHeight="1" x14ac:dyDescent="0.25">
      <c r="A464" s="16"/>
      <c r="B464" s="16"/>
      <c r="C464" s="14"/>
      <c r="D464" s="14"/>
      <c r="E464" s="14">
        <v>23</v>
      </c>
      <c r="F464" s="16" t="s">
        <v>6273</v>
      </c>
      <c r="G464" s="14" t="s">
        <v>697</v>
      </c>
      <c r="H464" s="14">
        <v>5</v>
      </c>
      <c r="I464" s="14">
        <v>1</v>
      </c>
      <c r="J464" s="15" t="s">
        <v>6378</v>
      </c>
      <c r="K464" s="15" t="s">
        <v>6379</v>
      </c>
      <c r="L464" s="15" t="s">
        <v>6380</v>
      </c>
      <c r="M464" s="15" t="s">
        <v>6381</v>
      </c>
    </row>
    <row r="465" spans="1:13" ht="20.100000000000001" customHeight="1" x14ac:dyDescent="0.25">
      <c r="A465" s="16"/>
      <c r="B465" s="16"/>
      <c r="C465" s="16"/>
      <c r="D465" s="16"/>
      <c r="E465" s="14">
        <v>24</v>
      </c>
      <c r="F465" s="16" t="s">
        <v>6274</v>
      </c>
      <c r="G465" s="14" t="s">
        <v>698</v>
      </c>
      <c r="H465" s="14">
        <v>5</v>
      </c>
      <c r="I465" s="14">
        <v>1</v>
      </c>
      <c r="J465" s="15" t="s">
        <v>6382</v>
      </c>
      <c r="K465" s="15" t="s">
        <v>6383</v>
      </c>
      <c r="L465" s="15" t="s">
        <v>6384</v>
      </c>
      <c r="M465" s="15" t="s">
        <v>6385</v>
      </c>
    </row>
    <row r="466" spans="1:13" ht="20.100000000000001" customHeight="1" x14ac:dyDescent="0.25">
      <c r="A466" s="16"/>
      <c r="B466" s="16"/>
      <c r="C466" s="16"/>
      <c r="D466" s="16"/>
      <c r="E466" s="14">
        <v>25</v>
      </c>
      <c r="F466" s="16" t="s">
        <v>6275</v>
      </c>
      <c r="G466" s="14" t="s">
        <v>699</v>
      </c>
      <c r="H466" s="14">
        <v>5</v>
      </c>
      <c r="I466" s="14">
        <v>1</v>
      </c>
      <c r="J466" s="15" t="s">
        <v>6386</v>
      </c>
      <c r="K466" s="15" t="s">
        <v>6387</v>
      </c>
      <c r="L466" s="15" t="s">
        <v>6388</v>
      </c>
      <c r="M466" s="15" t="s">
        <v>6389</v>
      </c>
    </row>
    <row r="467" spans="1:13" ht="20.100000000000001" customHeight="1" x14ac:dyDescent="0.25">
      <c r="A467" s="16"/>
      <c r="B467" s="16"/>
      <c r="C467" s="16"/>
      <c r="D467" s="16"/>
      <c r="E467" s="14">
        <v>26</v>
      </c>
      <c r="F467" s="16" t="s">
        <v>6276</v>
      </c>
      <c r="G467" s="14" t="s">
        <v>700</v>
      </c>
      <c r="H467" s="14">
        <v>5</v>
      </c>
      <c r="I467" s="14">
        <v>1</v>
      </c>
      <c r="J467" s="15" t="s">
        <v>6390</v>
      </c>
      <c r="K467" s="15" t="s">
        <v>6391</v>
      </c>
      <c r="L467" s="15" t="s">
        <v>6392</v>
      </c>
      <c r="M467" s="15" t="s">
        <v>6393</v>
      </c>
    </row>
    <row r="468" spans="1:13" ht="20.100000000000001" customHeight="1" x14ac:dyDescent="0.25">
      <c r="A468" s="16"/>
      <c r="B468" s="16"/>
      <c r="C468" s="16"/>
      <c r="D468" s="16"/>
      <c r="E468" s="14">
        <v>27</v>
      </c>
      <c r="F468" s="16" t="s">
        <v>6277</v>
      </c>
      <c r="G468" s="14" t="s">
        <v>701</v>
      </c>
      <c r="H468" s="14">
        <v>5</v>
      </c>
      <c r="I468" s="14">
        <v>1</v>
      </c>
      <c r="J468" s="15" t="s">
        <v>6394</v>
      </c>
      <c r="K468" s="15" t="s">
        <v>6395</v>
      </c>
      <c r="L468" s="15" t="s">
        <v>6396</v>
      </c>
      <c r="M468" s="15" t="s">
        <v>6397</v>
      </c>
    </row>
    <row r="469" spans="1:13" ht="20.100000000000001" customHeight="1" x14ac:dyDescent="0.25">
      <c r="A469" s="16"/>
      <c r="B469" s="16"/>
      <c r="C469" s="16"/>
      <c r="D469" s="16"/>
      <c r="E469" s="14">
        <v>28</v>
      </c>
      <c r="F469" s="16" t="s">
        <v>6278</v>
      </c>
      <c r="G469" s="14" t="s">
        <v>702</v>
      </c>
      <c r="H469" s="14">
        <v>5</v>
      </c>
      <c r="I469" s="14">
        <v>1</v>
      </c>
      <c r="J469" s="15" t="s">
        <v>6398</v>
      </c>
      <c r="K469" s="15" t="s">
        <v>6399</v>
      </c>
      <c r="L469" s="15" t="s">
        <v>6400</v>
      </c>
      <c r="M469" s="15" t="s">
        <v>6401</v>
      </c>
    </row>
    <row r="470" spans="1:13" ht="20.100000000000001" customHeight="1" x14ac:dyDescent="0.25">
      <c r="A470" s="16"/>
      <c r="B470" s="16"/>
      <c r="C470" s="16"/>
      <c r="D470" s="16"/>
      <c r="E470" s="14">
        <v>29</v>
      </c>
      <c r="F470" s="16" t="s">
        <v>6279</v>
      </c>
      <c r="G470" s="14" t="s">
        <v>703</v>
      </c>
      <c r="H470" s="14">
        <v>5</v>
      </c>
      <c r="I470" s="14">
        <v>1</v>
      </c>
      <c r="J470" s="15" t="s">
        <v>6402</v>
      </c>
      <c r="K470" s="15" t="s">
        <v>6403</v>
      </c>
      <c r="L470" s="15" t="s">
        <v>6404</v>
      </c>
      <c r="M470" s="15" t="s">
        <v>6405</v>
      </c>
    </row>
    <row r="471" spans="1:13" ht="20.100000000000001" customHeight="1" x14ac:dyDescent="0.25">
      <c r="A471" s="16"/>
      <c r="B471" s="16"/>
      <c r="C471" s="16"/>
      <c r="D471" s="16"/>
      <c r="E471" s="14">
        <v>30</v>
      </c>
      <c r="F471" s="16" t="s">
        <v>6280</v>
      </c>
      <c r="G471" s="14" t="s">
        <v>704</v>
      </c>
      <c r="H471" s="14">
        <v>5</v>
      </c>
      <c r="I471" s="14">
        <v>1</v>
      </c>
      <c r="J471" s="15" t="s">
        <v>6406</v>
      </c>
      <c r="K471" s="15" t="s">
        <v>6407</v>
      </c>
      <c r="L471" s="15" t="s">
        <v>6408</v>
      </c>
      <c r="M471" s="15" t="s">
        <v>6409</v>
      </c>
    </row>
    <row r="472" spans="1:13" ht="20.100000000000001" customHeight="1" x14ac:dyDescent="0.25">
      <c r="A472" s="16"/>
      <c r="B472" s="16"/>
      <c r="C472" s="16"/>
      <c r="D472" s="16"/>
      <c r="E472" s="14">
        <v>31</v>
      </c>
      <c r="F472" s="16" t="s">
        <v>6281</v>
      </c>
      <c r="G472" s="14" t="s">
        <v>705</v>
      </c>
      <c r="H472" s="14">
        <v>5</v>
      </c>
      <c r="I472" s="14">
        <v>1</v>
      </c>
      <c r="J472" s="15" t="s">
        <v>6410</v>
      </c>
      <c r="K472" s="15" t="s">
        <v>6411</v>
      </c>
      <c r="L472" s="15" t="s">
        <v>6412</v>
      </c>
      <c r="M472" s="15" t="s">
        <v>6413</v>
      </c>
    </row>
    <row r="473" spans="1:13" ht="20.100000000000001" customHeight="1" x14ac:dyDescent="0.25">
      <c r="A473" s="16"/>
      <c r="B473" s="16"/>
      <c r="C473" s="16"/>
      <c r="D473" s="16"/>
      <c r="E473" s="14">
        <v>32</v>
      </c>
      <c r="F473" s="16" t="s">
        <v>6282</v>
      </c>
      <c r="G473" s="14" t="s">
        <v>706</v>
      </c>
      <c r="H473" s="14">
        <v>5</v>
      </c>
      <c r="I473" s="14">
        <v>1</v>
      </c>
      <c r="J473" s="15" t="s">
        <v>6414</v>
      </c>
      <c r="K473" s="15" t="s">
        <v>6415</v>
      </c>
      <c r="L473" s="15" t="s">
        <v>6416</v>
      </c>
      <c r="M473" s="15" t="s">
        <v>6417</v>
      </c>
    </row>
    <row r="474" spans="1:13" ht="20.100000000000001" customHeight="1" x14ac:dyDescent="0.25">
      <c r="A474" s="16"/>
      <c r="B474" s="16"/>
      <c r="C474" s="16"/>
      <c r="D474" s="16"/>
      <c r="E474" s="14">
        <v>33</v>
      </c>
      <c r="F474" s="16" t="s">
        <v>7990</v>
      </c>
      <c r="G474" s="14" t="s">
        <v>707</v>
      </c>
      <c r="H474" s="14">
        <v>5</v>
      </c>
      <c r="I474" s="14">
        <v>1</v>
      </c>
      <c r="J474" s="15" t="s">
        <v>6418</v>
      </c>
      <c r="K474" s="15" t="s">
        <v>6419</v>
      </c>
      <c r="L474" s="15" t="s">
        <v>6420</v>
      </c>
      <c r="M474" s="15" t="s">
        <v>6421</v>
      </c>
    </row>
    <row r="475" spans="1:13" ht="20.100000000000001" customHeight="1" x14ac:dyDescent="0.25">
      <c r="A475" s="16"/>
      <c r="B475" s="16"/>
      <c r="C475" s="16"/>
      <c r="D475" s="16"/>
      <c r="E475" s="14">
        <v>34</v>
      </c>
      <c r="F475" s="16" t="s">
        <v>6283</v>
      </c>
      <c r="G475" s="14" t="s">
        <v>708</v>
      </c>
      <c r="H475" s="14">
        <v>5</v>
      </c>
      <c r="I475" s="14">
        <v>1</v>
      </c>
      <c r="J475" s="15" t="s">
        <v>6422</v>
      </c>
      <c r="K475" s="15" t="s">
        <v>6423</v>
      </c>
      <c r="L475" s="15" t="s">
        <v>6424</v>
      </c>
      <c r="M475" s="15" t="s">
        <v>6425</v>
      </c>
    </row>
    <row r="476" spans="1:13" ht="20.100000000000001" customHeight="1" x14ac:dyDescent="0.25">
      <c r="A476" s="16"/>
      <c r="B476" s="16"/>
      <c r="C476" s="16"/>
      <c r="D476" s="16"/>
      <c r="E476" s="14">
        <v>35</v>
      </c>
      <c r="F476" s="16" t="s">
        <v>6284</v>
      </c>
      <c r="G476" s="14" t="s">
        <v>709</v>
      </c>
      <c r="H476" s="14">
        <v>5</v>
      </c>
      <c r="I476" s="14">
        <v>1</v>
      </c>
      <c r="J476" s="15" t="s">
        <v>6426</v>
      </c>
      <c r="K476" s="15" t="s">
        <v>6427</v>
      </c>
      <c r="L476" s="15" t="s">
        <v>6428</v>
      </c>
      <c r="M476" s="15" t="s">
        <v>6429</v>
      </c>
    </row>
    <row r="477" spans="1:13" ht="20.100000000000001" customHeight="1" x14ac:dyDescent="0.25">
      <c r="A477" s="16"/>
      <c r="B477" s="16"/>
      <c r="C477" s="16"/>
      <c r="D477" s="16"/>
      <c r="E477" s="14">
        <v>36</v>
      </c>
      <c r="F477" s="16" t="s">
        <v>6285</v>
      </c>
      <c r="G477" s="14" t="s">
        <v>710</v>
      </c>
      <c r="H477" s="14">
        <v>5</v>
      </c>
      <c r="I477" s="14">
        <v>1</v>
      </c>
      <c r="J477" s="15" t="s">
        <v>6430</v>
      </c>
      <c r="K477" s="15" t="s">
        <v>6431</v>
      </c>
      <c r="L477" s="15" t="s">
        <v>6432</v>
      </c>
      <c r="M477" s="15" t="s">
        <v>6433</v>
      </c>
    </row>
    <row r="478" spans="1:13" ht="20.100000000000001" customHeight="1" x14ac:dyDescent="0.25">
      <c r="A478" s="16"/>
      <c r="B478" s="16"/>
      <c r="C478" s="16"/>
      <c r="D478" s="16"/>
      <c r="E478" s="14">
        <v>37</v>
      </c>
      <c r="F478" s="16" t="s">
        <v>6286</v>
      </c>
      <c r="G478" s="14" t="s">
        <v>711</v>
      </c>
      <c r="H478" s="14">
        <v>5</v>
      </c>
      <c r="I478" s="14">
        <v>1</v>
      </c>
      <c r="J478" s="15" t="s">
        <v>6434</v>
      </c>
      <c r="K478" s="15" t="s">
        <v>6435</v>
      </c>
      <c r="L478" s="15" t="s">
        <v>6436</v>
      </c>
      <c r="M478" s="15" t="s">
        <v>6437</v>
      </c>
    </row>
    <row r="479" spans="1:13" ht="20.100000000000001" customHeight="1" x14ac:dyDescent="0.25">
      <c r="A479" s="16"/>
      <c r="B479" s="16"/>
      <c r="C479" s="16"/>
      <c r="D479" s="16"/>
      <c r="E479" s="14">
        <v>38</v>
      </c>
      <c r="F479" s="16" t="s">
        <v>6287</v>
      </c>
      <c r="G479" s="14" t="s">
        <v>712</v>
      </c>
      <c r="H479" s="14">
        <v>5</v>
      </c>
      <c r="I479" s="14">
        <v>1</v>
      </c>
      <c r="J479" s="15" t="s">
        <v>6438</v>
      </c>
      <c r="K479" s="15" t="s">
        <v>6439</v>
      </c>
      <c r="L479" s="15" t="s">
        <v>6440</v>
      </c>
      <c r="M479" s="15" t="s">
        <v>6441</v>
      </c>
    </row>
    <row r="480" spans="1:13" ht="20.100000000000001" customHeight="1" x14ac:dyDescent="0.25">
      <c r="A480" s="16"/>
      <c r="B480" s="16"/>
      <c r="C480" s="16"/>
      <c r="D480" s="16"/>
      <c r="E480" s="14">
        <v>39</v>
      </c>
      <c r="F480" s="16" t="s">
        <v>6288</v>
      </c>
      <c r="G480" s="14" t="s">
        <v>713</v>
      </c>
      <c r="H480" s="14">
        <v>5</v>
      </c>
      <c r="I480" s="14">
        <v>1</v>
      </c>
      <c r="J480" s="15" t="s">
        <v>6442</v>
      </c>
      <c r="K480" s="15" t="s">
        <v>6443</v>
      </c>
      <c r="L480" s="15" t="s">
        <v>6444</v>
      </c>
      <c r="M480" s="15" t="s">
        <v>6445</v>
      </c>
    </row>
    <row r="481" spans="1:13" ht="20.100000000000001" customHeight="1" x14ac:dyDescent="0.25">
      <c r="A481" s="16"/>
      <c r="B481" s="16"/>
      <c r="C481" s="16"/>
      <c r="D481" s="16"/>
      <c r="E481" s="14">
        <v>40</v>
      </c>
      <c r="F481" s="16" t="s">
        <v>6289</v>
      </c>
      <c r="G481" s="14" t="s">
        <v>714</v>
      </c>
      <c r="H481" s="14">
        <v>5</v>
      </c>
      <c r="I481" s="14">
        <v>1</v>
      </c>
      <c r="J481" s="15" t="s">
        <v>6446</v>
      </c>
      <c r="K481" s="15" t="s">
        <v>6447</v>
      </c>
      <c r="L481" s="15" t="s">
        <v>6448</v>
      </c>
      <c r="M481" s="15" t="s">
        <v>6449</v>
      </c>
    </row>
    <row r="482" spans="1:13" ht="20.100000000000001" customHeight="1" x14ac:dyDescent="0.25">
      <c r="A482" s="57"/>
      <c r="B482" s="57"/>
      <c r="C482" s="58">
        <v>5000</v>
      </c>
      <c r="D482" s="58" t="s">
        <v>2213</v>
      </c>
      <c r="E482" s="58">
        <v>1</v>
      </c>
      <c r="F482" s="59" t="s">
        <v>2214</v>
      </c>
      <c r="G482" s="58" t="s">
        <v>1031</v>
      </c>
      <c r="H482" s="58">
        <v>5</v>
      </c>
      <c r="I482" s="58">
        <v>1</v>
      </c>
      <c r="J482" s="58" t="s">
        <v>1080</v>
      </c>
      <c r="K482" s="58" t="s">
        <v>1099</v>
      </c>
      <c r="L482" s="58" t="s">
        <v>1118</v>
      </c>
      <c r="M482" s="58" t="s">
        <v>1137</v>
      </c>
    </row>
    <row r="483" spans="1:13" ht="20.100000000000001" customHeight="1" x14ac:dyDescent="0.25">
      <c r="A483" s="57"/>
      <c r="B483" s="57"/>
      <c r="C483" s="58"/>
      <c r="D483" s="58" t="s">
        <v>1988</v>
      </c>
      <c r="E483" s="58">
        <v>2</v>
      </c>
      <c r="F483" s="59" t="s">
        <v>2215</v>
      </c>
      <c r="G483" s="58" t="s">
        <v>1032</v>
      </c>
      <c r="H483" s="58">
        <v>5</v>
      </c>
      <c r="I483" s="58">
        <v>1</v>
      </c>
      <c r="J483" s="58" t="s">
        <v>1081</v>
      </c>
      <c r="K483" s="58" t="s">
        <v>1100</v>
      </c>
      <c r="L483" s="58" t="s">
        <v>1119</v>
      </c>
      <c r="M483" s="58" t="s">
        <v>1138</v>
      </c>
    </row>
    <row r="484" spans="1:13" ht="20.100000000000001" customHeight="1" x14ac:dyDescent="0.25">
      <c r="A484" s="57"/>
      <c r="B484" s="57"/>
      <c r="C484" s="58"/>
      <c r="D484" s="58" t="s">
        <v>8972</v>
      </c>
      <c r="E484" s="58">
        <v>3</v>
      </c>
      <c r="F484" s="59" t="s">
        <v>2216</v>
      </c>
      <c r="G484" s="58" t="s">
        <v>1033</v>
      </c>
      <c r="H484" s="58">
        <v>5</v>
      </c>
      <c r="I484" s="58">
        <v>1</v>
      </c>
      <c r="J484" s="58" t="s">
        <v>1082</v>
      </c>
      <c r="K484" s="58" t="s">
        <v>1101</v>
      </c>
      <c r="L484" s="58" t="s">
        <v>1120</v>
      </c>
      <c r="M484" s="58" t="s">
        <v>1139</v>
      </c>
    </row>
    <row r="485" spans="1:13" ht="20.100000000000001" customHeight="1" x14ac:dyDescent="0.25">
      <c r="A485" s="57"/>
      <c r="B485" s="57"/>
      <c r="C485" s="58"/>
      <c r="D485" s="58"/>
      <c r="E485" s="58">
        <v>4</v>
      </c>
      <c r="F485" s="59" t="s">
        <v>2217</v>
      </c>
      <c r="G485" s="58" t="s">
        <v>1034</v>
      </c>
      <c r="H485" s="58">
        <v>5</v>
      </c>
      <c r="I485" s="58">
        <v>1</v>
      </c>
      <c r="J485" s="58" t="s">
        <v>1083</v>
      </c>
      <c r="K485" s="58" t="s">
        <v>1102</v>
      </c>
      <c r="L485" s="58" t="s">
        <v>1121</v>
      </c>
      <c r="M485" s="58" t="s">
        <v>1140</v>
      </c>
    </row>
    <row r="486" spans="1:13" ht="20.100000000000001" customHeight="1" x14ac:dyDescent="0.25">
      <c r="A486" s="57"/>
      <c r="B486" s="57"/>
      <c r="C486" s="58"/>
      <c r="D486" s="58"/>
      <c r="E486" s="58">
        <v>5</v>
      </c>
      <c r="F486" s="59" t="s">
        <v>2218</v>
      </c>
      <c r="G486" s="58" t="s">
        <v>1035</v>
      </c>
      <c r="H486" s="58">
        <v>5</v>
      </c>
      <c r="I486" s="58">
        <v>1</v>
      </c>
      <c r="J486" s="58" t="s">
        <v>1084</v>
      </c>
      <c r="K486" s="58" t="s">
        <v>1103</v>
      </c>
      <c r="L486" s="58" t="s">
        <v>1122</v>
      </c>
      <c r="M486" s="58" t="s">
        <v>1141</v>
      </c>
    </row>
    <row r="487" spans="1:13" ht="20.100000000000001" customHeight="1" x14ac:dyDescent="0.25">
      <c r="A487" s="57"/>
      <c r="B487" s="57"/>
      <c r="C487" s="58"/>
      <c r="D487" s="58"/>
      <c r="E487" s="58">
        <v>6</v>
      </c>
      <c r="F487" s="59" t="s">
        <v>2219</v>
      </c>
      <c r="G487" s="58" t="s">
        <v>1036</v>
      </c>
      <c r="H487" s="58">
        <v>5</v>
      </c>
      <c r="I487" s="58">
        <v>1</v>
      </c>
      <c r="J487" s="58" t="s">
        <v>1085</v>
      </c>
      <c r="K487" s="58" t="s">
        <v>1104</v>
      </c>
      <c r="L487" s="58" t="s">
        <v>1123</v>
      </c>
      <c r="M487" s="58" t="s">
        <v>1142</v>
      </c>
    </row>
    <row r="488" spans="1:13" ht="20.100000000000001" customHeight="1" x14ac:dyDescent="0.25">
      <c r="A488" s="57"/>
      <c r="B488" s="57"/>
      <c r="C488" s="58"/>
      <c r="D488" s="58"/>
      <c r="E488" s="58">
        <v>7</v>
      </c>
      <c r="F488" s="57" t="s">
        <v>2220</v>
      </c>
      <c r="G488" s="58" t="s">
        <v>1037</v>
      </c>
      <c r="H488" s="58">
        <v>5</v>
      </c>
      <c r="I488" s="58">
        <v>1</v>
      </c>
      <c r="J488" s="58" t="s">
        <v>1086</v>
      </c>
      <c r="K488" s="58" t="s">
        <v>1105</v>
      </c>
      <c r="L488" s="58" t="s">
        <v>1124</v>
      </c>
      <c r="M488" s="58" t="s">
        <v>1143</v>
      </c>
    </row>
    <row r="489" spans="1:13" ht="20.100000000000001" customHeight="1" x14ac:dyDescent="0.25">
      <c r="A489" s="57"/>
      <c r="B489" s="57"/>
      <c r="C489" s="58"/>
      <c r="D489" s="58"/>
      <c r="E489" s="58">
        <v>8</v>
      </c>
      <c r="F489" s="57" t="s">
        <v>2221</v>
      </c>
      <c r="G489" s="58" t="s">
        <v>1038</v>
      </c>
      <c r="H489" s="58">
        <v>5</v>
      </c>
      <c r="I489" s="58">
        <v>1</v>
      </c>
      <c r="J489" s="58" t="s">
        <v>1087</v>
      </c>
      <c r="K489" s="58" t="s">
        <v>1106</v>
      </c>
      <c r="L489" s="58" t="s">
        <v>1125</v>
      </c>
      <c r="M489" s="58" t="s">
        <v>1144</v>
      </c>
    </row>
    <row r="490" spans="1:13" ht="20.100000000000001" customHeight="1" x14ac:dyDescent="0.25">
      <c r="A490" s="57"/>
      <c r="B490" s="57"/>
      <c r="C490" s="58"/>
      <c r="D490" s="58"/>
      <c r="E490" s="58">
        <v>9</v>
      </c>
      <c r="F490" s="57" t="s">
        <v>2222</v>
      </c>
      <c r="G490" s="58" t="s">
        <v>1039</v>
      </c>
      <c r="H490" s="58">
        <v>5</v>
      </c>
      <c r="I490" s="58">
        <v>1</v>
      </c>
      <c r="J490" s="58" t="s">
        <v>1088</v>
      </c>
      <c r="K490" s="58" t="s">
        <v>1107</v>
      </c>
      <c r="L490" s="58" t="s">
        <v>1126</v>
      </c>
      <c r="M490" s="58" t="s">
        <v>1145</v>
      </c>
    </row>
    <row r="491" spans="1:13" ht="20.100000000000001" customHeight="1" x14ac:dyDescent="0.25">
      <c r="A491" s="57"/>
      <c r="B491" s="57"/>
      <c r="C491" s="58"/>
      <c r="D491" s="58"/>
      <c r="E491" s="58">
        <v>10</v>
      </c>
      <c r="F491" s="57" t="s">
        <v>2223</v>
      </c>
      <c r="G491" s="58" t="s">
        <v>1040</v>
      </c>
      <c r="H491" s="58">
        <v>5</v>
      </c>
      <c r="I491" s="58">
        <v>1</v>
      </c>
      <c r="J491" s="58" t="s">
        <v>1089</v>
      </c>
      <c r="K491" s="58" t="s">
        <v>1108</v>
      </c>
      <c r="L491" s="58" t="s">
        <v>1127</v>
      </c>
      <c r="M491" s="58" t="s">
        <v>1146</v>
      </c>
    </row>
    <row r="492" spans="1:13" ht="20.100000000000001" customHeight="1" x14ac:dyDescent="0.25">
      <c r="A492" s="57"/>
      <c r="B492" s="57"/>
      <c r="C492" s="58"/>
      <c r="D492" s="58"/>
      <c r="E492" s="58">
        <v>11</v>
      </c>
      <c r="F492" s="57" t="s">
        <v>2224</v>
      </c>
      <c r="G492" s="58" t="s">
        <v>1041</v>
      </c>
      <c r="H492" s="58">
        <v>5</v>
      </c>
      <c r="I492" s="58">
        <v>1</v>
      </c>
      <c r="J492" s="58" t="s">
        <v>1090</v>
      </c>
      <c r="K492" s="58" t="s">
        <v>1109</v>
      </c>
      <c r="L492" s="58" t="s">
        <v>1128</v>
      </c>
      <c r="M492" s="58" t="s">
        <v>1147</v>
      </c>
    </row>
    <row r="493" spans="1:13" ht="20.100000000000001" customHeight="1" x14ac:dyDescent="0.25">
      <c r="A493" s="57"/>
      <c r="B493" s="57"/>
      <c r="C493" s="58"/>
      <c r="D493" s="58"/>
      <c r="E493" s="58">
        <v>12</v>
      </c>
      <c r="F493" s="57" t="s">
        <v>2225</v>
      </c>
      <c r="G493" s="58" t="s">
        <v>1042</v>
      </c>
      <c r="H493" s="58">
        <v>5</v>
      </c>
      <c r="I493" s="58">
        <v>1</v>
      </c>
      <c r="J493" s="58" t="s">
        <v>1091</v>
      </c>
      <c r="K493" s="58" t="s">
        <v>1110</v>
      </c>
      <c r="L493" s="58" t="s">
        <v>1129</v>
      </c>
      <c r="M493" s="58" t="s">
        <v>1148</v>
      </c>
    </row>
    <row r="494" spans="1:13" ht="20.100000000000001" customHeight="1" x14ac:dyDescent="0.25">
      <c r="A494" s="57"/>
      <c r="B494" s="57"/>
      <c r="C494" s="58"/>
      <c r="D494" s="58"/>
      <c r="E494" s="58">
        <v>13</v>
      </c>
      <c r="F494" s="57" t="s">
        <v>2226</v>
      </c>
      <c r="G494" s="58" t="s">
        <v>1043</v>
      </c>
      <c r="H494" s="58">
        <v>5</v>
      </c>
      <c r="I494" s="58">
        <v>1</v>
      </c>
      <c r="J494" s="58" t="s">
        <v>1092</v>
      </c>
      <c r="K494" s="58" t="s">
        <v>1111</v>
      </c>
      <c r="L494" s="58" t="s">
        <v>1130</v>
      </c>
      <c r="M494" s="58" t="s">
        <v>1149</v>
      </c>
    </row>
    <row r="495" spans="1:13" ht="20.100000000000001" customHeight="1" x14ac:dyDescent="0.25">
      <c r="A495" s="57"/>
      <c r="B495" s="57"/>
      <c r="C495" s="58"/>
      <c r="D495" s="58"/>
      <c r="E495" s="58">
        <v>14</v>
      </c>
      <c r="F495" s="57" t="s">
        <v>2227</v>
      </c>
      <c r="G495" s="58" t="s">
        <v>1044</v>
      </c>
      <c r="H495" s="58">
        <v>5</v>
      </c>
      <c r="I495" s="58">
        <v>1</v>
      </c>
      <c r="J495" s="58" t="s">
        <v>1093</v>
      </c>
      <c r="K495" s="58" t="s">
        <v>1112</v>
      </c>
      <c r="L495" s="58" t="s">
        <v>1131</v>
      </c>
      <c r="M495" s="58" t="s">
        <v>1150</v>
      </c>
    </row>
    <row r="496" spans="1:13" ht="20.100000000000001" customHeight="1" x14ac:dyDescent="0.25">
      <c r="A496" s="57"/>
      <c r="B496" s="57"/>
      <c r="C496" s="58"/>
      <c r="D496" s="58"/>
      <c r="E496" s="58">
        <v>15</v>
      </c>
      <c r="F496" s="57" t="s">
        <v>2228</v>
      </c>
      <c r="G496" s="58" t="s">
        <v>1045</v>
      </c>
      <c r="H496" s="58">
        <v>5</v>
      </c>
      <c r="I496" s="58">
        <v>1</v>
      </c>
      <c r="J496" s="58" t="s">
        <v>1094</v>
      </c>
      <c r="K496" s="58" t="s">
        <v>1113</v>
      </c>
      <c r="L496" s="58" t="s">
        <v>1132</v>
      </c>
      <c r="M496" s="58" t="s">
        <v>1151</v>
      </c>
    </row>
    <row r="497" spans="1:13" ht="20.100000000000001" customHeight="1" x14ac:dyDescent="0.25">
      <c r="A497" s="57"/>
      <c r="B497" s="57"/>
      <c r="C497" s="58"/>
      <c r="D497" s="58"/>
      <c r="E497" s="58">
        <v>16</v>
      </c>
      <c r="F497" s="57" t="s">
        <v>2229</v>
      </c>
      <c r="G497" s="58" t="s">
        <v>1046</v>
      </c>
      <c r="H497" s="58">
        <v>5</v>
      </c>
      <c r="I497" s="58">
        <v>1</v>
      </c>
      <c r="J497" s="58" t="s">
        <v>1095</v>
      </c>
      <c r="K497" s="58" t="s">
        <v>1114</v>
      </c>
      <c r="L497" s="58" t="s">
        <v>1133</v>
      </c>
      <c r="M497" s="58" t="s">
        <v>1152</v>
      </c>
    </row>
    <row r="498" spans="1:13" ht="20.100000000000001" customHeight="1" x14ac:dyDescent="0.25">
      <c r="A498" s="57"/>
      <c r="B498" s="57"/>
      <c r="C498" s="58"/>
      <c r="D498" s="58"/>
      <c r="E498" s="58">
        <v>17</v>
      </c>
      <c r="F498" s="57" t="s">
        <v>2230</v>
      </c>
      <c r="G498" s="58" t="s">
        <v>1047</v>
      </c>
      <c r="H498" s="58">
        <v>5</v>
      </c>
      <c r="I498" s="58">
        <v>1</v>
      </c>
      <c r="J498" s="58" t="s">
        <v>1096</v>
      </c>
      <c r="K498" s="58" t="s">
        <v>1115</v>
      </c>
      <c r="L498" s="58" t="s">
        <v>1134</v>
      </c>
      <c r="M498" s="58" t="s">
        <v>1153</v>
      </c>
    </row>
    <row r="499" spans="1:13" ht="20.100000000000001" customHeight="1" x14ac:dyDescent="0.25">
      <c r="A499" s="57"/>
      <c r="B499" s="57"/>
      <c r="C499" s="58"/>
      <c r="D499" s="58"/>
      <c r="E499" s="58">
        <v>18</v>
      </c>
      <c r="F499" s="59" t="s">
        <v>2231</v>
      </c>
      <c r="G499" s="58" t="s">
        <v>1048</v>
      </c>
      <c r="H499" s="58">
        <v>5</v>
      </c>
      <c r="I499" s="58">
        <v>1</v>
      </c>
      <c r="J499" s="58" t="s">
        <v>1097</v>
      </c>
      <c r="K499" s="58" t="s">
        <v>1116</v>
      </c>
      <c r="L499" s="58" t="s">
        <v>1135</v>
      </c>
      <c r="M499" s="58" t="s">
        <v>1154</v>
      </c>
    </row>
    <row r="500" spans="1:13" ht="20.100000000000001" customHeight="1" x14ac:dyDescent="0.25">
      <c r="A500" s="57"/>
      <c r="B500" s="57"/>
      <c r="C500" s="58"/>
      <c r="D500" s="58"/>
      <c r="E500" s="58">
        <v>19</v>
      </c>
      <c r="F500" s="57" t="s">
        <v>2232</v>
      </c>
      <c r="G500" s="58" t="s">
        <v>1049</v>
      </c>
      <c r="H500" s="58">
        <v>5</v>
      </c>
      <c r="I500" s="58">
        <v>1</v>
      </c>
      <c r="J500" s="58" t="s">
        <v>1098</v>
      </c>
      <c r="K500" s="58" t="s">
        <v>1117</v>
      </c>
      <c r="L500" s="58" t="s">
        <v>1136</v>
      </c>
      <c r="M500" s="58" t="s">
        <v>1155</v>
      </c>
    </row>
    <row r="501" spans="1:13" ht="20.100000000000001" customHeight="1" x14ac:dyDescent="0.25">
      <c r="A501" s="57"/>
      <c r="B501" s="57"/>
      <c r="C501" s="58"/>
      <c r="D501" s="58"/>
      <c r="E501" s="58">
        <v>20</v>
      </c>
      <c r="F501" s="57" t="s">
        <v>2233</v>
      </c>
      <c r="G501" s="58" t="s">
        <v>1050</v>
      </c>
      <c r="H501" s="58">
        <v>5</v>
      </c>
      <c r="I501" s="58">
        <v>1</v>
      </c>
      <c r="J501" s="58" t="s">
        <v>1207</v>
      </c>
      <c r="K501" s="58" t="s">
        <v>1189</v>
      </c>
      <c r="L501" s="58" t="s">
        <v>1171</v>
      </c>
      <c r="M501" s="58" t="s">
        <v>1156</v>
      </c>
    </row>
    <row r="502" spans="1:13" ht="20.100000000000001" customHeight="1" x14ac:dyDescent="0.25">
      <c r="A502" s="57"/>
      <c r="B502" s="57"/>
      <c r="C502" s="58"/>
      <c r="D502" s="58"/>
      <c r="E502" s="58">
        <v>21</v>
      </c>
      <c r="F502" s="57" t="s">
        <v>2321</v>
      </c>
      <c r="G502" s="58" t="s">
        <v>1051</v>
      </c>
      <c r="H502" s="58">
        <v>5</v>
      </c>
      <c r="I502" s="58">
        <v>1</v>
      </c>
      <c r="J502" s="58" t="s">
        <v>2186</v>
      </c>
      <c r="K502" s="58" t="s">
        <v>2187</v>
      </c>
      <c r="L502" s="61" t="s">
        <v>2188</v>
      </c>
      <c r="M502" s="58" t="s">
        <v>2189</v>
      </c>
    </row>
    <row r="503" spans="1:13" ht="20.100000000000001" customHeight="1" x14ac:dyDescent="0.25">
      <c r="A503" s="57"/>
      <c r="B503" s="57"/>
      <c r="C503" s="58"/>
      <c r="D503" s="58"/>
      <c r="E503" s="58">
        <v>22</v>
      </c>
      <c r="F503" s="57" t="s">
        <v>2322</v>
      </c>
      <c r="G503" s="58" t="s">
        <v>1052</v>
      </c>
      <c r="H503" s="58">
        <v>5</v>
      </c>
      <c r="I503" s="58">
        <v>1</v>
      </c>
      <c r="J503" s="58" t="s">
        <v>1208</v>
      </c>
      <c r="K503" s="58" t="s">
        <v>1190</v>
      </c>
      <c r="L503" s="58" t="s">
        <v>1172</v>
      </c>
      <c r="M503" s="58" t="s">
        <v>1157</v>
      </c>
    </row>
    <row r="504" spans="1:13" ht="20.100000000000001" customHeight="1" x14ac:dyDescent="0.25">
      <c r="A504" s="57"/>
      <c r="B504" s="57"/>
      <c r="C504" s="58"/>
      <c r="D504" s="58"/>
      <c r="E504" s="58">
        <v>23</v>
      </c>
      <c r="F504" s="57" t="s">
        <v>2323</v>
      </c>
      <c r="G504" s="58" t="s">
        <v>1225</v>
      </c>
      <c r="H504" s="58">
        <v>5</v>
      </c>
      <c r="I504" s="58">
        <v>1</v>
      </c>
      <c r="J504" s="58" t="s">
        <v>1871</v>
      </c>
      <c r="K504" s="58" t="s">
        <v>1191</v>
      </c>
      <c r="L504" s="58" t="s">
        <v>1173</v>
      </c>
      <c r="M504" s="61" t="s">
        <v>2192</v>
      </c>
    </row>
    <row r="505" spans="1:13" ht="20.100000000000001" customHeight="1" x14ac:dyDescent="0.25">
      <c r="A505" s="57"/>
      <c r="B505" s="57"/>
      <c r="C505" s="57"/>
      <c r="D505" s="57"/>
      <c r="E505" s="58">
        <v>24</v>
      </c>
      <c r="F505" s="57" t="s">
        <v>2324</v>
      </c>
      <c r="G505" s="58" t="s">
        <v>1053</v>
      </c>
      <c r="H505" s="58">
        <v>5</v>
      </c>
      <c r="I505" s="58">
        <v>1</v>
      </c>
      <c r="J505" s="58" t="s">
        <v>1209</v>
      </c>
      <c r="K505" s="58" t="s">
        <v>1192</v>
      </c>
      <c r="L505" s="58" t="s">
        <v>1174</v>
      </c>
      <c r="M505" s="58" t="s">
        <v>1158</v>
      </c>
    </row>
    <row r="506" spans="1:13" ht="20.100000000000001" customHeight="1" x14ac:dyDescent="0.25">
      <c r="A506" s="57"/>
      <c r="B506" s="57"/>
      <c r="C506" s="57"/>
      <c r="D506" s="57"/>
      <c r="E506" s="58">
        <v>25</v>
      </c>
      <c r="F506" s="57" t="s">
        <v>2325</v>
      </c>
      <c r="G506" s="58" t="s">
        <v>1054</v>
      </c>
      <c r="H506" s="58">
        <v>5</v>
      </c>
      <c r="I506" s="58">
        <v>1</v>
      </c>
      <c r="J506" s="58" t="s">
        <v>1210</v>
      </c>
      <c r="K506" s="58" t="s">
        <v>1193</v>
      </c>
      <c r="L506" s="58" t="s">
        <v>1175</v>
      </c>
      <c r="M506" s="58" t="s">
        <v>1159</v>
      </c>
    </row>
    <row r="507" spans="1:13" ht="20.100000000000001" customHeight="1" x14ac:dyDescent="0.25">
      <c r="A507" s="57"/>
      <c r="B507" s="57"/>
      <c r="C507" s="57"/>
      <c r="D507" s="57"/>
      <c r="E507" s="58">
        <v>26</v>
      </c>
      <c r="F507" s="57" t="s">
        <v>2326</v>
      </c>
      <c r="G507" s="58" t="s">
        <v>1055</v>
      </c>
      <c r="H507" s="58">
        <v>5</v>
      </c>
      <c r="I507" s="58">
        <v>1</v>
      </c>
      <c r="J507" s="58" t="s">
        <v>1211</v>
      </c>
      <c r="K507" s="58" t="s">
        <v>1194</v>
      </c>
      <c r="L507" s="58" t="s">
        <v>1176</v>
      </c>
      <c r="M507" s="58" t="s">
        <v>1160</v>
      </c>
    </row>
    <row r="508" spans="1:13" ht="20.100000000000001" customHeight="1" x14ac:dyDescent="0.25">
      <c r="A508" s="57"/>
      <c r="B508" s="57"/>
      <c r="C508" s="57"/>
      <c r="D508" s="57"/>
      <c r="E508" s="58">
        <v>27</v>
      </c>
      <c r="F508" s="57" t="s">
        <v>2327</v>
      </c>
      <c r="G508" s="58" t="s">
        <v>1056</v>
      </c>
      <c r="H508" s="58">
        <v>5</v>
      </c>
      <c r="I508" s="58">
        <v>1</v>
      </c>
      <c r="J508" s="58" t="s">
        <v>1212</v>
      </c>
      <c r="K508" s="58" t="s">
        <v>1195</v>
      </c>
      <c r="L508" s="58" t="s">
        <v>1177</v>
      </c>
      <c r="M508" s="58" t="s">
        <v>2196</v>
      </c>
    </row>
    <row r="509" spans="1:13" ht="20.100000000000001" customHeight="1" x14ac:dyDescent="0.25">
      <c r="A509" s="57"/>
      <c r="B509" s="57"/>
      <c r="C509" s="57"/>
      <c r="D509" s="57"/>
      <c r="E509" s="58">
        <v>28</v>
      </c>
      <c r="F509" s="57" t="s">
        <v>2328</v>
      </c>
      <c r="G509" s="58" t="s">
        <v>1057</v>
      </c>
      <c r="H509" s="58">
        <v>5</v>
      </c>
      <c r="I509" s="58">
        <v>1</v>
      </c>
      <c r="J509" s="58" t="s">
        <v>1213</v>
      </c>
      <c r="K509" s="58" t="s">
        <v>1196</v>
      </c>
      <c r="L509" s="58" t="s">
        <v>1178</v>
      </c>
      <c r="M509" s="58" t="s">
        <v>1161</v>
      </c>
    </row>
    <row r="510" spans="1:13" ht="20.100000000000001" customHeight="1" x14ac:dyDescent="0.25">
      <c r="A510" s="57"/>
      <c r="B510" s="57"/>
      <c r="C510" s="57"/>
      <c r="D510" s="57"/>
      <c r="E510" s="58">
        <v>29</v>
      </c>
      <c r="F510" s="57" t="s">
        <v>2329</v>
      </c>
      <c r="G510" s="58" t="s">
        <v>1058</v>
      </c>
      <c r="H510" s="58">
        <v>5</v>
      </c>
      <c r="I510" s="58">
        <v>1</v>
      </c>
      <c r="J510" s="58" t="s">
        <v>1214</v>
      </c>
      <c r="K510" s="58" t="s">
        <v>1197</v>
      </c>
      <c r="L510" s="58" t="s">
        <v>1179</v>
      </c>
      <c r="M510" s="58" t="s">
        <v>2199</v>
      </c>
    </row>
    <row r="511" spans="1:13" ht="20.100000000000001" customHeight="1" x14ac:dyDescent="0.25">
      <c r="A511" s="57"/>
      <c r="B511" s="57"/>
      <c r="C511" s="57"/>
      <c r="D511" s="57"/>
      <c r="E511" s="58">
        <v>30</v>
      </c>
      <c r="F511" s="57" t="s">
        <v>2330</v>
      </c>
      <c r="G511" s="58" t="s">
        <v>1059</v>
      </c>
      <c r="H511" s="58">
        <v>5</v>
      </c>
      <c r="I511" s="58">
        <v>1</v>
      </c>
      <c r="J511" s="58" t="s">
        <v>1215</v>
      </c>
      <c r="K511" s="58" t="s">
        <v>1198</v>
      </c>
      <c r="L511" s="58" t="s">
        <v>1180</v>
      </c>
      <c r="M511" s="58" t="s">
        <v>1162</v>
      </c>
    </row>
    <row r="512" spans="1:13" ht="20.100000000000001" customHeight="1" x14ac:dyDescent="0.25">
      <c r="A512" s="57"/>
      <c r="B512" s="57"/>
      <c r="C512" s="57"/>
      <c r="D512" s="57"/>
      <c r="E512" s="58">
        <v>31</v>
      </c>
      <c r="F512" s="57" t="s">
        <v>2331</v>
      </c>
      <c r="G512" s="58" t="s">
        <v>1060</v>
      </c>
      <c r="H512" s="58">
        <v>5</v>
      </c>
      <c r="I512" s="58">
        <v>1</v>
      </c>
      <c r="J512" s="58" t="s">
        <v>1872</v>
      </c>
      <c r="K512" s="58" t="s">
        <v>1199</v>
      </c>
      <c r="L512" s="58" t="s">
        <v>1181</v>
      </c>
      <c r="M512" s="58" t="s">
        <v>1163</v>
      </c>
    </row>
    <row r="513" spans="1:13" ht="20.100000000000001" customHeight="1" x14ac:dyDescent="0.25">
      <c r="A513" s="57"/>
      <c r="B513" s="57"/>
      <c r="C513" s="57"/>
      <c r="D513" s="57"/>
      <c r="E513" s="58">
        <v>32</v>
      </c>
      <c r="F513" s="57" t="s">
        <v>2332</v>
      </c>
      <c r="G513" s="58" t="s">
        <v>1061</v>
      </c>
      <c r="H513" s="58">
        <v>5</v>
      </c>
      <c r="I513" s="58">
        <v>1</v>
      </c>
      <c r="J513" s="58" t="s">
        <v>1216</v>
      </c>
      <c r="K513" s="58" t="s">
        <v>2203</v>
      </c>
      <c r="L513" s="58" t="s">
        <v>1868</v>
      </c>
      <c r="M513" s="58" t="s">
        <v>1164</v>
      </c>
    </row>
    <row r="514" spans="1:13" ht="20.100000000000001" customHeight="1" x14ac:dyDescent="0.25">
      <c r="A514" s="57"/>
      <c r="B514" s="57"/>
      <c r="C514" s="57"/>
      <c r="D514" s="57"/>
      <c r="E514" s="58">
        <v>33</v>
      </c>
      <c r="F514" s="57" t="s">
        <v>2333</v>
      </c>
      <c r="G514" s="58" t="s">
        <v>1062</v>
      </c>
      <c r="H514" s="58">
        <v>5</v>
      </c>
      <c r="I514" s="58">
        <v>1</v>
      </c>
      <c r="J514" s="58" t="s">
        <v>1217</v>
      </c>
      <c r="K514" s="58" t="s">
        <v>1200</v>
      </c>
      <c r="L514" s="58" t="s">
        <v>1182</v>
      </c>
      <c r="M514" s="58" t="s">
        <v>1165</v>
      </c>
    </row>
    <row r="515" spans="1:13" ht="20.100000000000001" customHeight="1" x14ac:dyDescent="0.25">
      <c r="A515" s="57"/>
      <c r="B515" s="57"/>
      <c r="C515" s="57"/>
      <c r="D515" s="57"/>
      <c r="E515" s="58">
        <v>34</v>
      </c>
      <c r="F515" s="57" t="s">
        <v>2234</v>
      </c>
      <c r="G515" s="58" t="s">
        <v>1063</v>
      </c>
      <c r="H515" s="58">
        <v>5</v>
      </c>
      <c r="I515" s="58">
        <v>1</v>
      </c>
      <c r="J515" s="58" t="s">
        <v>1218</v>
      </c>
      <c r="K515" s="58" t="s">
        <v>1201</v>
      </c>
      <c r="L515" s="58" t="s">
        <v>1183</v>
      </c>
      <c r="M515" s="58" t="s">
        <v>1166</v>
      </c>
    </row>
    <row r="516" spans="1:13" ht="20.100000000000001" customHeight="1" x14ac:dyDescent="0.25">
      <c r="A516" s="57"/>
      <c r="B516" s="57"/>
      <c r="C516" s="57"/>
      <c r="D516" s="57"/>
      <c r="E516" s="58">
        <v>35</v>
      </c>
      <c r="F516" s="57" t="s">
        <v>2315</v>
      </c>
      <c r="G516" s="58" t="s">
        <v>1064</v>
      </c>
      <c r="H516" s="58">
        <v>5</v>
      </c>
      <c r="I516" s="58">
        <v>1</v>
      </c>
      <c r="J516" s="58" t="s">
        <v>1219</v>
      </c>
      <c r="K516" s="58" t="s">
        <v>1202</v>
      </c>
      <c r="L516" s="58" t="s">
        <v>1184</v>
      </c>
      <c r="M516" s="58" t="s">
        <v>1167</v>
      </c>
    </row>
    <row r="517" spans="1:13" ht="20.100000000000001" customHeight="1" x14ac:dyDescent="0.25">
      <c r="A517" s="57"/>
      <c r="B517" s="57"/>
      <c r="C517" s="57"/>
      <c r="D517" s="57"/>
      <c r="E517" s="58">
        <v>36</v>
      </c>
      <c r="F517" s="57" t="s">
        <v>2316</v>
      </c>
      <c r="G517" s="58" t="s">
        <v>1065</v>
      </c>
      <c r="H517" s="58">
        <v>5</v>
      </c>
      <c r="I517" s="58">
        <v>1</v>
      </c>
      <c r="J517" s="58" t="s">
        <v>1220</v>
      </c>
      <c r="K517" s="58" t="s">
        <v>1203</v>
      </c>
      <c r="L517" s="58" t="s">
        <v>1185</v>
      </c>
      <c r="M517" s="58" t="s">
        <v>1168</v>
      </c>
    </row>
    <row r="518" spans="1:13" ht="20.100000000000001" customHeight="1" x14ac:dyDescent="0.25">
      <c r="A518" s="57"/>
      <c r="B518" s="57"/>
      <c r="C518" s="57"/>
      <c r="D518" s="57"/>
      <c r="E518" s="58">
        <v>37</v>
      </c>
      <c r="F518" s="57" t="s">
        <v>2317</v>
      </c>
      <c r="G518" s="58" t="s">
        <v>1066</v>
      </c>
      <c r="H518" s="58">
        <v>5</v>
      </c>
      <c r="I518" s="58">
        <v>1</v>
      </c>
      <c r="J518" s="58" t="s">
        <v>1221</v>
      </c>
      <c r="K518" s="58" t="s">
        <v>1204</v>
      </c>
      <c r="L518" s="58" t="s">
        <v>1186</v>
      </c>
      <c r="M518" s="58" t="s">
        <v>1169</v>
      </c>
    </row>
    <row r="519" spans="1:13" ht="20.100000000000001" customHeight="1" x14ac:dyDescent="0.25">
      <c r="A519" s="57"/>
      <c r="B519" s="57"/>
      <c r="C519" s="57"/>
      <c r="D519" s="57"/>
      <c r="E519" s="58">
        <v>38</v>
      </c>
      <c r="F519" s="57" t="s">
        <v>2318</v>
      </c>
      <c r="G519" s="58" t="s">
        <v>1067</v>
      </c>
      <c r="H519" s="58">
        <v>5</v>
      </c>
      <c r="I519" s="58">
        <v>1</v>
      </c>
      <c r="J519" s="58" t="s">
        <v>1222</v>
      </c>
      <c r="K519" s="58" t="s">
        <v>1205</v>
      </c>
      <c r="L519" s="58" t="s">
        <v>1187</v>
      </c>
      <c r="M519" s="58" t="s">
        <v>1170</v>
      </c>
    </row>
    <row r="520" spans="1:13" ht="20.100000000000001" customHeight="1" x14ac:dyDescent="0.25">
      <c r="A520" s="57"/>
      <c r="B520" s="57"/>
      <c r="C520" s="57"/>
      <c r="D520" s="57"/>
      <c r="E520" s="58">
        <v>39</v>
      </c>
      <c r="F520" s="57" t="s">
        <v>2319</v>
      </c>
      <c r="G520" s="58" t="s">
        <v>1068</v>
      </c>
      <c r="H520" s="58">
        <v>5</v>
      </c>
      <c r="I520" s="58">
        <v>1</v>
      </c>
      <c r="J520" s="58" t="s">
        <v>1873</v>
      </c>
      <c r="K520" s="58" t="s">
        <v>1870</v>
      </c>
      <c r="L520" s="58" t="s">
        <v>1869</v>
      </c>
      <c r="M520" s="58" t="s">
        <v>1866</v>
      </c>
    </row>
    <row r="521" spans="1:13" ht="20.100000000000001" customHeight="1" x14ac:dyDescent="0.25">
      <c r="A521" s="57"/>
      <c r="B521" s="57"/>
      <c r="C521" s="57"/>
      <c r="D521" s="57"/>
      <c r="E521" s="58">
        <v>40</v>
      </c>
      <c r="F521" s="57" t="s">
        <v>2320</v>
      </c>
      <c r="G521" s="58" t="s">
        <v>1069</v>
      </c>
      <c r="H521" s="58">
        <v>5</v>
      </c>
      <c r="I521" s="58">
        <v>1</v>
      </c>
      <c r="J521" s="58" t="s">
        <v>1223</v>
      </c>
      <c r="K521" s="58" t="s">
        <v>1206</v>
      </c>
      <c r="L521" s="58" t="s">
        <v>1188</v>
      </c>
      <c r="M521" s="58" t="s">
        <v>1867</v>
      </c>
    </row>
    <row r="522" spans="1:13" ht="20.100000000000001" customHeight="1" x14ac:dyDescent="0.25">
      <c r="A522" s="86"/>
      <c r="B522" s="86"/>
      <c r="C522" s="62">
        <v>6000</v>
      </c>
      <c r="D522" s="62" t="s">
        <v>2574</v>
      </c>
      <c r="E522" s="85">
        <v>1</v>
      </c>
      <c r="F522" s="86" t="s">
        <v>6883</v>
      </c>
      <c r="G522" s="102" t="s">
        <v>2338</v>
      </c>
      <c r="H522" s="85">
        <v>5</v>
      </c>
      <c r="I522" s="87">
        <v>1</v>
      </c>
      <c r="J522" s="64" t="s">
        <v>6090</v>
      </c>
      <c r="K522" s="64" t="s">
        <v>6091</v>
      </c>
      <c r="L522" s="64" t="s">
        <v>6092</v>
      </c>
      <c r="M522" s="64" t="s">
        <v>6093</v>
      </c>
    </row>
    <row r="523" spans="1:13" ht="20.100000000000001" customHeight="1" x14ac:dyDescent="0.25">
      <c r="A523" s="86"/>
      <c r="B523" s="86"/>
      <c r="C523" s="62"/>
      <c r="D523" s="62" t="s">
        <v>6251</v>
      </c>
      <c r="E523" s="85">
        <v>2</v>
      </c>
      <c r="F523" s="86" t="s">
        <v>6884</v>
      </c>
      <c r="G523" s="85" t="s">
        <v>2339</v>
      </c>
      <c r="H523" s="85">
        <v>5</v>
      </c>
      <c r="I523" s="87">
        <v>1</v>
      </c>
      <c r="J523" s="64" t="s">
        <v>6094</v>
      </c>
      <c r="K523" s="64" t="s">
        <v>6095</v>
      </c>
      <c r="L523" s="64" t="s">
        <v>6096</v>
      </c>
      <c r="M523" s="64" t="s">
        <v>6097</v>
      </c>
    </row>
    <row r="524" spans="1:13" ht="20.100000000000001" customHeight="1" x14ac:dyDescent="0.25">
      <c r="A524" s="86"/>
      <c r="B524" s="86"/>
      <c r="C524" s="62"/>
      <c r="D524" s="62" t="s">
        <v>8972</v>
      </c>
      <c r="E524" s="85">
        <v>3</v>
      </c>
      <c r="F524" s="86" t="s">
        <v>6056</v>
      </c>
      <c r="G524" s="85" t="s">
        <v>2340</v>
      </c>
      <c r="H524" s="85">
        <v>5</v>
      </c>
      <c r="I524" s="87">
        <v>1</v>
      </c>
      <c r="J524" s="64" t="s">
        <v>6098</v>
      </c>
      <c r="K524" s="64" t="s">
        <v>6099</v>
      </c>
      <c r="L524" s="64" t="s">
        <v>6100</v>
      </c>
      <c r="M524" s="64" t="s">
        <v>6101</v>
      </c>
    </row>
    <row r="525" spans="1:13" ht="20.100000000000001" customHeight="1" x14ac:dyDescent="0.25">
      <c r="A525" s="86"/>
      <c r="B525" s="86"/>
      <c r="C525" s="86"/>
      <c r="D525" s="86"/>
      <c r="E525" s="85">
        <v>4</v>
      </c>
      <c r="F525" s="86" t="s">
        <v>6885</v>
      </c>
      <c r="G525" s="85" t="s">
        <v>2341</v>
      </c>
      <c r="H525" s="85">
        <v>5</v>
      </c>
      <c r="I525" s="87">
        <v>1</v>
      </c>
      <c r="J525" s="64" t="s">
        <v>6102</v>
      </c>
      <c r="K525" s="64" t="s">
        <v>6103</v>
      </c>
      <c r="L525" s="64" t="s">
        <v>6104</v>
      </c>
      <c r="M525" s="64" t="s">
        <v>6105</v>
      </c>
    </row>
    <row r="526" spans="1:13" ht="20.100000000000001" customHeight="1" x14ac:dyDescent="0.25">
      <c r="A526" s="86"/>
      <c r="B526" s="86"/>
      <c r="C526" s="86"/>
      <c r="D526" s="86"/>
      <c r="E526" s="85">
        <v>5</v>
      </c>
      <c r="F526" s="86" t="s">
        <v>6057</v>
      </c>
      <c r="G526" s="85" t="s">
        <v>2342</v>
      </c>
      <c r="H526" s="85">
        <v>5</v>
      </c>
      <c r="I526" s="87">
        <v>1</v>
      </c>
      <c r="J526" s="64" t="s">
        <v>6106</v>
      </c>
      <c r="K526" s="64" t="s">
        <v>6107</v>
      </c>
      <c r="L526" s="64" t="s">
        <v>6108</v>
      </c>
      <c r="M526" s="64" t="s">
        <v>6109</v>
      </c>
    </row>
    <row r="527" spans="1:13" ht="20.100000000000001" customHeight="1" x14ac:dyDescent="0.25">
      <c r="A527" s="86"/>
      <c r="B527" s="86"/>
      <c r="C527" s="86"/>
      <c r="D527" s="86"/>
      <c r="E527" s="85">
        <v>6</v>
      </c>
      <c r="F527" s="86" t="s">
        <v>6058</v>
      </c>
      <c r="G527" s="85" t="s">
        <v>2343</v>
      </c>
      <c r="H527" s="85">
        <v>5</v>
      </c>
      <c r="I527" s="87">
        <v>1</v>
      </c>
      <c r="J527" s="64" t="s">
        <v>6110</v>
      </c>
      <c r="K527" s="64" t="s">
        <v>6111</v>
      </c>
      <c r="L527" s="64" t="s">
        <v>6112</v>
      </c>
      <c r="M527" s="64" t="s">
        <v>6113</v>
      </c>
    </row>
    <row r="528" spans="1:13" ht="20.100000000000001" customHeight="1" x14ac:dyDescent="0.25">
      <c r="A528" s="86"/>
      <c r="B528" s="86"/>
      <c r="C528" s="86"/>
      <c r="D528" s="86"/>
      <c r="E528" s="85">
        <v>7</v>
      </c>
      <c r="F528" s="86" t="s">
        <v>6059</v>
      </c>
      <c r="G528" s="85" t="s">
        <v>2344</v>
      </c>
      <c r="H528" s="85">
        <v>5</v>
      </c>
      <c r="I528" s="87">
        <v>1</v>
      </c>
      <c r="J528" s="64" t="s">
        <v>6114</v>
      </c>
      <c r="K528" s="64" t="s">
        <v>6115</v>
      </c>
      <c r="L528" s="64" t="s">
        <v>6116</v>
      </c>
      <c r="M528" s="64" t="s">
        <v>6117</v>
      </c>
    </row>
    <row r="529" spans="1:13" ht="20.100000000000001" customHeight="1" x14ac:dyDescent="0.25">
      <c r="A529" s="86"/>
      <c r="B529" s="86"/>
      <c r="C529" s="86"/>
      <c r="D529" s="86"/>
      <c r="E529" s="85">
        <v>8</v>
      </c>
      <c r="F529" s="86" t="s">
        <v>6060</v>
      </c>
      <c r="G529" s="85" t="s">
        <v>2345</v>
      </c>
      <c r="H529" s="85">
        <v>5</v>
      </c>
      <c r="I529" s="87">
        <v>1</v>
      </c>
      <c r="J529" s="64" t="s">
        <v>6118</v>
      </c>
      <c r="K529" s="64" t="s">
        <v>6119</v>
      </c>
      <c r="L529" s="64" t="s">
        <v>6120</v>
      </c>
      <c r="M529" s="64" t="s">
        <v>6121</v>
      </c>
    </row>
    <row r="530" spans="1:13" ht="20.100000000000001" customHeight="1" x14ac:dyDescent="0.25">
      <c r="A530" s="86"/>
      <c r="B530" s="86"/>
      <c r="C530" s="86"/>
      <c r="D530" s="86"/>
      <c r="E530" s="85">
        <v>9</v>
      </c>
      <c r="F530" s="86" t="s">
        <v>6061</v>
      </c>
      <c r="G530" s="85" t="s">
        <v>2346</v>
      </c>
      <c r="H530" s="85">
        <v>5</v>
      </c>
      <c r="I530" s="87">
        <v>1</v>
      </c>
      <c r="J530" s="64" t="s">
        <v>6122</v>
      </c>
      <c r="K530" s="64" t="s">
        <v>6123</v>
      </c>
      <c r="L530" s="64" t="s">
        <v>6124</v>
      </c>
      <c r="M530" s="64" t="s">
        <v>6125</v>
      </c>
    </row>
    <row r="531" spans="1:13" ht="20.100000000000001" customHeight="1" x14ac:dyDescent="0.25">
      <c r="A531" s="86"/>
      <c r="B531" s="86"/>
      <c r="C531" s="86"/>
      <c r="D531" s="86"/>
      <c r="E531" s="85">
        <v>10</v>
      </c>
      <c r="F531" s="86" t="s">
        <v>6062</v>
      </c>
      <c r="G531" s="85" t="s">
        <v>2347</v>
      </c>
      <c r="H531" s="85">
        <v>5</v>
      </c>
      <c r="I531" s="87">
        <v>1</v>
      </c>
      <c r="J531" s="64" t="s">
        <v>6126</v>
      </c>
      <c r="K531" s="64" t="s">
        <v>6127</v>
      </c>
      <c r="L531" s="64" t="s">
        <v>6128</v>
      </c>
      <c r="M531" s="64" t="s">
        <v>6129</v>
      </c>
    </row>
    <row r="532" spans="1:13" ht="20.100000000000001" customHeight="1" x14ac:dyDescent="0.25">
      <c r="A532" s="86"/>
      <c r="B532" s="86"/>
      <c r="C532" s="86"/>
      <c r="D532" s="86"/>
      <c r="E532" s="85">
        <v>11</v>
      </c>
      <c r="F532" s="86" t="s">
        <v>6063</v>
      </c>
      <c r="G532" s="85" t="s">
        <v>2348</v>
      </c>
      <c r="H532" s="85">
        <v>5</v>
      </c>
      <c r="I532" s="87">
        <v>1</v>
      </c>
      <c r="J532" s="64" t="s">
        <v>6130</v>
      </c>
      <c r="K532" s="64" t="s">
        <v>6131</v>
      </c>
      <c r="L532" s="64" t="s">
        <v>6132</v>
      </c>
      <c r="M532" s="64" t="s">
        <v>6133</v>
      </c>
    </row>
    <row r="533" spans="1:13" ht="20.100000000000001" customHeight="1" x14ac:dyDescent="0.25">
      <c r="A533" s="86"/>
      <c r="B533" s="86"/>
      <c r="C533" s="86"/>
      <c r="D533" s="86"/>
      <c r="E533" s="85">
        <v>12</v>
      </c>
      <c r="F533" s="86" t="s">
        <v>6064</v>
      </c>
      <c r="G533" s="85" t="s">
        <v>2349</v>
      </c>
      <c r="H533" s="85">
        <v>5</v>
      </c>
      <c r="I533" s="87">
        <v>1</v>
      </c>
      <c r="J533" s="64" t="s">
        <v>6134</v>
      </c>
      <c r="K533" s="64" t="s">
        <v>6135</v>
      </c>
      <c r="L533" s="64" t="s">
        <v>6136</v>
      </c>
      <c r="M533" s="64" t="s">
        <v>6137</v>
      </c>
    </row>
    <row r="534" spans="1:13" ht="20.100000000000001" customHeight="1" x14ac:dyDescent="0.25">
      <c r="A534" s="86"/>
      <c r="B534" s="86"/>
      <c r="C534" s="86"/>
      <c r="D534" s="86"/>
      <c r="E534" s="85">
        <v>13</v>
      </c>
      <c r="F534" s="86" t="s">
        <v>6065</v>
      </c>
      <c r="G534" s="85" t="s">
        <v>2350</v>
      </c>
      <c r="H534" s="85">
        <v>5</v>
      </c>
      <c r="I534" s="87">
        <v>1</v>
      </c>
      <c r="J534" s="64" t="s">
        <v>6138</v>
      </c>
      <c r="K534" s="64" t="s">
        <v>6139</v>
      </c>
      <c r="L534" s="64" t="s">
        <v>6140</v>
      </c>
      <c r="M534" s="64" t="s">
        <v>6141</v>
      </c>
    </row>
    <row r="535" spans="1:13" ht="20.100000000000001" customHeight="1" x14ac:dyDescent="0.25">
      <c r="A535" s="86"/>
      <c r="B535" s="86"/>
      <c r="C535" s="86"/>
      <c r="D535" s="86"/>
      <c r="E535" s="85">
        <v>14</v>
      </c>
      <c r="F535" s="86" t="s">
        <v>6066</v>
      </c>
      <c r="G535" s="85" t="s">
        <v>2351</v>
      </c>
      <c r="H535" s="85">
        <v>5</v>
      </c>
      <c r="I535" s="87">
        <v>1</v>
      </c>
      <c r="J535" s="64" t="s">
        <v>6142</v>
      </c>
      <c r="K535" s="64" t="s">
        <v>6143</v>
      </c>
      <c r="L535" s="64" t="s">
        <v>6144</v>
      </c>
      <c r="M535" s="64" t="s">
        <v>6145</v>
      </c>
    </row>
    <row r="536" spans="1:13" ht="20.100000000000001" customHeight="1" x14ac:dyDescent="0.25">
      <c r="A536" s="86"/>
      <c r="B536" s="86"/>
      <c r="C536" s="86"/>
      <c r="D536" s="86"/>
      <c r="E536" s="85">
        <v>15</v>
      </c>
      <c r="F536" s="86" t="s">
        <v>6067</v>
      </c>
      <c r="G536" s="85" t="s">
        <v>2352</v>
      </c>
      <c r="H536" s="85">
        <v>5</v>
      </c>
      <c r="I536" s="87">
        <v>1</v>
      </c>
      <c r="J536" s="64" t="s">
        <v>6146</v>
      </c>
      <c r="K536" s="64" t="s">
        <v>6147</v>
      </c>
      <c r="L536" s="64" t="s">
        <v>6148</v>
      </c>
      <c r="M536" s="64" t="s">
        <v>6149</v>
      </c>
    </row>
    <row r="537" spans="1:13" ht="20.100000000000001" customHeight="1" x14ac:dyDescent="0.25">
      <c r="A537" s="86"/>
      <c r="B537" s="86"/>
      <c r="C537" s="86"/>
      <c r="D537" s="86"/>
      <c r="E537" s="85">
        <v>16</v>
      </c>
      <c r="F537" s="86" t="s">
        <v>6068</v>
      </c>
      <c r="G537" s="85" t="s">
        <v>2353</v>
      </c>
      <c r="H537" s="85">
        <v>5</v>
      </c>
      <c r="I537" s="87">
        <v>1</v>
      </c>
      <c r="J537" s="64" t="s">
        <v>6150</v>
      </c>
      <c r="K537" s="64" t="s">
        <v>6151</v>
      </c>
      <c r="L537" s="64" t="s">
        <v>6152</v>
      </c>
      <c r="M537" s="64" t="s">
        <v>6153</v>
      </c>
    </row>
    <row r="538" spans="1:13" ht="20.100000000000001" customHeight="1" x14ac:dyDescent="0.25">
      <c r="A538" s="86"/>
      <c r="B538" s="86"/>
      <c r="C538" s="86"/>
      <c r="D538" s="86"/>
      <c r="E538" s="85">
        <v>17</v>
      </c>
      <c r="F538" s="86" t="s">
        <v>6069</v>
      </c>
      <c r="G538" s="85" t="s">
        <v>2354</v>
      </c>
      <c r="H538" s="85">
        <v>5</v>
      </c>
      <c r="I538" s="87">
        <v>1</v>
      </c>
      <c r="J538" s="64" t="s">
        <v>6154</v>
      </c>
      <c r="K538" s="64" t="s">
        <v>6155</v>
      </c>
      <c r="L538" s="64" t="s">
        <v>6156</v>
      </c>
      <c r="M538" s="64" t="s">
        <v>6157</v>
      </c>
    </row>
    <row r="539" spans="1:13" ht="20.100000000000001" customHeight="1" x14ac:dyDescent="0.25">
      <c r="A539" s="86"/>
      <c r="B539" s="86"/>
      <c r="C539" s="86"/>
      <c r="D539" s="86"/>
      <c r="E539" s="85">
        <v>18</v>
      </c>
      <c r="F539" s="86" t="s">
        <v>6070</v>
      </c>
      <c r="G539" s="85" t="s">
        <v>2355</v>
      </c>
      <c r="H539" s="85">
        <v>5</v>
      </c>
      <c r="I539" s="87">
        <v>1</v>
      </c>
      <c r="J539" s="64" t="s">
        <v>6158</v>
      </c>
      <c r="K539" s="64" t="s">
        <v>6159</v>
      </c>
      <c r="L539" s="64" t="s">
        <v>6160</v>
      </c>
      <c r="M539" s="64" t="s">
        <v>6161</v>
      </c>
    </row>
    <row r="540" spans="1:13" ht="20.100000000000001" customHeight="1" x14ac:dyDescent="0.25">
      <c r="A540" s="86"/>
      <c r="B540" s="86"/>
      <c r="C540" s="86"/>
      <c r="D540" s="86"/>
      <c r="E540" s="85">
        <v>19</v>
      </c>
      <c r="F540" s="86" t="s">
        <v>6071</v>
      </c>
      <c r="G540" s="85" t="s">
        <v>2356</v>
      </c>
      <c r="H540" s="85">
        <v>5</v>
      </c>
      <c r="I540" s="87">
        <v>1</v>
      </c>
      <c r="J540" s="64" t="s">
        <v>6162</v>
      </c>
      <c r="K540" s="64" t="s">
        <v>6163</v>
      </c>
      <c r="L540" s="64" t="s">
        <v>6164</v>
      </c>
      <c r="M540" s="64" t="s">
        <v>6165</v>
      </c>
    </row>
    <row r="541" spans="1:13" ht="20.100000000000001" customHeight="1" x14ac:dyDescent="0.25">
      <c r="A541" s="86"/>
      <c r="B541" s="86"/>
      <c r="C541" s="86"/>
      <c r="D541" s="86"/>
      <c r="E541" s="85">
        <v>20</v>
      </c>
      <c r="F541" s="86" t="s">
        <v>6886</v>
      </c>
      <c r="G541" s="85" t="s">
        <v>2357</v>
      </c>
      <c r="H541" s="85">
        <v>5</v>
      </c>
      <c r="I541" s="87">
        <v>1</v>
      </c>
      <c r="J541" s="64" t="s">
        <v>6166</v>
      </c>
      <c r="K541" s="64" t="s">
        <v>6167</v>
      </c>
      <c r="L541" s="64" t="s">
        <v>6168</v>
      </c>
      <c r="M541" s="64" t="s">
        <v>6169</v>
      </c>
    </row>
    <row r="542" spans="1:13" ht="20.100000000000001" customHeight="1" x14ac:dyDescent="0.25">
      <c r="A542" s="86"/>
      <c r="B542" s="86"/>
      <c r="C542" s="86"/>
      <c r="D542" s="86"/>
      <c r="E542" s="85">
        <v>21</v>
      </c>
      <c r="F542" s="86" t="s">
        <v>6072</v>
      </c>
      <c r="G542" s="85" t="s">
        <v>2358</v>
      </c>
      <c r="H542" s="85">
        <v>5</v>
      </c>
      <c r="I542" s="87">
        <v>1</v>
      </c>
      <c r="J542" s="64" t="s">
        <v>6170</v>
      </c>
      <c r="K542" s="64" t="s">
        <v>6171</v>
      </c>
      <c r="L542" s="64" t="s">
        <v>6172</v>
      </c>
      <c r="M542" s="64" t="s">
        <v>6173</v>
      </c>
    </row>
    <row r="543" spans="1:13" ht="20.100000000000001" customHeight="1" x14ac:dyDescent="0.25">
      <c r="A543" s="86"/>
      <c r="B543" s="86"/>
      <c r="C543" s="86"/>
      <c r="D543" s="86"/>
      <c r="E543" s="85">
        <v>22</v>
      </c>
      <c r="F543" s="86" t="s">
        <v>6073</v>
      </c>
      <c r="G543" s="85" t="s">
        <v>2359</v>
      </c>
      <c r="H543" s="85">
        <v>5</v>
      </c>
      <c r="I543" s="87">
        <v>1</v>
      </c>
      <c r="J543" s="64" t="s">
        <v>6174</v>
      </c>
      <c r="K543" s="64" t="s">
        <v>6175</v>
      </c>
      <c r="L543" s="64" t="s">
        <v>6176</v>
      </c>
      <c r="M543" s="64" t="s">
        <v>6177</v>
      </c>
    </row>
    <row r="544" spans="1:13" ht="20.100000000000001" customHeight="1" x14ac:dyDescent="0.25">
      <c r="A544" s="86"/>
      <c r="B544" s="86"/>
      <c r="C544" s="86"/>
      <c r="D544" s="86"/>
      <c r="E544" s="85">
        <v>23</v>
      </c>
      <c r="F544" s="86" t="s">
        <v>6074</v>
      </c>
      <c r="G544" s="85" t="s">
        <v>2360</v>
      </c>
      <c r="H544" s="85">
        <v>5</v>
      </c>
      <c r="I544" s="87">
        <v>1</v>
      </c>
      <c r="J544" s="64" t="s">
        <v>6178</v>
      </c>
      <c r="K544" s="64" t="s">
        <v>6179</v>
      </c>
      <c r="L544" s="64" t="s">
        <v>6180</v>
      </c>
      <c r="M544" s="64" t="s">
        <v>6181</v>
      </c>
    </row>
    <row r="545" spans="1:18" ht="20.100000000000001" customHeight="1" x14ac:dyDescent="0.25">
      <c r="A545" s="86"/>
      <c r="B545" s="86"/>
      <c r="C545" s="86"/>
      <c r="D545" s="86"/>
      <c r="E545" s="85">
        <v>24</v>
      </c>
      <c r="F545" s="86" t="s">
        <v>6075</v>
      </c>
      <c r="G545" s="85" t="s">
        <v>2361</v>
      </c>
      <c r="H545" s="85">
        <v>5</v>
      </c>
      <c r="I545" s="87">
        <v>1</v>
      </c>
      <c r="J545" s="64" t="s">
        <v>6182</v>
      </c>
      <c r="K545" s="64" t="s">
        <v>6183</v>
      </c>
      <c r="L545" s="64" t="s">
        <v>6184</v>
      </c>
      <c r="M545" s="64" t="s">
        <v>6185</v>
      </c>
    </row>
    <row r="546" spans="1:18" ht="20.100000000000001" customHeight="1" x14ac:dyDescent="0.25">
      <c r="A546" s="86"/>
      <c r="B546" s="86"/>
      <c r="C546" s="86"/>
      <c r="D546" s="86"/>
      <c r="E546" s="85">
        <v>25</v>
      </c>
      <c r="F546" s="86" t="s">
        <v>6076</v>
      </c>
      <c r="G546" s="85" t="s">
        <v>2362</v>
      </c>
      <c r="H546" s="85">
        <v>5</v>
      </c>
      <c r="I546" s="87">
        <v>1</v>
      </c>
      <c r="J546" s="64" t="s">
        <v>6186</v>
      </c>
      <c r="K546" s="64" t="s">
        <v>6187</v>
      </c>
      <c r="L546" s="64" t="s">
        <v>6188</v>
      </c>
      <c r="M546" s="64" t="s">
        <v>6189</v>
      </c>
    </row>
    <row r="547" spans="1:18" ht="20.100000000000001" customHeight="1" x14ac:dyDescent="0.25">
      <c r="A547" s="86"/>
      <c r="B547" s="86"/>
      <c r="C547" s="86"/>
      <c r="D547" s="86"/>
      <c r="E547" s="85">
        <v>26</v>
      </c>
      <c r="F547" s="86" t="s">
        <v>6077</v>
      </c>
      <c r="G547" s="85" t="s">
        <v>2363</v>
      </c>
      <c r="H547" s="85">
        <v>5</v>
      </c>
      <c r="I547" s="87">
        <v>1</v>
      </c>
      <c r="J547" s="64" t="s">
        <v>6190</v>
      </c>
      <c r="K547" s="64" t="s">
        <v>6191</v>
      </c>
      <c r="L547" s="64" t="s">
        <v>6192</v>
      </c>
      <c r="M547" s="64" t="s">
        <v>6193</v>
      </c>
    </row>
    <row r="548" spans="1:18" ht="20.100000000000001" customHeight="1" x14ac:dyDescent="0.25">
      <c r="A548" s="86"/>
      <c r="B548" s="86"/>
      <c r="C548" s="86"/>
      <c r="D548" s="86"/>
      <c r="E548" s="85">
        <v>27</v>
      </c>
      <c r="F548" s="86" t="s">
        <v>6078</v>
      </c>
      <c r="G548" s="85" t="s">
        <v>2364</v>
      </c>
      <c r="H548" s="85">
        <v>5</v>
      </c>
      <c r="I548" s="87">
        <v>1</v>
      </c>
      <c r="J548" s="64" t="s">
        <v>6194</v>
      </c>
      <c r="K548" s="64" t="s">
        <v>6195</v>
      </c>
      <c r="L548" s="64" t="s">
        <v>6196</v>
      </c>
      <c r="M548" s="64" t="s">
        <v>6197</v>
      </c>
    </row>
    <row r="549" spans="1:18" ht="20.100000000000001" customHeight="1" x14ac:dyDescent="0.25">
      <c r="A549" s="86"/>
      <c r="B549" s="86"/>
      <c r="C549" s="86"/>
      <c r="D549" s="86"/>
      <c r="E549" s="85">
        <v>28</v>
      </c>
      <c r="F549" s="86" t="s">
        <v>6079</v>
      </c>
      <c r="G549" s="85" t="s">
        <v>2365</v>
      </c>
      <c r="H549" s="85">
        <v>5</v>
      </c>
      <c r="I549" s="87">
        <v>1</v>
      </c>
      <c r="J549" s="64" t="s">
        <v>6198</v>
      </c>
      <c r="K549" s="64" t="s">
        <v>6199</v>
      </c>
      <c r="L549" s="64" t="s">
        <v>6200</v>
      </c>
      <c r="M549" s="64" t="s">
        <v>6201</v>
      </c>
    </row>
    <row r="550" spans="1:18" ht="20.100000000000001" customHeight="1" x14ac:dyDescent="0.25">
      <c r="A550" s="86"/>
      <c r="B550" s="86"/>
      <c r="C550" s="86"/>
      <c r="D550" s="86"/>
      <c r="E550" s="85">
        <v>29</v>
      </c>
      <c r="F550" s="86" t="s">
        <v>6887</v>
      </c>
      <c r="G550" s="85" t="s">
        <v>2366</v>
      </c>
      <c r="H550" s="85">
        <v>5</v>
      </c>
      <c r="I550" s="87">
        <v>1</v>
      </c>
      <c r="J550" s="64" t="s">
        <v>6202</v>
      </c>
      <c r="K550" s="64" t="s">
        <v>6203</v>
      </c>
      <c r="L550" s="64" t="s">
        <v>6204</v>
      </c>
      <c r="M550" s="64" t="s">
        <v>6205</v>
      </c>
    </row>
    <row r="551" spans="1:18" ht="27.75" customHeight="1" x14ac:dyDescent="0.25">
      <c r="A551" s="86"/>
      <c r="B551" s="86"/>
      <c r="C551" s="86"/>
      <c r="D551" s="86"/>
      <c r="E551" s="85">
        <v>30</v>
      </c>
      <c r="F551" s="86" t="s">
        <v>6080</v>
      </c>
      <c r="G551" s="85" t="s">
        <v>2367</v>
      </c>
      <c r="H551" s="85">
        <v>5</v>
      </c>
      <c r="I551" s="87">
        <v>1</v>
      </c>
      <c r="J551" s="64" t="s">
        <v>6206</v>
      </c>
      <c r="K551" s="64" t="s">
        <v>6207</v>
      </c>
      <c r="L551" s="64" t="s">
        <v>6208</v>
      </c>
      <c r="M551" s="64" t="s">
        <v>6209</v>
      </c>
    </row>
    <row r="552" spans="1:18" s="43" customFormat="1" ht="15" customHeight="1" x14ac:dyDescent="0.25">
      <c r="A552" s="86"/>
      <c r="B552" s="86"/>
      <c r="C552" s="86"/>
      <c r="D552" s="86"/>
      <c r="E552" s="85">
        <v>31</v>
      </c>
      <c r="F552" s="86" t="s">
        <v>6081</v>
      </c>
      <c r="G552" s="85" t="s">
        <v>2368</v>
      </c>
      <c r="H552" s="85">
        <v>5</v>
      </c>
      <c r="I552" s="87">
        <v>1</v>
      </c>
      <c r="J552" s="64" t="s">
        <v>6210</v>
      </c>
      <c r="K552" s="64" t="s">
        <v>6211</v>
      </c>
      <c r="L552" s="64" t="s">
        <v>6212</v>
      </c>
      <c r="M552" s="64" t="s">
        <v>6213</v>
      </c>
      <c r="N552" s="46"/>
      <c r="O552" s="1"/>
      <c r="P552" s="1"/>
      <c r="Q552" s="1"/>
      <c r="R552" s="1"/>
    </row>
    <row r="553" spans="1:18" s="43" customFormat="1" ht="15" customHeight="1" x14ac:dyDescent="0.25">
      <c r="A553" s="86"/>
      <c r="B553" s="86"/>
      <c r="C553" s="86"/>
      <c r="D553" s="86"/>
      <c r="E553" s="85">
        <v>32</v>
      </c>
      <c r="F553" s="86" t="s">
        <v>6082</v>
      </c>
      <c r="G553" s="85" t="s">
        <v>2369</v>
      </c>
      <c r="H553" s="85">
        <v>5</v>
      </c>
      <c r="I553" s="87">
        <v>1</v>
      </c>
      <c r="J553" s="64" t="s">
        <v>6214</v>
      </c>
      <c r="K553" s="64" t="s">
        <v>6215</v>
      </c>
      <c r="L553" s="64" t="s">
        <v>6216</v>
      </c>
      <c r="M553" s="64" t="s">
        <v>6217</v>
      </c>
      <c r="N553" s="46"/>
      <c r="O553" s="1"/>
      <c r="P553" s="1"/>
      <c r="Q553" s="1"/>
      <c r="R553" s="1"/>
    </row>
    <row r="554" spans="1:18" s="43" customFormat="1" ht="15" customHeight="1" x14ac:dyDescent="0.25">
      <c r="A554" s="86"/>
      <c r="B554" s="86"/>
      <c r="C554" s="86"/>
      <c r="D554" s="86"/>
      <c r="E554" s="85">
        <v>33</v>
      </c>
      <c r="F554" s="86" t="s">
        <v>6083</v>
      </c>
      <c r="G554" s="85" t="s">
        <v>2370</v>
      </c>
      <c r="H554" s="85">
        <v>5</v>
      </c>
      <c r="I554" s="87">
        <v>1</v>
      </c>
      <c r="J554" s="64" t="s">
        <v>6218</v>
      </c>
      <c r="K554" s="64" t="s">
        <v>6219</v>
      </c>
      <c r="L554" s="64" t="s">
        <v>6220</v>
      </c>
      <c r="M554" s="64" t="s">
        <v>6221</v>
      </c>
      <c r="N554" s="46"/>
      <c r="O554" s="1"/>
      <c r="P554" s="1"/>
      <c r="Q554" s="1"/>
      <c r="R554" s="1"/>
    </row>
    <row r="555" spans="1:18" s="43" customFormat="1" ht="15" customHeight="1" x14ac:dyDescent="0.25">
      <c r="A555" s="86"/>
      <c r="B555" s="86"/>
      <c r="C555" s="86"/>
      <c r="D555" s="86"/>
      <c r="E555" s="85">
        <v>34</v>
      </c>
      <c r="F555" s="86" t="s">
        <v>6084</v>
      </c>
      <c r="G555" s="85" t="s">
        <v>2371</v>
      </c>
      <c r="H555" s="85">
        <v>5</v>
      </c>
      <c r="I555" s="87">
        <v>1</v>
      </c>
      <c r="J555" s="64" t="s">
        <v>6222</v>
      </c>
      <c r="K555" s="64" t="s">
        <v>6223</v>
      </c>
      <c r="L555" s="64" t="s">
        <v>6224</v>
      </c>
      <c r="M555" s="64" t="s">
        <v>6225</v>
      </c>
      <c r="N555" s="46"/>
      <c r="O555" s="1"/>
      <c r="P555" s="1"/>
      <c r="Q555" s="1"/>
      <c r="R555" s="1"/>
    </row>
    <row r="556" spans="1:18" s="43" customFormat="1" ht="15" customHeight="1" x14ac:dyDescent="0.25">
      <c r="A556" s="86"/>
      <c r="B556" s="86"/>
      <c r="C556" s="86"/>
      <c r="D556" s="86"/>
      <c r="E556" s="85">
        <v>35</v>
      </c>
      <c r="F556" s="86" t="s">
        <v>6085</v>
      </c>
      <c r="G556" s="85" t="s">
        <v>2372</v>
      </c>
      <c r="H556" s="85">
        <v>5</v>
      </c>
      <c r="I556" s="87">
        <v>1</v>
      </c>
      <c r="J556" s="64" t="s">
        <v>6226</v>
      </c>
      <c r="K556" s="64" t="s">
        <v>6227</v>
      </c>
      <c r="L556" s="64" t="s">
        <v>6228</v>
      </c>
      <c r="M556" s="64" t="s">
        <v>6229</v>
      </c>
      <c r="N556" s="46"/>
      <c r="O556" s="1"/>
      <c r="P556" s="1"/>
      <c r="Q556" s="1"/>
      <c r="R556" s="1"/>
    </row>
    <row r="557" spans="1:18" s="43" customFormat="1" ht="15" customHeight="1" x14ac:dyDescent="0.25">
      <c r="A557" s="86"/>
      <c r="B557" s="86"/>
      <c r="C557" s="86"/>
      <c r="D557" s="86"/>
      <c r="E557" s="85">
        <v>36</v>
      </c>
      <c r="F557" s="86" t="s">
        <v>6086</v>
      </c>
      <c r="G557" s="85" t="s">
        <v>2373</v>
      </c>
      <c r="H557" s="85">
        <v>5</v>
      </c>
      <c r="I557" s="87">
        <v>1</v>
      </c>
      <c r="J557" s="64" t="s">
        <v>6230</v>
      </c>
      <c r="K557" s="64" t="s">
        <v>6231</v>
      </c>
      <c r="L557" s="64" t="s">
        <v>6232</v>
      </c>
      <c r="M557" s="64" t="s">
        <v>6233</v>
      </c>
      <c r="N557" s="46"/>
      <c r="O557" s="1"/>
      <c r="P557" s="1"/>
      <c r="Q557" s="1"/>
      <c r="R557" s="1"/>
    </row>
    <row r="558" spans="1:18" s="43" customFormat="1" ht="15" customHeight="1" x14ac:dyDescent="0.25">
      <c r="A558" s="86"/>
      <c r="B558" s="86"/>
      <c r="C558" s="86"/>
      <c r="D558" s="86"/>
      <c r="E558" s="85">
        <v>37</v>
      </c>
      <c r="F558" s="86" t="s">
        <v>6087</v>
      </c>
      <c r="G558" s="85" t="s">
        <v>2374</v>
      </c>
      <c r="H558" s="85">
        <v>5</v>
      </c>
      <c r="I558" s="87">
        <v>1</v>
      </c>
      <c r="J558" s="64" t="s">
        <v>6234</v>
      </c>
      <c r="K558" s="64" t="s">
        <v>6235</v>
      </c>
      <c r="L558" s="64" t="s">
        <v>6236</v>
      </c>
      <c r="M558" s="64" t="s">
        <v>6237</v>
      </c>
      <c r="N558" s="46"/>
      <c r="O558" s="1"/>
      <c r="P558" s="1"/>
      <c r="Q558" s="1"/>
      <c r="R558" s="1"/>
    </row>
    <row r="559" spans="1:18" s="43" customFormat="1" ht="15" customHeight="1" x14ac:dyDescent="0.25">
      <c r="A559" s="86"/>
      <c r="B559" s="86"/>
      <c r="C559" s="86"/>
      <c r="D559" s="86"/>
      <c r="E559" s="85">
        <v>38</v>
      </c>
      <c r="F559" s="86" t="s">
        <v>6088</v>
      </c>
      <c r="G559" s="85" t="s">
        <v>2375</v>
      </c>
      <c r="H559" s="85">
        <v>5</v>
      </c>
      <c r="I559" s="87">
        <v>1</v>
      </c>
      <c r="J559" s="64" t="s">
        <v>6238</v>
      </c>
      <c r="K559" s="64" t="s">
        <v>6239</v>
      </c>
      <c r="L559" s="64" t="s">
        <v>6240</v>
      </c>
      <c r="M559" s="64" t="s">
        <v>6241</v>
      </c>
      <c r="N559" s="46"/>
      <c r="O559" s="1"/>
      <c r="P559" s="1"/>
      <c r="Q559" s="1"/>
      <c r="R559" s="1"/>
    </row>
    <row r="560" spans="1:18" s="43" customFormat="1" ht="15" customHeight="1" x14ac:dyDescent="0.25">
      <c r="A560" s="86"/>
      <c r="B560" s="86"/>
      <c r="C560" s="86"/>
      <c r="D560" s="86"/>
      <c r="E560" s="85">
        <v>39</v>
      </c>
      <c r="F560" s="86" t="s">
        <v>6089</v>
      </c>
      <c r="G560" s="85" t="s">
        <v>2376</v>
      </c>
      <c r="H560" s="85">
        <v>5</v>
      </c>
      <c r="I560" s="87">
        <v>1</v>
      </c>
      <c r="J560" s="64" t="s">
        <v>6242</v>
      </c>
      <c r="K560" s="64" t="s">
        <v>6243</v>
      </c>
      <c r="L560" s="64" t="s">
        <v>6244</v>
      </c>
      <c r="M560" s="64" t="s">
        <v>6245</v>
      </c>
      <c r="N560" s="46"/>
      <c r="O560" s="1"/>
      <c r="P560" s="1"/>
      <c r="Q560" s="1"/>
      <c r="R560" s="1"/>
    </row>
    <row r="561" spans="1:18" s="43" customFormat="1" ht="15" customHeight="1" x14ac:dyDescent="0.25">
      <c r="A561" s="86"/>
      <c r="B561" s="86"/>
      <c r="C561" s="86"/>
      <c r="D561" s="86"/>
      <c r="E561" s="85">
        <v>40</v>
      </c>
      <c r="F561" s="86" t="s">
        <v>6250</v>
      </c>
      <c r="G561" s="85" t="s">
        <v>2377</v>
      </c>
      <c r="H561" s="85">
        <v>5</v>
      </c>
      <c r="I561" s="87">
        <v>1</v>
      </c>
      <c r="J561" s="64" t="s">
        <v>6246</v>
      </c>
      <c r="K561" s="64" t="s">
        <v>6247</v>
      </c>
      <c r="L561" s="64" t="s">
        <v>6248</v>
      </c>
      <c r="M561" s="64" t="s">
        <v>6249</v>
      </c>
      <c r="N561" s="46"/>
      <c r="O561" s="1"/>
      <c r="P561" s="1"/>
      <c r="Q561" s="1"/>
      <c r="R561" s="1"/>
    </row>
    <row r="562" spans="1:18" s="43" customFormat="1" ht="15" customHeight="1" x14ac:dyDescent="0.25">
      <c r="A562" s="79"/>
      <c r="B562" s="79"/>
      <c r="C562" s="80">
        <v>8000</v>
      </c>
      <c r="D562" s="80" t="s">
        <v>3570</v>
      </c>
      <c r="E562" s="81">
        <v>1</v>
      </c>
      <c r="F562" s="79" t="s">
        <v>3648</v>
      </c>
      <c r="G562" s="89" t="s">
        <v>3369</v>
      </c>
      <c r="H562" s="81">
        <v>5</v>
      </c>
      <c r="I562" s="78">
        <v>1</v>
      </c>
      <c r="J562" s="83" t="s">
        <v>3370</v>
      </c>
      <c r="K562" s="83" t="s">
        <v>3371</v>
      </c>
      <c r="L562" s="83" t="s">
        <v>3372</v>
      </c>
      <c r="M562" s="83" t="s">
        <v>3373</v>
      </c>
      <c r="N562" s="1"/>
      <c r="O562" s="46" t="str">
        <f t="shared" ref="O562:O591" si="17">CONCATENATE("A. ",(J332))</f>
        <v>A. A. I would not have the time to do what he did</v>
      </c>
      <c r="P562" s="1"/>
      <c r="Q562" s="1"/>
    </row>
    <row r="563" spans="1:18" s="43" customFormat="1" ht="15" customHeight="1" x14ac:dyDescent="0.25">
      <c r="A563" s="79"/>
      <c r="B563" s="79"/>
      <c r="C563" s="80"/>
      <c r="D563" s="80" t="s">
        <v>3646</v>
      </c>
      <c r="E563" s="81">
        <v>2</v>
      </c>
      <c r="F563" s="79" t="s">
        <v>3649</v>
      </c>
      <c r="G563" s="81" t="s">
        <v>3375</v>
      </c>
      <c r="H563" s="81">
        <v>5</v>
      </c>
      <c r="I563" s="78">
        <v>1</v>
      </c>
      <c r="J563" s="83" t="s">
        <v>3376</v>
      </c>
      <c r="K563" s="83" t="s">
        <v>3377</v>
      </c>
      <c r="L563" s="83" t="s">
        <v>3378</v>
      </c>
      <c r="M563" s="83" t="s">
        <v>3379</v>
      </c>
      <c r="N563" s="1"/>
      <c r="O563" s="46" t="str">
        <f t="shared" si="17"/>
        <v>A. A. Paul didn't get the job</v>
      </c>
      <c r="P563" s="1"/>
      <c r="Q563" s="1"/>
    </row>
    <row r="564" spans="1:18" s="43" customFormat="1" ht="15" customHeight="1" x14ac:dyDescent="0.25">
      <c r="A564" s="79"/>
      <c r="B564" s="79"/>
      <c r="C564" s="80"/>
      <c r="D564" s="80" t="s">
        <v>8972</v>
      </c>
      <c r="E564" s="81">
        <v>3</v>
      </c>
      <c r="F564" s="79" t="s">
        <v>3653</v>
      </c>
      <c r="G564" s="81" t="s">
        <v>3380</v>
      </c>
      <c r="H564" s="81">
        <v>5</v>
      </c>
      <c r="I564" s="78">
        <v>1</v>
      </c>
      <c r="J564" s="83" t="s">
        <v>3381</v>
      </c>
      <c r="K564" s="83" t="s">
        <v>3382</v>
      </c>
      <c r="L564" s="83" t="s">
        <v>3383</v>
      </c>
      <c r="M564" s="83" t="s">
        <v>3384</v>
      </c>
      <c r="N564" s="1"/>
      <c r="O564" s="46" t="str">
        <f t="shared" si="17"/>
        <v>A. A. The man's sister works with chickens</v>
      </c>
      <c r="P564" s="1"/>
      <c r="Q564" s="1"/>
    </row>
    <row r="565" spans="1:18" s="43" customFormat="1" ht="15" customHeight="1" x14ac:dyDescent="0.25">
      <c r="A565" s="79"/>
      <c r="B565" s="79"/>
      <c r="C565" s="79"/>
      <c r="D565" s="79"/>
      <c r="E565" s="81">
        <v>4</v>
      </c>
      <c r="F565" s="79" t="s">
        <v>3655</v>
      </c>
      <c r="G565" s="81" t="s">
        <v>3385</v>
      </c>
      <c r="H565" s="81">
        <v>5</v>
      </c>
      <c r="I565" s="78">
        <v>1</v>
      </c>
      <c r="J565" s="83" t="s">
        <v>3386</v>
      </c>
      <c r="K565" s="83" t="s">
        <v>3387</v>
      </c>
      <c r="L565" s="83" t="s">
        <v>3388</v>
      </c>
      <c r="M565" s="83" t="s">
        <v>3389</v>
      </c>
      <c r="N565" s="1"/>
      <c r="O565" s="46" t="str">
        <f t="shared" si="17"/>
        <v>A. A. McGregor beat O’Malley</v>
      </c>
      <c r="P565" s="1"/>
      <c r="Q565" s="1"/>
    </row>
    <row r="566" spans="1:18" s="43" customFormat="1" ht="15" customHeight="1" x14ac:dyDescent="0.25">
      <c r="A566" s="79"/>
      <c r="B566" s="79"/>
      <c r="C566" s="79"/>
      <c r="D566" s="79"/>
      <c r="E566" s="81">
        <v>5</v>
      </c>
      <c r="F566" s="79" t="s">
        <v>3571</v>
      </c>
      <c r="G566" s="81" t="s">
        <v>3390</v>
      </c>
      <c r="H566" s="81">
        <v>5</v>
      </c>
      <c r="I566" s="78">
        <v>1</v>
      </c>
      <c r="J566" s="83" t="s">
        <v>3391</v>
      </c>
      <c r="K566" s="83" t="s">
        <v>3392</v>
      </c>
      <c r="L566" s="83" t="s">
        <v>3393</v>
      </c>
      <c r="M566" s="83" t="s">
        <v>3394</v>
      </c>
      <c r="N566" s="1"/>
      <c r="O566" s="46" t="str">
        <f t="shared" si="17"/>
        <v>A. A. That she is not as young as she looks</v>
      </c>
      <c r="P566" s="1"/>
      <c r="Q566" s="1"/>
    </row>
    <row r="567" spans="1:18" s="43" customFormat="1" ht="15" customHeight="1" x14ac:dyDescent="0.25">
      <c r="A567" s="79"/>
      <c r="B567" s="79"/>
      <c r="C567" s="79"/>
      <c r="D567" s="79"/>
      <c r="E567" s="81">
        <v>6</v>
      </c>
      <c r="F567" s="79" t="s">
        <v>3572</v>
      </c>
      <c r="G567" s="81" t="s">
        <v>3395</v>
      </c>
      <c r="H567" s="81">
        <v>5</v>
      </c>
      <c r="I567" s="78">
        <v>1</v>
      </c>
      <c r="J567" s="83" t="s">
        <v>3396</v>
      </c>
      <c r="K567" s="83" t="s">
        <v>3397</v>
      </c>
      <c r="L567" s="83" t="s">
        <v>3398</v>
      </c>
      <c r="M567" s="83" t="s">
        <v>3399</v>
      </c>
      <c r="N567" s="1"/>
      <c r="O567" s="46" t="str">
        <f t="shared" si="17"/>
        <v>A. A. He passes the dry cleaner’s on the way to work</v>
      </c>
      <c r="P567" s="1"/>
      <c r="Q567" s="1"/>
    </row>
    <row r="568" spans="1:18" s="43" customFormat="1" ht="15" customHeight="1" x14ac:dyDescent="0.25">
      <c r="A568" s="79"/>
      <c r="B568" s="79"/>
      <c r="C568" s="79"/>
      <c r="D568" s="79"/>
      <c r="E568" s="81">
        <v>7</v>
      </c>
      <c r="F568" s="79" t="s">
        <v>3652</v>
      </c>
      <c r="G568" s="81" t="s">
        <v>3400</v>
      </c>
      <c r="H568" s="81">
        <v>5</v>
      </c>
      <c r="I568" s="78">
        <v>1</v>
      </c>
      <c r="J568" s="83" t="s">
        <v>3401</v>
      </c>
      <c r="K568" s="83" t="s">
        <v>3402</v>
      </c>
      <c r="L568" s="83" t="s">
        <v>3403</v>
      </c>
      <c r="M568" s="83" t="s">
        <v>3404</v>
      </c>
      <c r="N568" s="1"/>
      <c r="O568" s="46" t="str">
        <f t="shared" si="17"/>
        <v>A. A. He doesn't normally like Hugh Grant films</v>
      </c>
      <c r="P568" s="1"/>
      <c r="Q568" s="1"/>
    </row>
    <row r="569" spans="1:18" s="43" customFormat="1" ht="15" customHeight="1" x14ac:dyDescent="0.25">
      <c r="A569" s="79"/>
      <c r="B569" s="79"/>
      <c r="C569" s="79"/>
      <c r="D569" s="79"/>
      <c r="E569" s="81">
        <v>8</v>
      </c>
      <c r="F569" s="79" t="s">
        <v>3573</v>
      </c>
      <c r="G569" s="81" t="s">
        <v>3405</v>
      </c>
      <c r="H569" s="81">
        <v>5</v>
      </c>
      <c r="I569" s="78">
        <v>1</v>
      </c>
      <c r="J569" s="83" t="s">
        <v>3406</v>
      </c>
      <c r="K569" s="83" t="s">
        <v>3407</v>
      </c>
      <c r="L569" s="83" t="s">
        <v>3408</v>
      </c>
      <c r="M569" s="83" t="s">
        <v>3409</v>
      </c>
      <c r="N569" s="1"/>
      <c r="O569" s="46" t="str">
        <f t="shared" si="17"/>
        <v>A. A. If the radio uses batteries</v>
      </c>
      <c r="P569" s="1"/>
      <c r="Q569" s="1"/>
    </row>
    <row r="570" spans="1:18" s="43" customFormat="1" ht="15" customHeight="1" x14ac:dyDescent="0.25">
      <c r="A570" s="79"/>
      <c r="B570" s="79"/>
      <c r="C570" s="79"/>
      <c r="D570" s="79"/>
      <c r="E570" s="81">
        <v>9</v>
      </c>
      <c r="F570" s="79" t="s">
        <v>3574</v>
      </c>
      <c r="G570" s="81" t="s">
        <v>3410</v>
      </c>
      <c r="H570" s="81">
        <v>5</v>
      </c>
      <c r="I570" s="78">
        <v>1</v>
      </c>
      <c r="J570" s="83" t="s">
        <v>3411</v>
      </c>
      <c r="K570" s="83" t="s">
        <v>3412</v>
      </c>
      <c r="L570" s="83" t="s">
        <v>3413</v>
      </c>
      <c r="M570" s="83" t="s">
        <v>3414</v>
      </c>
      <c r="N570" s="1"/>
      <c r="O570" s="46" t="str">
        <f t="shared" si="17"/>
        <v>A. A. They will have to take a credit card to the U.S.A</v>
      </c>
      <c r="P570" s="1"/>
      <c r="Q570" s="1"/>
    </row>
    <row r="571" spans="1:18" s="43" customFormat="1" ht="15" customHeight="1" x14ac:dyDescent="0.25">
      <c r="A571" s="79"/>
      <c r="B571" s="79"/>
      <c r="C571" s="79"/>
      <c r="D571" s="79"/>
      <c r="E571" s="81">
        <v>10</v>
      </c>
      <c r="F571" s="79" t="s">
        <v>3575</v>
      </c>
      <c r="G571" s="81" t="s">
        <v>3415</v>
      </c>
      <c r="H571" s="81">
        <v>5</v>
      </c>
      <c r="I571" s="78">
        <v>1</v>
      </c>
      <c r="J571" s="83" t="s">
        <v>3416</v>
      </c>
      <c r="K571" s="83" t="s">
        <v>3417</v>
      </c>
      <c r="L571" s="83" t="s">
        <v>3418</v>
      </c>
      <c r="M571" s="83" t="s">
        <v>3419</v>
      </c>
      <c r="N571" s="1"/>
      <c r="O571" s="46" t="str">
        <f t="shared" si="17"/>
        <v>A. A.  She can't borrow the manual until he finishes with it</v>
      </c>
      <c r="P571" s="1"/>
      <c r="Q571" s="1"/>
    </row>
    <row r="572" spans="1:18" s="43" customFormat="1" ht="15" customHeight="1" x14ac:dyDescent="0.25">
      <c r="A572" s="79"/>
      <c r="B572" s="79"/>
      <c r="C572" s="79"/>
      <c r="D572" s="79"/>
      <c r="E572" s="81">
        <v>11</v>
      </c>
      <c r="F572" s="79" t="s">
        <v>3576</v>
      </c>
      <c r="G572" s="81" t="s">
        <v>3420</v>
      </c>
      <c r="H572" s="81">
        <v>5</v>
      </c>
      <c r="I572" s="78">
        <v>1</v>
      </c>
      <c r="J572" s="83" t="s">
        <v>3421</v>
      </c>
      <c r="K572" s="83" t="s">
        <v>3422</v>
      </c>
      <c r="L572" s="83" t="s">
        <v>3423</v>
      </c>
      <c r="M572" s="83" t="s">
        <v>3424</v>
      </c>
      <c r="N572" s="1"/>
      <c r="O572" s="46" t="str">
        <f t="shared" si="17"/>
        <v>A. A. It turned out to be a big money earner</v>
      </c>
      <c r="P572" s="1"/>
      <c r="Q572" s="1"/>
    </row>
    <row r="573" spans="1:18" s="43" customFormat="1" ht="15" customHeight="1" x14ac:dyDescent="0.25">
      <c r="A573" s="79"/>
      <c r="B573" s="79"/>
      <c r="C573" s="79"/>
      <c r="D573" s="79"/>
      <c r="E573" s="81">
        <v>12</v>
      </c>
      <c r="F573" s="79" t="s">
        <v>3656</v>
      </c>
      <c r="G573" s="81" t="s">
        <v>3425</v>
      </c>
      <c r="H573" s="81">
        <v>5</v>
      </c>
      <c r="I573" s="78">
        <v>1</v>
      </c>
      <c r="J573" s="83" t="s">
        <v>3426</v>
      </c>
      <c r="K573" s="83" t="s">
        <v>3427</v>
      </c>
      <c r="L573" s="83" t="s">
        <v>3428</v>
      </c>
      <c r="M573" s="83" t="s">
        <v>3429</v>
      </c>
      <c r="N573" s="1"/>
      <c r="O573" s="46" t="str">
        <f t="shared" si="17"/>
        <v xml:space="preserve">A. A. It dismissed two people </v>
      </c>
      <c r="P573" s="1"/>
      <c r="Q573" s="1"/>
    </row>
    <row r="574" spans="1:18" s="43" customFormat="1" ht="15" customHeight="1" x14ac:dyDescent="0.25">
      <c r="A574" s="79"/>
      <c r="B574" s="79"/>
      <c r="C574" s="79"/>
      <c r="D574" s="79"/>
      <c r="E574" s="81">
        <v>13</v>
      </c>
      <c r="F574" s="79" t="s">
        <v>3650</v>
      </c>
      <c r="G574" s="81" t="s">
        <v>3430</v>
      </c>
      <c r="H574" s="81">
        <v>5</v>
      </c>
      <c r="I574" s="78">
        <v>1</v>
      </c>
      <c r="J574" s="83" t="s">
        <v>3431</v>
      </c>
      <c r="K574" s="83" t="s">
        <v>3432</v>
      </c>
      <c r="L574" s="83" t="s">
        <v>3433</v>
      </c>
      <c r="M574" s="83" t="s">
        <v>3434</v>
      </c>
      <c r="N574" s="1"/>
      <c r="O574" s="46" t="str">
        <f t="shared" si="17"/>
        <v>A. A. All  indigenous groups are opposed to it</v>
      </c>
      <c r="P574" s="1"/>
      <c r="Q574" s="1"/>
    </row>
    <row r="575" spans="1:18" s="43" customFormat="1" ht="15" customHeight="1" x14ac:dyDescent="0.25">
      <c r="A575" s="79"/>
      <c r="B575" s="79"/>
      <c r="C575" s="79"/>
      <c r="D575" s="79"/>
      <c r="E575" s="81">
        <v>14</v>
      </c>
      <c r="F575" s="79" t="s">
        <v>3577</v>
      </c>
      <c r="G575" s="81" t="s">
        <v>3435</v>
      </c>
      <c r="H575" s="81">
        <v>5</v>
      </c>
      <c r="I575" s="78">
        <v>1</v>
      </c>
      <c r="J575" s="83" t="s">
        <v>3436</v>
      </c>
      <c r="K575" s="83" t="s">
        <v>3437</v>
      </c>
      <c r="L575" s="83" t="s">
        <v>3438</v>
      </c>
      <c r="M575" s="83" t="s">
        <v>3439</v>
      </c>
      <c r="N575" s="1"/>
      <c r="O575" s="46" t="str">
        <f t="shared" si="17"/>
        <v>A. A. The history girls are fashion models</v>
      </c>
      <c r="P575" s="1"/>
      <c r="Q575" s="1"/>
    </row>
    <row r="576" spans="1:18" s="43" customFormat="1" ht="15" customHeight="1" x14ac:dyDescent="0.25">
      <c r="A576" s="79"/>
      <c r="B576" s="79"/>
      <c r="C576" s="79"/>
      <c r="D576" s="79"/>
      <c r="E576" s="81">
        <v>15</v>
      </c>
      <c r="F576" s="79" t="s">
        <v>3578</v>
      </c>
      <c r="G576" s="81" t="s">
        <v>3440</v>
      </c>
      <c r="H576" s="81">
        <v>5</v>
      </c>
      <c r="I576" s="78">
        <v>1</v>
      </c>
      <c r="J576" s="83" t="s">
        <v>3441</v>
      </c>
      <c r="K576" s="83" t="s">
        <v>3442</v>
      </c>
      <c r="L576" s="83" t="s">
        <v>3443</v>
      </c>
      <c r="M576" s="83" t="s">
        <v>3444</v>
      </c>
      <c r="N576" s="1"/>
      <c r="O576" s="46" t="str">
        <f t="shared" si="17"/>
        <v>A. A. They think she will set a new record</v>
      </c>
      <c r="P576" s="1"/>
      <c r="Q576" s="1"/>
    </row>
    <row r="577" spans="1:17" s="43" customFormat="1" ht="15" customHeight="1" x14ac:dyDescent="0.25">
      <c r="A577" s="79"/>
      <c r="B577" s="79"/>
      <c r="C577" s="79"/>
      <c r="D577" s="79"/>
      <c r="E577" s="81">
        <v>16</v>
      </c>
      <c r="F577" s="79" t="s">
        <v>3579</v>
      </c>
      <c r="G577" s="81" t="s">
        <v>3445</v>
      </c>
      <c r="H577" s="81">
        <v>5</v>
      </c>
      <c r="I577" s="78">
        <v>1</v>
      </c>
      <c r="J577" s="83" t="s">
        <v>3446</v>
      </c>
      <c r="K577" s="83" t="s">
        <v>3447</v>
      </c>
      <c r="L577" s="83" t="s">
        <v>3448</v>
      </c>
      <c r="M577" s="83" t="s">
        <v>3449</v>
      </c>
      <c r="N577" s="1"/>
      <c r="O577" s="46" t="str">
        <f t="shared" si="17"/>
        <v>A. A. They contacted the families of the survivors immediately</v>
      </c>
      <c r="P577" s="1"/>
      <c r="Q577" s="1"/>
    </row>
    <row r="578" spans="1:17" s="43" customFormat="1" ht="15" customHeight="1" x14ac:dyDescent="0.25">
      <c r="A578" s="79"/>
      <c r="B578" s="79"/>
      <c r="C578" s="79"/>
      <c r="D578" s="79"/>
      <c r="E578" s="81">
        <v>17</v>
      </c>
      <c r="F578" s="79" t="s">
        <v>3654</v>
      </c>
      <c r="G578" s="81" t="s">
        <v>3450</v>
      </c>
      <c r="H578" s="81">
        <v>5</v>
      </c>
      <c r="I578" s="78">
        <v>1</v>
      </c>
      <c r="J578" s="83" t="s">
        <v>3451</v>
      </c>
      <c r="K578" s="83" t="s">
        <v>3452</v>
      </c>
      <c r="L578" s="83" t="s">
        <v>3453</v>
      </c>
      <c r="M578" s="83" t="s">
        <v>3454</v>
      </c>
      <c r="N578" s="1"/>
      <c r="O578" s="46" t="str">
        <f t="shared" si="17"/>
        <v>A. A.   He had been advised to marry his cousin</v>
      </c>
      <c r="P578" s="1"/>
      <c r="Q578" s="1"/>
    </row>
    <row r="579" spans="1:17" s="43" customFormat="1" ht="15" customHeight="1" x14ac:dyDescent="0.25">
      <c r="A579" s="79"/>
      <c r="B579" s="79"/>
      <c r="C579" s="79"/>
      <c r="D579" s="79"/>
      <c r="E579" s="81">
        <v>18</v>
      </c>
      <c r="F579" s="79" t="s">
        <v>3580</v>
      </c>
      <c r="G579" s="81" t="s">
        <v>3455</v>
      </c>
      <c r="H579" s="81">
        <v>5</v>
      </c>
      <c r="I579" s="78">
        <v>1</v>
      </c>
      <c r="J579" s="83" t="s">
        <v>3456</v>
      </c>
      <c r="K579" s="83" t="s">
        <v>3457</v>
      </c>
      <c r="L579" s="83" t="s">
        <v>3458</v>
      </c>
      <c r="M579" s="83" t="s">
        <v>3459</v>
      </c>
      <c r="N579" s="1"/>
      <c r="O579" s="46" t="str">
        <f t="shared" si="17"/>
        <v>A. A. They are psychologically different to other people</v>
      </c>
      <c r="P579" s="1"/>
      <c r="Q579" s="1"/>
    </row>
    <row r="580" spans="1:17" s="43" customFormat="1" ht="15" customHeight="1" x14ac:dyDescent="0.25">
      <c r="A580" s="79"/>
      <c r="B580" s="79"/>
      <c r="C580" s="79"/>
      <c r="D580" s="79"/>
      <c r="E580" s="81">
        <v>19</v>
      </c>
      <c r="F580" s="79" t="s">
        <v>3647</v>
      </c>
      <c r="G580" s="81" t="s">
        <v>3460</v>
      </c>
      <c r="H580" s="81">
        <v>5</v>
      </c>
      <c r="I580" s="78">
        <v>1</v>
      </c>
      <c r="J580" s="83" t="s">
        <v>3461</v>
      </c>
      <c r="K580" s="83" t="s">
        <v>3462</v>
      </c>
      <c r="L580" s="83" t="s">
        <v>3463</v>
      </c>
      <c r="M580" s="83" t="s">
        <v>3464</v>
      </c>
      <c r="N580" s="1"/>
      <c r="O580" s="46" t="str">
        <f t="shared" si="17"/>
        <v>A. A. Khodorkovsky is still the richest man in Russia</v>
      </c>
      <c r="P580" s="1"/>
      <c r="Q580" s="1"/>
    </row>
    <row r="581" spans="1:17" s="43" customFormat="1" ht="15" customHeight="1" x14ac:dyDescent="0.25">
      <c r="A581" s="79"/>
      <c r="B581" s="79"/>
      <c r="C581" s="79"/>
      <c r="D581" s="79"/>
      <c r="E581" s="81">
        <v>20</v>
      </c>
      <c r="F581" s="79" t="s">
        <v>3581</v>
      </c>
      <c r="G581" s="81" t="s">
        <v>3465</v>
      </c>
      <c r="H581" s="81">
        <v>5</v>
      </c>
      <c r="I581" s="78">
        <v>1</v>
      </c>
      <c r="J581" s="83" t="s">
        <v>3466</v>
      </c>
      <c r="K581" s="83" t="s">
        <v>3467</v>
      </c>
      <c r="L581" s="83" t="s">
        <v>3468</v>
      </c>
      <c r="M581" s="83" t="s">
        <v>3469</v>
      </c>
      <c r="N581" s="1"/>
      <c r="O581" s="46" t="str">
        <f t="shared" si="17"/>
        <v>A. A. Americans insist on having public tap water</v>
      </c>
      <c r="P581" s="1"/>
      <c r="Q581" s="1"/>
    </row>
    <row r="582" spans="1:17" s="43" customFormat="1" ht="15" customHeight="1" x14ac:dyDescent="0.25">
      <c r="A582" s="79"/>
      <c r="B582" s="79"/>
      <c r="C582" s="79"/>
      <c r="D582" s="79"/>
      <c r="E582" s="81">
        <v>21</v>
      </c>
      <c r="F582" s="79" t="s">
        <v>3651</v>
      </c>
      <c r="G582" s="81" t="s">
        <v>3470</v>
      </c>
      <c r="H582" s="81">
        <v>5</v>
      </c>
      <c r="I582" s="78">
        <v>1</v>
      </c>
      <c r="J582" s="83" t="s">
        <v>3471</v>
      </c>
      <c r="K582" s="83" t="s">
        <v>3472</v>
      </c>
      <c r="L582" s="83" t="s">
        <v>3473</v>
      </c>
      <c r="M582" s="83" t="s">
        <v>3474</v>
      </c>
      <c r="N582" s="1"/>
      <c r="O582" s="46" t="str">
        <f t="shared" si="17"/>
        <v>A. A. Two sets of twins met in a hotel</v>
      </c>
      <c r="P582" s="1"/>
      <c r="Q582" s="1"/>
    </row>
    <row r="583" spans="1:17" s="43" customFormat="1" ht="15" customHeight="1" x14ac:dyDescent="0.25">
      <c r="A583" s="79"/>
      <c r="B583" s="79"/>
      <c r="C583" s="79"/>
      <c r="D583" s="79"/>
      <c r="E583" s="81">
        <v>22</v>
      </c>
      <c r="F583" s="79" t="s">
        <v>3582</v>
      </c>
      <c r="G583" s="81" t="s">
        <v>3475</v>
      </c>
      <c r="H583" s="81">
        <v>5</v>
      </c>
      <c r="I583" s="78">
        <v>1</v>
      </c>
      <c r="J583" s="83" t="s">
        <v>3476</v>
      </c>
      <c r="K583" s="83" t="s">
        <v>3477</v>
      </c>
      <c r="L583" s="83" t="s">
        <v>3478</v>
      </c>
      <c r="M583" s="83" t="s">
        <v>3479</v>
      </c>
      <c r="N583" s="1"/>
      <c r="O583" s="46" t="str">
        <f t="shared" si="17"/>
        <v>A. A. She does not like to be photographed</v>
      </c>
      <c r="P583" s="1"/>
      <c r="Q583" s="1"/>
    </row>
    <row r="584" spans="1:17" s="43" customFormat="1" ht="15" customHeight="1" x14ac:dyDescent="0.25">
      <c r="A584" s="79"/>
      <c r="B584" s="79"/>
      <c r="C584" s="79"/>
      <c r="D584" s="79"/>
      <c r="E584" s="81">
        <v>23</v>
      </c>
      <c r="F584" s="79" t="s">
        <v>3583</v>
      </c>
      <c r="G584" s="81" t="s">
        <v>3480</v>
      </c>
      <c r="H584" s="81">
        <v>5</v>
      </c>
      <c r="I584" s="78">
        <v>1</v>
      </c>
      <c r="J584" s="83" t="s">
        <v>3481</v>
      </c>
      <c r="K584" s="83" t="s">
        <v>3482</v>
      </c>
      <c r="L584" s="83" t="s">
        <v>3483</v>
      </c>
      <c r="M584" s="83" t="s">
        <v>3484</v>
      </c>
      <c r="N584" s="1"/>
      <c r="O584" s="46" t="str">
        <f t="shared" si="17"/>
        <v>A. A. Seniesa started to fight a couple of years ago</v>
      </c>
      <c r="P584" s="1"/>
      <c r="Q584" s="1"/>
    </row>
    <row r="585" spans="1:17" s="43" customFormat="1" ht="15" customHeight="1" x14ac:dyDescent="0.25">
      <c r="A585" s="79"/>
      <c r="B585" s="79"/>
      <c r="C585" s="79"/>
      <c r="D585" s="79"/>
      <c r="E585" s="81">
        <v>24</v>
      </c>
      <c r="F585" s="79" t="s">
        <v>3584</v>
      </c>
      <c r="G585" s="81" t="s">
        <v>3485</v>
      </c>
      <c r="H585" s="81">
        <v>5</v>
      </c>
      <c r="I585" s="78">
        <v>1</v>
      </c>
      <c r="J585" s="83" t="s">
        <v>3486</v>
      </c>
      <c r="K585" s="83" t="s">
        <v>3487</v>
      </c>
      <c r="L585" s="83" t="s">
        <v>3488</v>
      </c>
      <c r="M585" s="83" t="s">
        <v>3489</v>
      </c>
      <c r="N585" s="1"/>
      <c r="O585" s="46" t="str">
        <f t="shared" si="17"/>
        <v>A. A. Brain abnormalities are common among adolescents</v>
      </c>
      <c r="P585" s="1"/>
      <c r="Q585" s="1"/>
    </row>
    <row r="586" spans="1:17" s="43" customFormat="1" ht="15" customHeight="1" x14ac:dyDescent="0.25">
      <c r="A586" s="79"/>
      <c r="B586" s="79"/>
      <c r="C586" s="79"/>
      <c r="D586" s="79"/>
      <c r="E586" s="81">
        <v>25</v>
      </c>
      <c r="F586" s="79" t="s">
        <v>3585</v>
      </c>
      <c r="G586" s="81" t="s">
        <v>3490</v>
      </c>
      <c r="H586" s="81">
        <v>5</v>
      </c>
      <c r="I586" s="78">
        <v>1</v>
      </c>
      <c r="J586" s="83" t="s">
        <v>3491</v>
      </c>
      <c r="K586" s="83" t="s">
        <v>3492</v>
      </c>
      <c r="L586" s="83" t="s">
        <v>3493</v>
      </c>
      <c r="M586" s="83" t="s">
        <v>3494</v>
      </c>
      <c r="N586" s="1"/>
      <c r="O586" s="46" t="str">
        <f t="shared" si="17"/>
        <v>A. A. To sell cereal the milk must be fresh</v>
      </c>
      <c r="P586" s="1"/>
      <c r="Q586" s="1"/>
    </row>
    <row r="587" spans="1:17" s="43" customFormat="1" ht="15" customHeight="1" x14ac:dyDescent="0.25">
      <c r="A587" s="79"/>
      <c r="B587" s="79"/>
      <c r="C587" s="79"/>
      <c r="D587" s="79"/>
      <c r="E587" s="81">
        <v>26</v>
      </c>
      <c r="F587" s="79" t="s">
        <v>3586</v>
      </c>
      <c r="G587" s="81" t="s">
        <v>3495</v>
      </c>
      <c r="H587" s="81">
        <v>5</v>
      </c>
      <c r="I587" s="78">
        <v>1</v>
      </c>
      <c r="J587" s="83" t="s">
        <v>3496</v>
      </c>
      <c r="K587" s="83" t="s">
        <v>3497</v>
      </c>
      <c r="L587" s="83" t="s">
        <v>3498</v>
      </c>
      <c r="M587" s="83" t="s">
        <v>3499</v>
      </c>
      <c r="N587" s="1"/>
      <c r="O587" s="46" t="str">
        <f t="shared" si="17"/>
        <v>A. A. The government cannot establish a price for the gas</v>
      </c>
      <c r="P587" s="1"/>
      <c r="Q587" s="1"/>
    </row>
    <row r="588" spans="1:17" s="43" customFormat="1" ht="15" customHeight="1" x14ac:dyDescent="0.25">
      <c r="A588" s="79"/>
      <c r="B588" s="79"/>
      <c r="C588" s="79"/>
      <c r="D588" s="79"/>
      <c r="E588" s="81">
        <v>27</v>
      </c>
      <c r="F588" s="79" t="s">
        <v>3587</v>
      </c>
      <c r="G588" s="81" t="s">
        <v>3500</v>
      </c>
      <c r="H588" s="81">
        <v>5</v>
      </c>
      <c r="I588" s="78">
        <v>1</v>
      </c>
      <c r="J588" s="83" t="s">
        <v>3501</v>
      </c>
      <c r="K588" s="83" t="s">
        <v>3502</v>
      </c>
      <c r="L588" s="83" t="s">
        <v>3503</v>
      </c>
      <c r="M588" s="83" t="s">
        <v>3504</v>
      </c>
      <c r="N588" s="1"/>
      <c r="O588" s="46" t="str">
        <f t="shared" si="17"/>
        <v>A. A. Caesar’s image was calculated to transmit specific qualities</v>
      </c>
      <c r="P588" s="1"/>
      <c r="Q588" s="1"/>
    </row>
    <row r="589" spans="1:17" s="43" customFormat="1" ht="15" customHeight="1" x14ac:dyDescent="0.25">
      <c r="A589" s="79"/>
      <c r="B589" s="79"/>
      <c r="C589" s="79"/>
      <c r="D589" s="79"/>
      <c r="E589" s="81">
        <v>28</v>
      </c>
      <c r="F589" s="79" t="s">
        <v>3588</v>
      </c>
      <c r="G589" s="81" t="s">
        <v>3505</v>
      </c>
      <c r="H589" s="81">
        <v>5</v>
      </c>
      <c r="I589" s="78">
        <v>1</v>
      </c>
      <c r="J589" s="83" t="s">
        <v>3506</v>
      </c>
      <c r="K589" s="83" t="s">
        <v>3507</v>
      </c>
      <c r="L589" s="83" t="s">
        <v>3508</v>
      </c>
      <c r="M589" s="83" t="s">
        <v>3509</v>
      </c>
      <c r="N589" s="1"/>
      <c r="O589" s="46" t="str">
        <f t="shared" si="17"/>
        <v>A. A. Some clients tortured their financial advisor</v>
      </c>
      <c r="P589" s="1"/>
      <c r="Q589" s="1"/>
    </row>
    <row r="590" spans="1:17" s="43" customFormat="1" ht="15" customHeight="1" x14ac:dyDescent="0.25">
      <c r="A590" s="79"/>
      <c r="B590" s="79"/>
      <c r="C590" s="79"/>
      <c r="D590" s="79"/>
      <c r="E590" s="81">
        <v>29</v>
      </c>
      <c r="F590" s="79" t="s">
        <v>3589</v>
      </c>
      <c r="G590" s="81" t="s">
        <v>3510</v>
      </c>
      <c r="H590" s="81">
        <v>5</v>
      </c>
      <c r="I590" s="78">
        <v>1</v>
      </c>
      <c r="J590" s="83" t="s">
        <v>3511</v>
      </c>
      <c r="K590" s="83" t="s">
        <v>3512</v>
      </c>
      <c r="L590" s="83" t="s">
        <v>3513</v>
      </c>
      <c r="M590" s="83" t="s">
        <v>3514</v>
      </c>
      <c r="N590" s="1"/>
      <c r="O590" s="46" t="str">
        <f t="shared" si="17"/>
        <v>A. A. The Andes mountain range is 7,000 miles long</v>
      </c>
      <c r="P590" s="1"/>
      <c r="Q590" s="1"/>
    </row>
    <row r="591" spans="1:17" s="43" customFormat="1" ht="15" customHeight="1" x14ac:dyDescent="0.25">
      <c r="A591" s="79"/>
      <c r="B591" s="79"/>
      <c r="C591" s="79"/>
      <c r="D591" s="79"/>
      <c r="E591" s="81">
        <v>30</v>
      </c>
      <c r="F591" s="79" t="s">
        <v>3590</v>
      </c>
      <c r="G591" s="81" t="s">
        <v>3515</v>
      </c>
      <c r="H591" s="81">
        <v>5</v>
      </c>
      <c r="I591" s="78">
        <v>1</v>
      </c>
      <c r="J591" s="83" t="s">
        <v>3516</v>
      </c>
      <c r="K591" s="83" t="s">
        <v>3517</v>
      </c>
      <c r="L591" s="83" t="s">
        <v>3518</v>
      </c>
      <c r="M591" s="83" t="s">
        <v>3519</v>
      </c>
      <c r="N591" s="1"/>
      <c r="O591" s="46" t="str">
        <f t="shared" si="17"/>
        <v>A. A. Pay-by-phone parking means people save money</v>
      </c>
      <c r="P591" s="1"/>
      <c r="Q591" s="1"/>
    </row>
    <row r="592" spans="1:17" s="43" customFormat="1" ht="15" customHeight="1" x14ac:dyDescent="0.25">
      <c r="A592" s="79"/>
      <c r="B592" s="79"/>
      <c r="C592" s="79"/>
      <c r="D592" s="79"/>
      <c r="E592" s="81">
        <v>31</v>
      </c>
      <c r="F592" s="79" t="s">
        <v>3591</v>
      </c>
      <c r="G592" s="81" t="s">
        <v>3520</v>
      </c>
      <c r="H592" s="81">
        <v>5</v>
      </c>
      <c r="I592" s="78">
        <v>1</v>
      </c>
      <c r="J592" s="83" t="s">
        <v>3521</v>
      </c>
      <c r="K592" s="83" t="s">
        <v>3522</v>
      </c>
      <c r="L592" s="83" t="s">
        <v>3523</v>
      </c>
      <c r="M592" s="83" t="s">
        <v>3524</v>
      </c>
      <c r="N592" s="1"/>
      <c r="O592" s="1"/>
      <c r="P592" s="1"/>
      <c r="Q592" s="1"/>
    </row>
    <row r="593" spans="1:17" s="43" customFormat="1" ht="15" customHeight="1" x14ac:dyDescent="0.25">
      <c r="A593" s="79"/>
      <c r="B593" s="79"/>
      <c r="C593" s="79"/>
      <c r="D593" s="79"/>
      <c r="E593" s="81">
        <v>32</v>
      </c>
      <c r="F593" s="79" t="s">
        <v>3592</v>
      </c>
      <c r="G593" s="81" t="s">
        <v>3525</v>
      </c>
      <c r="H593" s="81">
        <v>5</v>
      </c>
      <c r="I593" s="78">
        <v>1</v>
      </c>
      <c r="J593" s="83" t="s">
        <v>3526</v>
      </c>
      <c r="K593" s="83" t="s">
        <v>3527</v>
      </c>
      <c r="L593" s="83" t="s">
        <v>3528</v>
      </c>
      <c r="M593" s="83" t="s">
        <v>3529</v>
      </c>
      <c r="N593" s="1"/>
      <c r="O593" s="1"/>
      <c r="P593" s="1"/>
      <c r="Q593" s="1"/>
    </row>
    <row r="594" spans="1:17" s="43" customFormat="1" ht="15" customHeight="1" x14ac:dyDescent="0.25">
      <c r="A594" s="79"/>
      <c r="B594" s="79"/>
      <c r="C594" s="79"/>
      <c r="D594" s="79"/>
      <c r="E594" s="81">
        <v>33</v>
      </c>
      <c r="F594" s="79" t="s">
        <v>3593</v>
      </c>
      <c r="G594" s="81" t="s">
        <v>3530</v>
      </c>
      <c r="H594" s="81">
        <v>5</v>
      </c>
      <c r="I594" s="78">
        <v>1</v>
      </c>
      <c r="J594" s="83" t="s">
        <v>3531</v>
      </c>
      <c r="K594" s="83" t="s">
        <v>3532</v>
      </c>
      <c r="L594" s="83" t="s">
        <v>3533</v>
      </c>
      <c r="M594" s="83" t="s">
        <v>3534</v>
      </c>
      <c r="N594" s="1"/>
      <c r="O594" s="1"/>
      <c r="P594" s="1"/>
      <c r="Q594" s="1"/>
    </row>
    <row r="595" spans="1:17" s="43" customFormat="1" ht="15" customHeight="1" x14ac:dyDescent="0.25">
      <c r="A595" s="79"/>
      <c r="B595" s="79"/>
      <c r="C595" s="79"/>
      <c r="D595" s="79"/>
      <c r="E595" s="81">
        <v>34</v>
      </c>
      <c r="F595" s="79" t="s">
        <v>3594</v>
      </c>
      <c r="G595" s="81" t="s">
        <v>3535</v>
      </c>
      <c r="H595" s="81">
        <v>5</v>
      </c>
      <c r="I595" s="78">
        <v>1</v>
      </c>
      <c r="J595" s="83" t="s">
        <v>3536</v>
      </c>
      <c r="K595" s="83" t="s">
        <v>3537</v>
      </c>
      <c r="L595" s="83" t="s">
        <v>3538</v>
      </c>
      <c r="M595" s="83" t="s">
        <v>3539</v>
      </c>
      <c r="N595" s="1"/>
      <c r="O595" s="1"/>
      <c r="P595" s="1"/>
      <c r="Q595" s="1"/>
    </row>
    <row r="596" spans="1:17" s="43" customFormat="1" ht="15" customHeight="1" x14ac:dyDescent="0.25">
      <c r="A596" s="79"/>
      <c r="B596" s="79"/>
      <c r="C596" s="79"/>
      <c r="D596" s="79"/>
      <c r="E596" s="81">
        <v>35</v>
      </c>
      <c r="F596" s="79" t="s">
        <v>3595</v>
      </c>
      <c r="G596" s="81" t="s">
        <v>3540</v>
      </c>
      <c r="H596" s="81">
        <v>5</v>
      </c>
      <c r="I596" s="78">
        <v>1</v>
      </c>
      <c r="J596" s="83" t="s">
        <v>3541</v>
      </c>
      <c r="K596" s="83" t="s">
        <v>3542</v>
      </c>
      <c r="L596" s="83" t="s">
        <v>3543</v>
      </c>
      <c r="M596" s="83" t="s">
        <v>3544</v>
      </c>
      <c r="N596" s="1"/>
      <c r="O596" s="1"/>
      <c r="P596" s="1"/>
      <c r="Q596" s="1"/>
    </row>
    <row r="597" spans="1:17" s="43" customFormat="1" ht="15" customHeight="1" x14ac:dyDescent="0.25">
      <c r="A597" s="79"/>
      <c r="B597" s="79"/>
      <c r="C597" s="79"/>
      <c r="D597" s="79"/>
      <c r="E597" s="81">
        <v>36</v>
      </c>
      <c r="F597" s="79" t="s">
        <v>3596</v>
      </c>
      <c r="G597" s="81" t="s">
        <v>3545</v>
      </c>
      <c r="H597" s="81">
        <v>5</v>
      </c>
      <c r="I597" s="78">
        <v>1</v>
      </c>
      <c r="J597" s="83" t="s">
        <v>3546</v>
      </c>
      <c r="K597" s="83" t="s">
        <v>3547</v>
      </c>
      <c r="L597" s="83" t="s">
        <v>3548</v>
      </c>
      <c r="M597" s="83" t="s">
        <v>3549</v>
      </c>
      <c r="N597" s="1"/>
      <c r="O597" s="1"/>
      <c r="P597" s="1"/>
      <c r="Q597" s="1"/>
    </row>
    <row r="598" spans="1:17" s="43" customFormat="1" ht="15" customHeight="1" x14ac:dyDescent="0.25">
      <c r="A598" s="79"/>
      <c r="B598" s="79"/>
      <c r="C598" s="79"/>
      <c r="D598" s="79"/>
      <c r="E598" s="81">
        <v>37</v>
      </c>
      <c r="F598" s="79" t="s">
        <v>3597</v>
      </c>
      <c r="G598" s="81" t="s">
        <v>3550</v>
      </c>
      <c r="H598" s="81">
        <v>5</v>
      </c>
      <c r="I598" s="78">
        <v>1</v>
      </c>
      <c r="J598" s="83" t="s">
        <v>3551</v>
      </c>
      <c r="K598" s="83" t="s">
        <v>3552</v>
      </c>
      <c r="L598" s="83" t="s">
        <v>3553</v>
      </c>
      <c r="M598" s="83" t="s">
        <v>3554</v>
      </c>
      <c r="N598" s="1"/>
      <c r="O598" s="1"/>
      <c r="P598" s="1"/>
      <c r="Q598" s="1"/>
    </row>
    <row r="599" spans="1:17" s="43" customFormat="1" ht="15" customHeight="1" x14ac:dyDescent="0.25">
      <c r="A599" s="79"/>
      <c r="B599" s="79"/>
      <c r="C599" s="79"/>
      <c r="D599" s="79"/>
      <c r="E599" s="81">
        <v>38</v>
      </c>
      <c r="F599" s="79" t="s">
        <v>3598</v>
      </c>
      <c r="G599" s="81" t="s">
        <v>3555</v>
      </c>
      <c r="H599" s="81">
        <v>5</v>
      </c>
      <c r="I599" s="78">
        <v>1</v>
      </c>
      <c r="J599" s="83" t="s">
        <v>3556</v>
      </c>
      <c r="K599" s="83" t="s">
        <v>3557</v>
      </c>
      <c r="L599" s="83" t="s">
        <v>3558</v>
      </c>
      <c r="M599" s="83" t="s">
        <v>3559</v>
      </c>
      <c r="N599" s="1"/>
      <c r="O599" s="1"/>
      <c r="P599" s="1"/>
      <c r="Q599" s="1"/>
    </row>
    <row r="600" spans="1:17" s="43" customFormat="1" ht="15" customHeight="1" x14ac:dyDescent="0.25">
      <c r="A600" s="79"/>
      <c r="B600" s="79"/>
      <c r="C600" s="79"/>
      <c r="D600" s="79"/>
      <c r="E600" s="81">
        <v>39</v>
      </c>
      <c r="F600" s="79" t="s">
        <v>3599</v>
      </c>
      <c r="G600" s="81" t="s">
        <v>3560</v>
      </c>
      <c r="H600" s="81">
        <v>5</v>
      </c>
      <c r="I600" s="78">
        <v>1</v>
      </c>
      <c r="J600" s="83" t="s">
        <v>3561</v>
      </c>
      <c r="K600" s="83" t="s">
        <v>3562</v>
      </c>
      <c r="L600" s="83" t="s">
        <v>3563</v>
      </c>
      <c r="M600" s="83" t="s">
        <v>3564</v>
      </c>
      <c r="N600" s="1"/>
      <c r="O600" s="1"/>
      <c r="P600" s="1"/>
      <c r="Q600" s="1"/>
    </row>
    <row r="601" spans="1:17" s="43" customFormat="1" ht="15" customHeight="1" x14ac:dyDescent="0.25">
      <c r="A601" s="79"/>
      <c r="B601" s="79"/>
      <c r="C601" s="79"/>
      <c r="D601" s="79"/>
      <c r="E601" s="81">
        <v>40</v>
      </c>
      <c r="F601" s="79" t="s">
        <v>3600</v>
      </c>
      <c r="G601" s="81" t="s">
        <v>3565</v>
      </c>
      <c r="H601" s="81">
        <v>5</v>
      </c>
      <c r="I601" s="78">
        <v>1</v>
      </c>
      <c r="J601" s="83" t="s">
        <v>3566</v>
      </c>
      <c r="K601" s="83" t="s">
        <v>3567</v>
      </c>
      <c r="L601" s="83" t="s">
        <v>3568</v>
      </c>
      <c r="M601" s="83" t="s">
        <v>3569</v>
      </c>
      <c r="N601" s="1"/>
      <c r="O601" s="1"/>
      <c r="P601" s="1"/>
      <c r="Q601" s="1"/>
    </row>
    <row r="602" spans="1:17" s="43" customFormat="1" ht="15" customHeight="1" x14ac:dyDescent="0.25">
      <c r="A602" s="88"/>
      <c r="B602" s="88"/>
      <c r="C602" s="79"/>
      <c r="D602" s="79"/>
      <c r="E602" s="81"/>
      <c r="F602" s="79"/>
      <c r="G602" s="81"/>
      <c r="H602" s="81"/>
      <c r="I602" s="78"/>
      <c r="J602" s="88"/>
      <c r="K602" s="88"/>
      <c r="L602" s="88"/>
      <c r="M602" s="88"/>
      <c r="N602" s="1"/>
      <c r="O602" s="1"/>
      <c r="P602" s="1"/>
      <c r="Q602" s="1"/>
    </row>
    <row r="603" spans="1:17" ht="15" customHeight="1" x14ac:dyDescent="0.25">
      <c r="A603" s="27"/>
      <c r="B603" s="68"/>
      <c r="C603" s="14">
        <v>100</v>
      </c>
      <c r="D603" s="14" t="s">
        <v>2575</v>
      </c>
      <c r="E603" s="14">
        <v>1</v>
      </c>
      <c r="F603" s="14" t="s">
        <v>675</v>
      </c>
      <c r="G603" s="14" t="s">
        <v>2576</v>
      </c>
      <c r="H603" s="14">
        <v>0</v>
      </c>
      <c r="I603" s="14">
        <v>18</v>
      </c>
    </row>
    <row r="604" spans="1:17" ht="15" customHeight="1" x14ac:dyDescent="0.25">
      <c r="A604" s="27"/>
      <c r="B604" s="68"/>
      <c r="C604" s="14"/>
      <c r="D604" s="14" t="s">
        <v>4629</v>
      </c>
      <c r="E604" s="14">
        <v>2</v>
      </c>
      <c r="F604" s="14" t="s">
        <v>676</v>
      </c>
      <c r="G604" s="14" t="s">
        <v>2577</v>
      </c>
      <c r="H604" s="14">
        <v>0</v>
      </c>
      <c r="I604" s="14">
        <v>18</v>
      </c>
    </row>
    <row r="605" spans="1:17" ht="15" customHeight="1" x14ac:dyDescent="0.25">
      <c r="A605" s="27"/>
      <c r="B605" s="68"/>
      <c r="C605" s="14"/>
      <c r="D605" s="14" t="s">
        <v>8972</v>
      </c>
      <c r="E605" s="14">
        <v>3</v>
      </c>
      <c r="F605" s="14" t="s">
        <v>677</v>
      </c>
      <c r="G605" s="14" t="s">
        <v>2578</v>
      </c>
      <c r="H605" s="14">
        <v>0</v>
      </c>
      <c r="I605" s="14">
        <v>18</v>
      </c>
    </row>
    <row r="606" spans="1:17" ht="15" customHeight="1" x14ac:dyDescent="0.25">
      <c r="A606" s="27"/>
      <c r="B606" s="68"/>
      <c r="C606" s="14"/>
      <c r="D606" s="14"/>
      <c r="E606" s="14">
        <v>4</v>
      </c>
      <c r="F606" s="14" t="s">
        <v>678</v>
      </c>
      <c r="G606" s="14" t="s">
        <v>2579</v>
      </c>
      <c r="H606" s="14">
        <v>0</v>
      </c>
      <c r="I606" s="14">
        <v>18</v>
      </c>
    </row>
    <row r="607" spans="1:17" ht="15" customHeight="1" x14ac:dyDescent="0.25">
      <c r="A607" s="27"/>
      <c r="B607" s="68"/>
      <c r="C607" s="14"/>
      <c r="D607" s="14"/>
      <c r="E607" s="14">
        <v>5</v>
      </c>
      <c r="F607" s="14" t="s">
        <v>679</v>
      </c>
      <c r="G607" s="14" t="s">
        <v>2580</v>
      </c>
      <c r="H607" s="14">
        <v>0</v>
      </c>
      <c r="I607" s="14">
        <v>18</v>
      </c>
    </row>
    <row r="608" spans="1:17" ht="15" customHeight="1" x14ac:dyDescent="0.25">
      <c r="A608" s="27"/>
      <c r="B608" s="68"/>
      <c r="C608" s="14"/>
      <c r="D608" s="14"/>
      <c r="E608" s="14">
        <v>6</v>
      </c>
      <c r="F608" s="14" t="s">
        <v>680</v>
      </c>
      <c r="G608" s="14" t="s">
        <v>2581</v>
      </c>
      <c r="H608" s="14">
        <v>0</v>
      </c>
      <c r="I608" s="14">
        <v>18</v>
      </c>
    </row>
    <row r="609" spans="1:9" ht="15" customHeight="1" x14ac:dyDescent="0.25">
      <c r="A609" s="27"/>
      <c r="B609" s="68"/>
      <c r="C609" s="14"/>
      <c r="D609" s="14"/>
      <c r="E609" s="14">
        <v>7</v>
      </c>
      <c r="F609" s="14" t="s">
        <v>61</v>
      </c>
      <c r="G609" s="14" t="s">
        <v>2582</v>
      </c>
      <c r="H609" s="14">
        <v>0</v>
      </c>
      <c r="I609" s="14">
        <v>18</v>
      </c>
    </row>
    <row r="610" spans="1:9" ht="15" customHeight="1" x14ac:dyDescent="0.25">
      <c r="A610" s="27"/>
      <c r="B610" s="68"/>
      <c r="C610" s="14"/>
      <c r="D610" s="14"/>
      <c r="E610" s="14">
        <v>8</v>
      </c>
      <c r="F610" s="14" t="s">
        <v>62</v>
      </c>
      <c r="G610" s="14" t="s">
        <v>2583</v>
      </c>
      <c r="H610" s="14">
        <v>0</v>
      </c>
      <c r="I610" s="14">
        <v>18</v>
      </c>
    </row>
    <row r="611" spans="1:9" ht="15" customHeight="1" x14ac:dyDescent="0.25">
      <c r="A611" s="27"/>
      <c r="B611" s="68"/>
      <c r="C611" s="14"/>
      <c r="D611" s="14"/>
      <c r="E611" s="14">
        <v>9</v>
      </c>
      <c r="F611" s="14" t="s">
        <v>63</v>
      </c>
      <c r="G611" s="14" t="s">
        <v>2584</v>
      </c>
      <c r="H611" s="14">
        <v>0</v>
      </c>
      <c r="I611" s="14">
        <v>18</v>
      </c>
    </row>
    <row r="612" spans="1:9" ht="15" customHeight="1" x14ac:dyDescent="0.25">
      <c r="A612" s="27"/>
      <c r="B612" s="68"/>
      <c r="C612" s="14"/>
      <c r="D612" s="14"/>
      <c r="E612" s="14">
        <v>10</v>
      </c>
      <c r="F612" s="14" t="s">
        <v>64</v>
      </c>
      <c r="G612" s="14" t="s">
        <v>2585</v>
      </c>
      <c r="H612" s="14">
        <v>0</v>
      </c>
      <c r="I612" s="14">
        <v>18</v>
      </c>
    </row>
    <row r="613" spans="1:9" ht="15" customHeight="1" x14ac:dyDescent="0.25">
      <c r="A613" s="27"/>
      <c r="B613" s="68"/>
      <c r="C613" s="14"/>
      <c r="D613" s="14"/>
      <c r="E613" s="14">
        <v>11</v>
      </c>
      <c r="F613" s="15" t="s">
        <v>65</v>
      </c>
      <c r="G613" s="14" t="s">
        <v>1875</v>
      </c>
      <c r="H613" s="14">
        <v>0</v>
      </c>
      <c r="I613" s="14">
        <v>18</v>
      </c>
    </row>
    <row r="614" spans="1:9" ht="15" customHeight="1" x14ac:dyDescent="0.25">
      <c r="A614" s="27"/>
      <c r="B614" s="68"/>
      <c r="C614" s="14"/>
      <c r="D614" s="14"/>
      <c r="E614" s="14">
        <v>12</v>
      </c>
      <c r="F614" s="15" t="s">
        <v>66</v>
      </c>
      <c r="G614" s="14" t="s">
        <v>1876</v>
      </c>
      <c r="H614" s="14">
        <v>0</v>
      </c>
      <c r="I614" s="14">
        <v>18</v>
      </c>
    </row>
    <row r="615" spans="1:9" ht="15" customHeight="1" x14ac:dyDescent="0.25">
      <c r="A615" s="27"/>
      <c r="B615" s="68"/>
      <c r="C615" s="14"/>
      <c r="D615" s="14"/>
      <c r="E615" s="14">
        <v>13</v>
      </c>
      <c r="F615" s="15" t="s">
        <v>1254</v>
      </c>
      <c r="G615" s="14" t="s">
        <v>1877</v>
      </c>
      <c r="H615" s="14">
        <v>0</v>
      </c>
      <c r="I615" s="14">
        <v>18</v>
      </c>
    </row>
    <row r="616" spans="1:9" ht="15" customHeight="1" x14ac:dyDescent="0.25">
      <c r="A616" s="27"/>
      <c r="B616" s="68"/>
      <c r="C616" s="14"/>
      <c r="D616" s="14"/>
      <c r="E616" s="14">
        <v>14</v>
      </c>
      <c r="F616" s="15" t="s">
        <v>1255</v>
      </c>
      <c r="G616" s="14" t="s">
        <v>1878</v>
      </c>
      <c r="H616" s="14">
        <v>0</v>
      </c>
      <c r="I616" s="14">
        <v>18</v>
      </c>
    </row>
    <row r="617" spans="1:9" ht="15" customHeight="1" x14ac:dyDescent="0.25">
      <c r="A617" s="27"/>
      <c r="B617" s="68"/>
      <c r="C617" s="14"/>
      <c r="D617" s="14"/>
      <c r="E617" s="14">
        <v>15</v>
      </c>
      <c r="F617" s="15" t="s">
        <v>1256</v>
      </c>
      <c r="G617" s="14" t="s">
        <v>1879</v>
      </c>
      <c r="H617" s="14">
        <v>0</v>
      </c>
      <c r="I617" s="14">
        <v>18</v>
      </c>
    </row>
    <row r="618" spans="1:9" ht="15" customHeight="1" x14ac:dyDescent="0.25">
      <c r="A618" s="27"/>
      <c r="B618" s="68"/>
      <c r="C618" s="14"/>
      <c r="D618" s="14"/>
      <c r="E618" s="14">
        <v>16</v>
      </c>
      <c r="F618" s="15" t="s">
        <v>1257</v>
      </c>
      <c r="G618" s="14" t="s">
        <v>1880</v>
      </c>
      <c r="H618" s="14">
        <v>0</v>
      </c>
      <c r="I618" s="14">
        <v>18</v>
      </c>
    </row>
    <row r="619" spans="1:9" ht="15" customHeight="1" x14ac:dyDescent="0.25">
      <c r="A619" s="27"/>
      <c r="B619" s="68"/>
      <c r="C619" s="14"/>
      <c r="D619" s="14"/>
      <c r="E619" s="14">
        <v>17</v>
      </c>
      <c r="F619" s="15" t="s">
        <v>1258</v>
      </c>
      <c r="G619" s="14" t="s">
        <v>1881</v>
      </c>
      <c r="H619" s="14">
        <v>0</v>
      </c>
      <c r="I619" s="14">
        <v>18</v>
      </c>
    </row>
    <row r="620" spans="1:9" ht="15" customHeight="1" x14ac:dyDescent="0.25">
      <c r="A620" s="27"/>
      <c r="B620" s="68"/>
      <c r="C620" s="14"/>
      <c r="D620" s="14"/>
      <c r="E620" s="14">
        <v>18</v>
      </c>
      <c r="F620" s="15" t="s">
        <v>1259</v>
      </c>
      <c r="G620" s="14" t="s">
        <v>1882</v>
      </c>
      <c r="H620" s="14">
        <v>0</v>
      </c>
      <c r="I620" s="14">
        <v>18</v>
      </c>
    </row>
    <row r="621" spans="1:9" ht="15" customHeight="1" x14ac:dyDescent="0.25">
      <c r="A621" s="27"/>
      <c r="B621" s="68"/>
      <c r="C621" s="14"/>
      <c r="D621" s="14"/>
      <c r="E621" s="14">
        <v>19</v>
      </c>
      <c r="F621" s="15" t="s">
        <v>1260</v>
      </c>
      <c r="G621" s="14" t="s">
        <v>1883</v>
      </c>
      <c r="H621" s="14">
        <v>0</v>
      </c>
      <c r="I621" s="14">
        <v>20</v>
      </c>
    </row>
    <row r="622" spans="1:9" ht="15" customHeight="1" x14ac:dyDescent="0.25">
      <c r="A622" s="27"/>
      <c r="B622" s="68"/>
      <c r="C622" s="14"/>
      <c r="D622" s="14"/>
      <c r="E622" s="14">
        <v>20</v>
      </c>
      <c r="F622" s="15" t="s">
        <v>1261</v>
      </c>
      <c r="G622" s="14" t="s">
        <v>1884</v>
      </c>
      <c r="H622" s="14">
        <v>0</v>
      </c>
      <c r="I622" s="14">
        <v>20</v>
      </c>
    </row>
    <row r="623" spans="1:9" ht="15" customHeight="1" x14ac:dyDescent="0.25">
      <c r="A623" s="27"/>
      <c r="B623" s="68"/>
      <c r="C623" s="14"/>
      <c r="D623" s="14"/>
      <c r="E623" s="14">
        <v>21</v>
      </c>
      <c r="F623" s="15" t="s">
        <v>1262</v>
      </c>
      <c r="G623" s="14" t="s">
        <v>1885</v>
      </c>
      <c r="H623" s="14">
        <v>0</v>
      </c>
      <c r="I623" s="14">
        <v>20</v>
      </c>
    </row>
    <row r="624" spans="1:9" ht="15" customHeight="1" x14ac:dyDescent="0.25">
      <c r="A624" s="27"/>
      <c r="B624" s="68"/>
      <c r="C624" s="14"/>
      <c r="D624" s="14"/>
      <c r="E624" s="14">
        <v>22</v>
      </c>
      <c r="F624" s="15" t="s">
        <v>1263</v>
      </c>
      <c r="G624" s="14" t="s">
        <v>1886</v>
      </c>
      <c r="H624" s="14">
        <v>0</v>
      </c>
      <c r="I624" s="14">
        <v>20</v>
      </c>
    </row>
    <row r="625" spans="1:9" ht="15" customHeight="1" x14ac:dyDescent="0.25">
      <c r="A625" s="27"/>
      <c r="B625" s="68"/>
      <c r="C625" s="14"/>
      <c r="D625" s="14"/>
      <c r="E625" s="14">
        <v>23</v>
      </c>
      <c r="F625" s="15" t="s">
        <v>1264</v>
      </c>
      <c r="G625" s="14" t="s">
        <v>1887</v>
      </c>
      <c r="H625" s="14">
        <v>0</v>
      </c>
      <c r="I625" s="14">
        <v>20</v>
      </c>
    </row>
    <row r="626" spans="1:9" ht="15" customHeight="1" x14ac:dyDescent="0.25">
      <c r="A626" s="27"/>
      <c r="B626" s="68"/>
      <c r="C626" s="16"/>
      <c r="D626" s="16"/>
      <c r="E626" s="14">
        <v>24</v>
      </c>
      <c r="F626" s="15" t="s">
        <v>1265</v>
      </c>
      <c r="G626" s="14" t="s">
        <v>1888</v>
      </c>
      <c r="H626" s="14">
        <v>0</v>
      </c>
      <c r="I626" s="14">
        <v>20</v>
      </c>
    </row>
    <row r="627" spans="1:9" ht="15" customHeight="1" x14ac:dyDescent="0.25">
      <c r="A627" s="27"/>
      <c r="B627" s="68"/>
      <c r="C627" s="16"/>
      <c r="D627" s="16"/>
      <c r="E627" s="14">
        <v>25</v>
      </c>
      <c r="F627" s="15" t="s">
        <v>1266</v>
      </c>
      <c r="G627" s="14" t="s">
        <v>1889</v>
      </c>
      <c r="H627" s="14">
        <v>0</v>
      </c>
      <c r="I627" s="14">
        <v>20</v>
      </c>
    </row>
    <row r="628" spans="1:9" ht="15" customHeight="1" x14ac:dyDescent="0.25">
      <c r="A628" s="27"/>
      <c r="B628" s="68"/>
      <c r="C628" s="16"/>
      <c r="D628" s="16"/>
      <c r="E628" s="14">
        <v>26</v>
      </c>
      <c r="F628" s="15" t="s">
        <v>1267</v>
      </c>
      <c r="G628" s="14" t="s">
        <v>1890</v>
      </c>
      <c r="H628" s="14">
        <v>0</v>
      </c>
      <c r="I628" s="14">
        <v>20</v>
      </c>
    </row>
    <row r="629" spans="1:9" ht="15" customHeight="1" x14ac:dyDescent="0.25">
      <c r="A629" s="27"/>
      <c r="B629" s="68"/>
      <c r="C629" s="16"/>
      <c r="D629" s="16"/>
      <c r="E629" s="14">
        <v>27</v>
      </c>
      <c r="F629" s="15" t="s">
        <v>1268</v>
      </c>
      <c r="G629" s="14" t="s">
        <v>1891</v>
      </c>
      <c r="H629" s="14">
        <v>0</v>
      </c>
      <c r="I629" s="14">
        <v>20</v>
      </c>
    </row>
    <row r="630" spans="1:9" ht="15" customHeight="1" x14ac:dyDescent="0.25">
      <c r="A630" s="27"/>
      <c r="B630" s="68"/>
      <c r="C630" s="16"/>
      <c r="D630" s="16"/>
      <c r="E630" s="14">
        <v>28</v>
      </c>
      <c r="F630" s="15" t="s">
        <v>1269</v>
      </c>
      <c r="G630" s="14" t="s">
        <v>1892</v>
      </c>
      <c r="H630" s="14">
        <v>0</v>
      </c>
      <c r="I630" s="14">
        <v>20</v>
      </c>
    </row>
    <row r="631" spans="1:9" ht="15" customHeight="1" x14ac:dyDescent="0.25">
      <c r="A631" s="27"/>
      <c r="B631" s="68"/>
      <c r="C631" s="16"/>
      <c r="D631" s="16"/>
      <c r="E631" s="14">
        <v>29</v>
      </c>
      <c r="F631" s="15" t="s">
        <v>1270</v>
      </c>
      <c r="G631" s="14" t="s">
        <v>1893</v>
      </c>
      <c r="H631" s="14">
        <v>0</v>
      </c>
      <c r="I631" s="14">
        <v>20</v>
      </c>
    </row>
    <row r="632" spans="1:9" ht="15" customHeight="1" x14ac:dyDescent="0.25">
      <c r="A632" s="27"/>
      <c r="B632" s="68"/>
      <c r="C632" s="16"/>
      <c r="D632" s="16"/>
      <c r="E632" s="14">
        <v>30</v>
      </c>
      <c r="F632" s="15" t="s">
        <v>1271</v>
      </c>
      <c r="G632" s="14" t="s">
        <v>1894</v>
      </c>
      <c r="H632" s="14">
        <v>0</v>
      </c>
      <c r="I632" s="14">
        <v>20</v>
      </c>
    </row>
    <row r="633" spans="1:9" x14ac:dyDescent="0.25">
      <c r="A633" s="27"/>
      <c r="B633" s="68"/>
      <c r="C633" s="16"/>
      <c r="D633" s="16"/>
      <c r="E633" s="14">
        <v>31</v>
      </c>
      <c r="F633" s="15" t="s">
        <v>1272</v>
      </c>
      <c r="G633" s="14" t="s">
        <v>1895</v>
      </c>
      <c r="H633" s="14">
        <v>0</v>
      </c>
      <c r="I633" s="14">
        <v>20</v>
      </c>
    </row>
    <row r="634" spans="1:9" x14ac:dyDescent="0.25">
      <c r="A634" s="27"/>
      <c r="B634" s="68"/>
      <c r="C634" s="16"/>
      <c r="D634" s="16"/>
      <c r="E634" s="14">
        <v>32</v>
      </c>
      <c r="F634" s="15" t="s">
        <v>1273</v>
      </c>
      <c r="G634" s="14" t="s">
        <v>1896</v>
      </c>
      <c r="H634" s="14">
        <v>0</v>
      </c>
      <c r="I634" s="14">
        <v>20</v>
      </c>
    </row>
    <row r="635" spans="1:9" x14ac:dyDescent="0.25">
      <c r="A635" s="27"/>
      <c r="B635" s="68"/>
      <c r="C635" s="16"/>
      <c r="D635" s="16"/>
      <c r="E635" s="14">
        <v>33</v>
      </c>
      <c r="F635" s="15" t="s">
        <v>1274</v>
      </c>
      <c r="G635" s="14" t="s">
        <v>1897</v>
      </c>
      <c r="H635" s="14">
        <v>0</v>
      </c>
      <c r="I635" s="14">
        <v>20</v>
      </c>
    </row>
    <row r="636" spans="1:9" x14ac:dyDescent="0.25">
      <c r="A636" s="27"/>
      <c r="B636" s="68"/>
      <c r="C636" s="16"/>
      <c r="D636" s="16"/>
      <c r="E636" s="14">
        <v>34</v>
      </c>
      <c r="F636" s="15" t="s">
        <v>1275</v>
      </c>
      <c r="G636" s="14" t="s">
        <v>1898</v>
      </c>
      <c r="H636" s="14">
        <v>0</v>
      </c>
      <c r="I636" s="14">
        <v>20</v>
      </c>
    </row>
    <row r="637" spans="1:9" x14ac:dyDescent="0.25">
      <c r="A637" s="27"/>
      <c r="B637" s="68"/>
      <c r="C637" s="16"/>
      <c r="D637" s="16"/>
      <c r="E637" s="14">
        <v>35</v>
      </c>
      <c r="F637" s="15" t="s">
        <v>1276</v>
      </c>
      <c r="G637" s="14" t="s">
        <v>1899</v>
      </c>
      <c r="H637" s="14">
        <v>0</v>
      </c>
      <c r="I637" s="14">
        <v>20</v>
      </c>
    </row>
    <row r="638" spans="1:9" x14ac:dyDescent="0.25">
      <c r="A638" s="27"/>
      <c r="B638" s="68"/>
      <c r="C638" s="16"/>
      <c r="D638" s="16"/>
      <c r="E638" s="14">
        <v>36</v>
      </c>
      <c r="F638" s="15" t="s">
        <v>1277</v>
      </c>
      <c r="G638" s="14" t="s">
        <v>1900</v>
      </c>
      <c r="H638" s="14">
        <v>0</v>
      </c>
      <c r="I638" s="14">
        <v>20</v>
      </c>
    </row>
    <row r="639" spans="1:9" x14ac:dyDescent="0.25">
      <c r="A639" s="27"/>
      <c r="B639" s="68"/>
      <c r="C639" s="16"/>
      <c r="D639" s="16"/>
      <c r="E639" s="14">
        <v>37</v>
      </c>
      <c r="F639" s="15" t="s">
        <v>1278</v>
      </c>
      <c r="G639" s="14" t="s">
        <v>1901</v>
      </c>
      <c r="H639" s="14">
        <v>0</v>
      </c>
      <c r="I639" s="14">
        <v>20</v>
      </c>
    </row>
    <row r="640" spans="1:9" x14ac:dyDescent="0.25">
      <c r="A640" s="27"/>
      <c r="B640" s="68"/>
      <c r="C640" s="51"/>
      <c r="D640" s="16"/>
      <c r="E640" s="14">
        <v>38</v>
      </c>
      <c r="F640" s="15" t="s">
        <v>1279</v>
      </c>
      <c r="G640" s="14" t="s">
        <v>1902</v>
      </c>
      <c r="H640" s="14">
        <v>0</v>
      </c>
      <c r="I640" s="14">
        <v>20</v>
      </c>
    </row>
    <row r="641" spans="1:9" x14ac:dyDescent="0.25">
      <c r="A641" s="27"/>
      <c r="B641" s="68"/>
      <c r="C641" s="51"/>
      <c r="D641" s="16"/>
      <c r="E641" s="14">
        <v>39</v>
      </c>
      <c r="F641" s="15" t="s">
        <v>1280</v>
      </c>
      <c r="G641" s="14" t="s">
        <v>1903</v>
      </c>
      <c r="H641" s="14">
        <v>0</v>
      </c>
      <c r="I641" s="14">
        <v>20</v>
      </c>
    </row>
    <row r="642" spans="1:9" x14ac:dyDescent="0.25">
      <c r="A642" s="27"/>
      <c r="B642" s="68"/>
      <c r="C642" s="51"/>
      <c r="D642" s="16"/>
      <c r="E642" s="14">
        <v>40</v>
      </c>
      <c r="F642" s="15" t="s">
        <v>1281</v>
      </c>
      <c r="G642" s="14" t="s">
        <v>1904</v>
      </c>
      <c r="H642" s="14">
        <v>0</v>
      </c>
      <c r="I642" s="14">
        <v>20</v>
      </c>
    </row>
    <row r="643" spans="1:9" x14ac:dyDescent="0.25">
      <c r="A643" s="30"/>
      <c r="B643" s="27"/>
      <c r="C643" s="28">
        <v>101</v>
      </c>
      <c r="D643" s="28" t="s">
        <v>1253</v>
      </c>
      <c r="E643" s="28">
        <v>1</v>
      </c>
      <c r="F643" s="29" t="s">
        <v>675</v>
      </c>
      <c r="G643" s="28" t="s">
        <v>1282</v>
      </c>
      <c r="H643" s="28">
        <v>0</v>
      </c>
      <c r="I643" s="28">
        <v>18</v>
      </c>
    </row>
    <row r="644" spans="1:9" x14ac:dyDescent="0.25">
      <c r="A644" s="30"/>
      <c r="B644" s="27"/>
      <c r="C644" s="28"/>
      <c r="D644" s="28" t="s">
        <v>4629</v>
      </c>
      <c r="E644" s="28">
        <v>2</v>
      </c>
      <c r="F644" s="29" t="s">
        <v>676</v>
      </c>
      <c r="G644" s="28" t="s">
        <v>1283</v>
      </c>
      <c r="H644" s="28">
        <v>0</v>
      </c>
      <c r="I644" s="28">
        <v>18</v>
      </c>
    </row>
    <row r="645" spans="1:9" x14ac:dyDescent="0.25">
      <c r="A645" s="30"/>
      <c r="B645" s="27"/>
      <c r="C645" s="28"/>
      <c r="D645" s="28" t="s">
        <v>8972</v>
      </c>
      <c r="E645" s="28">
        <v>3</v>
      </c>
      <c r="F645" s="29" t="s">
        <v>677</v>
      </c>
      <c r="G645" s="28" t="s">
        <v>1284</v>
      </c>
      <c r="H645" s="28">
        <v>0</v>
      </c>
      <c r="I645" s="28">
        <v>18</v>
      </c>
    </row>
    <row r="646" spans="1:9" x14ac:dyDescent="0.25">
      <c r="A646" s="30"/>
      <c r="B646" s="43"/>
      <c r="C646" s="28"/>
      <c r="D646" s="28"/>
      <c r="E646" s="28">
        <v>4</v>
      </c>
      <c r="F646" s="29" t="s">
        <v>678</v>
      </c>
      <c r="G646" s="28" t="s">
        <v>1285</v>
      </c>
      <c r="H646" s="28">
        <v>0</v>
      </c>
      <c r="I646" s="28">
        <v>18</v>
      </c>
    </row>
    <row r="647" spans="1:9" x14ac:dyDescent="0.25">
      <c r="A647" s="30"/>
      <c r="B647" s="27"/>
      <c r="C647" s="28"/>
      <c r="D647" s="28"/>
      <c r="E647" s="28">
        <v>5</v>
      </c>
      <c r="F647" s="29" t="s">
        <v>679</v>
      </c>
      <c r="G647" s="28" t="s">
        <v>1286</v>
      </c>
      <c r="H647" s="28">
        <v>0</v>
      </c>
      <c r="I647" s="28">
        <v>18</v>
      </c>
    </row>
    <row r="648" spans="1:9" x14ac:dyDescent="0.25">
      <c r="A648" s="30"/>
      <c r="B648" s="27"/>
      <c r="C648" s="28"/>
      <c r="D648" s="28"/>
      <c r="E648" s="28">
        <v>6</v>
      </c>
      <c r="F648" s="29" t="s">
        <v>680</v>
      </c>
      <c r="G648" s="28" t="s">
        <v>1287</v>
      </c>
      <c r="H648" s="28">
        <v>0</v>
      </c>
      <c r="I648" s="28">
        <v>18</v>
      </c>
    </row>
    <row r="649" spans="1:9" x14ac:dyDescent="0.25">
      <c r="A649" s="30"/>
      <c r="B649" s="27"/>
      <c r="C649" s="28"/>
      <c r="D649" s="28"/>
      <c r="E649" s="28">
        <v>7</v>
      </c>
      <c r="F649" s="29" t="s">
        <v>61</v>
      </c>
      <c r="G649" s="28" t="s">
        <v>1288</v>
      </c>
      <c r="H649" s="28">
        <v>0</v>
      </c>
      <c r="I649" s="28">
        <v>18</v>
      </c>
    </row>
    <row r="650" spans="1:9" x14ac:dyDescent="0.25">
      <c r="A650" s="30"/>
      <c r="B650" s="27"/>
      <c r="C650" s="28"/>
      <c r="D650" s="28"/>
      <c r="E650" s="28">
        <v>8</v>
      </c>
      <c r="F650" s="29" t="s">
        <v>62</v>
      </c>
      <c r="G650" s="28" t="s">
        <v>1289</v>
      </c>
      <c r="H650" s="28">
        <v>0</v>
      </c>
      <c r="I650" s="28">
        <v>18</v>
      </c>
    </row>
    <row r="651" spans="1:9" x14ac:dyDescent="0.25">
      <c r="A651" s="30"/>
      <c r="B651" s="27"/>
      <c r="C651" s="28"/>
      <c r="D651" s="28"/>
      <c r="E651" s="28">
        <v>9</v>
      </c>
      <c r="F651" s="29" t="s">
        <v>63</v>
      </c>
      <c r="G651" s="28" t="s">
        <v>1290</v>
      </c>
      <c r="H651" s="28">
        <v>0</v>
      </c>
      <c r="I651" s="28">
        <v>18</v>
      </c>
    </row>
    <row r="652" spans="1:9" x14ac:dyDescent="0.25">
      <c r="A652" s="30"/>
      <c r="B652" s="27"/>
      <c r="C652" s="28"/>
      <c r="D652" s="28"/>
      <c r="E652" s="28">
        <v>10</v>
      </c>
      <c r="F652" s="29" t="s">
        <v>64</v>
      </c>
      <c r="G652" s="28" t="s">
        <v>1291</v>
      </c>
      <c r="H652" s="28">
        <v>0</v>
      </c>
      <c r="I652" s="28">
        <v>18</v>
      </c>
    </row>
    <row r="653" spans="1:9" x14ac:dyDescent="0.25">
      <c r="A653" s="30"/>
      <c r="B653" s="27"/>
      <c r="C653" s="28"/>
      <c r="D653" s="28"/>
      <c r="E653" s="28">
        <v>11</v>
      </c>
      <c r="F653" s="29" t="s">
        <v>65</v>
      </c>
      <c r="G653" s="28" t="s">
        <v>1292</v>
      </c>
      <c r="H653" s="28">
        <v>0</v>
      </c>
      <c r="I653" s="28">
        <v>18</v>
      </c>
    </row>
    <row r="654" spans="1:9" x14ac:dyDescent="0.25">
      <c r="A654" s="30"/>
      <c r="B654" s="27"/>
      <c r="C654" s="28"/>
      <c r="D654" s="28"/>
      <c r="E654" s="28">
        <v>12</v>
      </c>
      <c r="F654" s="29" t="s">
        <v>66</v>
      </c>
      <c r="G654" s="28" t="s">
        <v>1293</v>
      </c>
      <c r="H654" s="28">
        <v>0</v>
      </c>
      <c r="I654" s="28">
        <v>18</v>
      </c>
    </row>
    <row r="655" spans="1:9" x14ac:dyDescent="0.25">
      <c r="A655" s="30"/>
      <c r="B655" s="27"/>
      <c r="C655" s="28"/>
      <c r="D655" s="28"/>
      <c r="E655" s="28">
        <v>13</v>
      </c>
      <c r="F655" s="29" t="s">
        <v>1254</v>
      </c>
      <c r="G655" s="28" t="s">
        <v>1294</v>
      </c>
      <c r="H655" s="28">
        <v>0</v>
      </c>
      <c r="I655" s="28">
        <v>18</v>
      </c>
    </row>
    <row r="656" spans="1:9" x14ac:dyDescent="0.25">
      <c r="A656" s="30"/>
      <c r="B656" s="27"/>
      <c r="C656" s="28"/>
      <c r="D656" s="28"/>
      <c r="E656" s="28">
        <v>14</v>
      </c>
      <c r="F656" s="29" t="s">
        <v>1255</v>
      </c>
      <c r="G656" s="28" t="s">
        <v>1295</v>
      </c>
      <c r="H656" s="28">
        <v>0</v>
      </c>
      <c r="I656" s="28">
        <v>18</v>
      </c>
    </row>
    <row r="657" spans="1:9" x14ac:dyDescent="0.25">
      <c r="A657" s="30"/>
      <c r="B657" s="27"/>
      <c r="C657" s="28"/>
      <c r="D657" s="28"/>
      <c r="E657" s="28">
        <v>15</v>
      </c>
      <c r="F657" s="29" t="s">
        <v>1256</v>
      </c>
      <c r="G657" s="28" t="s">
        <v>1296</v>
      </c>
      <c r="H657" s="28">
        <v>0</v>
      </c>
      <c r="I657" s="28">
        <v>18</v>
      </c>
    </row>
    <row r="658" spans="1:9" x14ac:dyDescent="0.25">
      <c r="A658" s="30"/>
      <c r="B658" s="27"/>
      <c r="C658" s="28"/>
      <c r="D658" s="28"/>
      <c r="E658" s="28">
        <v>16</v>
      </c>
      <c r="F658" s="29" t="s">
        <v>1257</v>
      </c>
      <c r="G658" s="28" t="s">
        <v>1297</v>
      </c>
      <c r="H658" s="28">
        <v>0</v>
      </c>
      <c r="I658" s="28">
        <v>18</v>
      </c>
    </row>
    <row r="659" spans="1:9" x14ac:dyDescent="0.25">
      <c r="A659" s="30"/>
      <c r="B659" s="27"/>
      <c r="C659" s="28"/>
      <c r="D659" s="28"/>
      <c r="E659" s="28">
        <v>17</v>
      </c>
      <c r="F659" s="29" t="s">
        <v>1258</v>
      </c>
      <c r="G659" s="28" t="s">
        <v>1298</v>
      </c>
      <c r="H659" s="28">
        <v>0</v>
      </c>
      <c r="I659" s="28">
        <v>18</v>
      </c>
    </row>
    <row r="660" spans="1:9" x14ac:dyDescent="0.25">
      <c r="A660" s="30"/>
      <c r="B660" s="27"/>
      <c r="C660" s="28"/>
      <c r="D660" s="28"/>
      <c r="E660" s="28">
        <v>18</v>
      </c>
      <c r="F660" s="29" t="s">
        <v>1259</v>
      </c>
      <c r="G660" s="28" t="s">
        <v>1299</v>
      </c>
      <c r="H660" s="28">
        <v>0</v>
      </c>
      <c r="I660" s="28">
        <v>18</v>
      </c>
    </row>
    <row r="661" spans="1:9" x14ac:dyDescent="0.25">
      <c r="A661" s="30"/>
      <c r="B661" s="27"/>
      <c r="C661" s="28"/>
      <c r="D661" s="28"/>
      <c r="E661" s="28">
        <v>19</v>
      </c>
      <c r="F661" s="29" t="s">
        <v>1260</v>
      </c>
      <c r="G661" s="28" t="s">
        <v>1300</v>
      </c>
      <c r="H661" s="28">
        <v>0</v>
      </c>
      <c r="I661" s="28">
        <v>20</v>
      </c>
    </row>
    <row r="662" spans="1:9" x14ac:dyDescent="0.25">
      <c r="A662" s="30"/>
      <c r="B662" s="27"/>
      <c r="C662" s="28"/>
      <c r="D662" s="28"/>
      <c r="E662" s="28">
        <v>20</v>
      </c>
      <c r="F662" s="29" t="s">
        <v>1261</v>
      </c>
      <c r="G662" s="28" t="s">
        <v>1301</v>
      </c>
      <c r="H662" s="28">
        <v>0</v>
      </c>
      <c r="I662" s="28">
        <v>20</v>
      </c>
    </row>
    <row r="663" spans="1:9" x14ac:dyDescent="0.25">
      <c r="A663" s="30"/>
      <c r="B663" s="27"/>
      <c r="C663" s="28"/>
      <c r="D663" s="28"/>
      <c r="E663" s="28">
        <v>21</v>
      </c>
      <c r="F663" s="29" t="s">
        <v>1262</v>
      </c>
      <c r="G663" s="28" t="s">
        <v>1302</v>
      </c>
      <c r="H663" s="28">
        <v>0</v>
      </c>
      <c r="I663" s="28">
        <v>20</v>
      </c>
    </row>
    <row r="664" spans="1:9" x14ac:dyDescent="0.25">
      <c r="A664" s="30"/>
      <c r="B664" s="27"/>
      <c r="C664" s="28"/>
      <c r="D664" s="28"/>
      <c r="E664" s="28">
        <v>22</v>
      </c>
      <c r="F664" s="29" t="s">
        <v>1263</v>
      </c>
      <c r="G664" s="28" t="s">
        <v>1303</v>
      </c>
      <c r="H664" s="28">
        <v>0</v>
      </c>
      <c r="I664" s="28">
        <v>20</v>
      </c>
    </row>
    <row r="665" spans="1:9" x14ac:dyDescent="0.25">
      <c r="A665" s="30"/>
      <c r="B665" s="27"/>
      <c r="C665" s="28"/>
      <c r="D665" s="28"/>
      <c r="E665" s="28">
        <v>23</v>
      </c>
      <c r="F665" s="29" t="s">
        <v>1264</v>
      </c>
      <c r="G665" s="28" t="s">
        <v>1304</v>
      </c>
      <c r="H665" s="28">
        <v>0</v>
      </c>
      <c r="I665" s="28">
        <v>20</v>
      </c>
    </row>
    <row r="666" spans="1:9" x14ac:dyDescent="0.25">
      <c r="A666" s="30"/>
      <c r="B666" s="27"/>
      <c r="C666" s="26"/>
      <c r="D666" s="26"/>
      <c r="E666" s="28">
        <v>24</v>
      </c>
      <c r="F666" s="29" t="s">
        <v>1265</v>
      </c>
      <c r="G666" s="28" t="s">
        <v>1321</v>
      </c>
      <c r="H666" s="28">
        <v>0</v>
      </c>
      <c r="I666" s="28">
        <v>20</v>
      </c>
    </row>
    <row r="667" spans="1:9" x14ac:dyDescent="0.25">
      <c r="A667" s="30"/>
      <c r="B667" s="27"/>
      <c r="C667" s="26"/>
      <c r="D667" s="26"/>
      <c r="E667" s="28">
        <v>25</v>
      </c>
      <c r="F667" s="29" t="s">
        <v>1266</v>
      </c>
      <c r="G667" s="28" t="s">
        <v>1305</v>
      </c>
      <c r="H667" s="28">
        <v>0</v>
      </c>
      <c r="I667" s="28">
        <v>20</v>
      </c>
    </row>
    <row r="668" spans="1:9" x14ac:dyDescent="0.25">
      <c r="A668" s="30"/>
      <c r="B668" s="27"/>
      <c r="C668" s="26"/>
      <c r="D668" s="26"/>
      <c r="E668" s="28">
        <v>26</v>
      </c>
      <c r="F668" s="29" t="s">
        <v>1267</v>
      </c>
      <c r="G668" s="28" t="s">
        <v>1306</v>
      </c>
      <c r="H668" s="28">
        <v>0</v>
      </c>
      <c r="I668" s="28">
        <v>20</v>
      </c>
    </row>
    <row r="669" spans="1:9" x14ac:dyDescent="0.25">
      <c r="A669" s="30"/>
      <c r="B669" s="27"/>
      <c r="C669" s="26"/>
      <c r="D669" s="26"/>
      <c r="E669" s="28">
        <v>27</v>
      </c>
      <c r="F669" s="29" t="s">
        <v>1268</v>
      </c>
      <c r="G669" s="28" t="s">
        <v>1307</v>
      </c>
      <c r="H669" s="28">
        <v>0</v>
      </c>
      <c r="I669" s="28">
        <v>20</v>
      </c>
    </row>
    <row r="670" spans="1:9" x14ac:dyDescent="0.25">
      <c r="A670" s="30"/>
      <c r="B670" s="27"/>
      <c r="C670" s="26"/>
      <c r="D670" s="26"/>
      <c r="E670" s="28">
        <v>28</v>
      </c>
      <c r="F670" s="29" t="s">
        <v>1269</v>
      </c>
      <c r="G670" s="28" t="s">
        <v>1308</v>
      </c>
      <c r="H670" s="28">
        <v>0</v>
      </c>
      <c r="I670" s="28">
        <v>20</v>
      </c>
    </row>
    <row r="671" spans="1:9" x14ac:dyDescent="0.25">
      <c r="A671" s="30"/>
      <c r="B671" s="27"/>
      <c r="C671" s="26"/>
      <c r="D671" s="26"/>
      <c r="E671" s="28">
        <v>29</v>
      </c>
      <c r="F671" s="29" t="s">
        <v>1270</v>
      </c>
      <c r="G671" s="28" t="s">
        <v>1309</v>
      </c>
      <c r="H671" s="28">
        <v>0</v>
      </c>
      <c r="I671" s="28">
        <v>20</v>
      </c>
    </row>
    <row r="672" spans="1:9" x14ac:dyDescent="0.25">
      <c r="A672" s="30"/>
      <c r="B672" s="27"/>
      <c r="C672" s="26"/>
      <c r="D672" s="26"/>
      <c r="E672" s="28">
        <v>30</v>
      </c>
      <c r="F672" s="29" t="s">
        <v>1271</v>
      </c>
      <c r="G672" s="28" t="s">
        <v>1310</v>
      </c>
      <c r="H672" s="28">
        <v>0</v>
      </c>
      <c r="I672" s="28">
        <v>20</v>
      </c>
    </row>
    <row r="673" spans="1:9" ht="15" customHeight="1" x14ac:dyDescent="0.25">
      <c r="A673" s="30"/>
      <c r="B673" s="27"/>
      <c r="C673" s="26"/>
      <c r="D673" s="26"/>
      <c r="E673" s="28">
        <v>31</v>
      </c>
      <c r="F673" s="29" t="s">
        <v>1272</v>
      </c>
      <c r="G673" s="28" t="s">
        <v>1311</v>
      </c>
      <c r="H673" s="28">
        <v>0</v>
      </c>
      <c r="I673" s="28">
        <v>20</v>
      </c>
    </row>
    <row r="674" spans="1:9" ht="15" customHeight="1" x14ac:dyDescent="0.25">
      <c r="A674" s="30"/>
      <c r="B674" s="27"/>
      <c r="C674" s="26"/>
      <c r="D674" s="26"/>
      <c r="E674" s="28">
        <v>32</v>
      </c>
      <c r="F674" s="29" t="s">
        <v>1273</v>
      </c>
      <c r="G674" s="28" t="s">
        <v>1312</v>
      </c>
      <c r="H674" s="28">
        <v>0</v>
      </c>
      <c r="I674" s="28">
        <v>20</v>
      </c>
    </row>
    <row r="675" spans="1:9" ht="15" customHeight="1" x14ac:dyDescent="0.25">
      <c r="A675" s="30"/>
      <c r="B675" s="27"/>
      <c r="C675" s="26"/>
      <c r="D675" s="26"/>
      <c r="E675" s="28">
        <v>33</v>
      </c>
      <c r="F675" s="29" t="s">
        <v>1274</v>
      </c>
      <c r="G675" s="28" t="s">
        <v>1313</v>
      </c>
      <c r="H675" s="28">
        <v>0</v>
      </c>
      <c r="I675" s="28">
        <v>20</v>
      </c>
    </row>
    <row r="676" spans="1:9" x14ac:dyDescent="0.25">
      <c r="A676" s="30"/>
      <c r="B676" s="27"/>
      <c r="C676" s="26"/>
      <c r="D676" s="26"/>
      <c r="E676" s="28">
        <v>34</v>
      </c>
      <c r="F676" s="29" t="s">
        <v>1275</v>
      </c>
      <c r="G676" s="28" t="s">
        <v>1314</v>
      </c>
      <c r="H676" s="28">
        <v>0</v>
      </c>
      <c r="I676" s="28">
        <v>20</v>
      </c>
    </row>
    <row r="677" spans="1:9" x14ac:dyDescent="0.25">
      <c r="A677" s="30"/>
      <c r="B677" s="27"/>
      <c r="C677" s="26"/>
      <c r="D677" s="26"/>
      <c r="E677" s="28">
        <v>35</v>
      </c>
      <c r="F677" s="29" t="s">
        <v>1276</v>
      </c>
      <c r="G677" s="28" t="s">
        <v>1315</v>
      </c>
      <c r="H677" s="28">
        <v>0</v>
      </c>
      <c r="I677" s="28">
        <v>20</v>
      </c>
    </row>
    <row r="678" spans="1:9" x14ac:dyDescent="0.25">
      <c r="A678" s="30"/>
      <c r="B678" s="27"/>
      <c r="C678" s="26"/>
      <c r="D678" s="26"/>
      <c r="E678" s="28">
        <v>36</v>
      </c>
      <c r="F678" s="29" t="s">
        <v>1277</v>
      </c>
      <c r="G678" s="28" t="s">
        <v>1316</v>
      </c>
      <c r="H678" s="28">
        <v>0</v>
      </c>
      <c r="I678" s="28">
        <v>20</v>
      </c>
    </row>
    <row r="679" spans="1:9" x14ac:dyDescent="0.25">
      <c r="A679" s="30"/>
      <c r="B679" s="27"/>
      <c r="C679" s="26"/>
      <c r="D679" s="26"/>
      <c r="E679" s="28">
        <v>37</v>
      </c>
      <c r="F679" s="29" t="s">
        <v>1278</v>
      </c>
      <c r="G679" s="28" t="s">
        <v>1317</v>
      </c>
      <c r="H679" s="28">
        <v>0</v>
      </c>
      <c r="I679" s="28">
        <v>20</v>
      </c>
    </row>
    <row r="680" spans="1:9" x14ac:dyDescent="0.25">
      <c r="A680" s="30"/>
      <c r="B680" s="27"/>
      <c r="C680" s="26"/>
      <c r="D680" s="26"/>
      <c r="E680" s="28">
        <v>38</v>
      </c>
      <c r="F680" s="29" t="s">
        <v>1279</v>
      </c>
      <c r="G680" s="28" t="s">
        <v>1318</v>
      </c>
      <c r="H680" s="28">
        <v>0</v>
      </c>
      <c r="I680" s="28">
        <v>20</v>
      </c>
    </row>
    <row r="681" spans="1:9" x14ac:dyDescent="0.25">
      <c r="A681" s="30"/>
      <c r="B681" s="27"/>
      <c r="C681" s="26"/>
      <c r="D681" s="26"/>
      <c r="E681" s="28">
        <v>39</v>
      </c>
      <c r="F681" s="29" t="s">
        <v>1280</v>
      </c>
      <c r="G681" s="28" t="s">
        <v>1319</v>
      </c>
      <c r="H681" s="28">
        <v>0</v>
      </c>
      <c r="I681" s="28">
        <v>20</v>
      </c>
    </row>
    <row r="682" spans="1:9" x14ac:dyDescent="0.25">
      <c r="A682" s="30"/>
      <c r="B682" s="27"/>
      <c r="C682" s="26"/>
      <c r="D682" s="26"/>
      <c r="E682" s="28">
        <v>40</v>
      </c>
      <c r="F682" s="29" t="s">
        <v>1281</v>
      </c>
      <c r="G682" s="28" t="s">
        <v>1320</v>
      </c>
      <c r="H682" s="28">
        <v>0</v>
      </c>
      <c r="I682" s="28">
        <v>20</v>
      </c>
    </row>
    <row r="683" spans="1:9" x14ac:dyDescent="0.25">
      <c r="B683" s="30"/>
      <c r="C683" s="30">
        <v>102</v>
      </c>
      <c r="D683" s="31" t="s">
        <v>1322</v>
      </c>
      <c r="E683" s="31">
        <v>1</v>
      </c>
      <c r="F683" s="32" t="s">
        <v>675</v>
      </c>
      <c r="G683" s="31" t="s">
        <v>1323</v>
      </c>
      <c r="H683" s="31">
        <v>0</v>
      </c>
      <c r="I683" s="31">
        <v>18</v>
      </c>
    </row>
    <row r="684" spans="1:9" x14ac:dyDescent="0.25">
      <c r="B684" s="30"/>
      <c r="C684" s="30"/>
      <c r="D684" s="31" t="s">
        <v>4629</v>
      </c>
      <c r="E684" s="31">
        <v>2</v>
      </c>
      <c r="F684" s="32" t="s">
        <v>676</v>
      </c>
      <c r="G684" s="31" t="s">
        <v>1324</v>
      </c>
      <c r="H684" s="31">
        <v>0</v>
      </c>
      <c r="I684" s="31">
        <v>18</v>
      </c>
    </row>
    <row r="685" spans="1:9" x14ac:dyDescent="0.25">
      <c r="B685" s="30"/>
      <c r="C685" s="30"/>
      <c r="D685" s="31" t="s">
        <v>8972</v>
      </c>
      <c r="E685" s="31">
        <v>3</v>
      </c>
      <c r="F685" s="32" t="s">
        <v>677</v>
      </c>
      <c r="G685" s="31" t="s">
        <v>1325</v>
      </c>
      <c r="H685" s="31">
        <v>0</v>
      </c>
      <c r="I685" s="31">
        <v>18</v>
      </c>
    </row>
    <row r="686" spans="1:9" x14ac:dyDescent="0.25">
      <c r="B686" s="30"/>
      <c r="C686" s="30"/>
      <c r="D686" s="31"/>
      <c r="E686" s="31">
        <v>4</v>
      </c>
      <c r="F686" s="32" t="s">
        <v>678</v>
      </c>
      <c r="G686" s="31" t="s">
        <v>1326</v>
      </c>
      <c r="H686" s="31">
        <v>0</v>
      </c>
      <c r="I686" s="31">
        <v>18</v>
      </c>
    </row>
    <row r="687" spans="1:9" x14ac:dyDescent="0.25">
      <c r="B687" s="30"/>
      <c r="C687" s="30"/>
      <c r="D687" s="31"/>
      <c r="E687" s="31">
        <v>5</v>
      </c>
      <c r="F687" s="32" t="s">
        <v>679</v>
      </c>
      <c r="G687" s="31" t="s">
        <v>1327</v>
      </c>
      <c r="H687" s="31">
        <v>0</v>
      </c>
      <c r="I687" s="31">
        <v>18</v>
      </c>
    </row>
    <row r="688" spans="1:9" x14ac:dyDescent="0.25">
      <c r="B688" s="30"/>
      <c r="C688" s="30"/>
      <c r="D688" s="31"/>
      <c r="E688" s="31">
        <v>6</v>
      </c>
      <c r="F688" s="32" t="s">
        <v>680</v>
      </c>
      <c r="G688" s="31" t="s">
        <v>1328</v>
      </c>
      <c r="H688" s="31">
        <v>0</v>
      </c>
      <c r="I688" s="31">
        <v>18</v>
      </c>
    </row>
    <row r="689" spans="2:9" x14ac:dyDescent="0.25">
      <c r="B689" s="30"/>
      <c r="C689" s="30"/>
      <c r="D689" s="31"/>
      <c r="E689" s="31">
        <v>7</v>
      </c>
      <c r="F689" s="32" t="s">
        <v>61</v>
      </c>
      <c r="G689" s="31" t="s">
        <v>1329</v>
      </c>
      <c r="H689" s="31">
        <v>0</v>
      </c>
      <c r="I689" s="31">
        <v>18</v>
      </c>
    </row>
    <row r="690" spans="2:9" x14ac:dyDescent="0.25">
      <c r="B690" s="30"/>
      <c r="C690" s="30"/>
      <c r="D690" s="31"/>
      <c r="E690" s="31">
        <v>8</v>
      </c>
      <c r="F690" s="32" t="s">
        <v>62</v>
      </c>
      <c r="G690" s="31" t="s">
        <v>1330</v>
      </c>
      <c r="H690" s="31">
        <v>0</v>
      </c>
      <c r="I690" s="31">
        <v>18</v>
      </c>
    </row>
    <row r="691" spans="2:9" x14ac:dyDescent="0.25">
      <c r="B691" s="30"/>
      <c r="C691" s="30"/>
      <c r="D691" s="31"/>
      <c r="E691" s="31">
        <v>9</v>
      </c>
      <c r="F691" s="32" t="s">
        <v>63</v>
      </c>
      <c r="G691" s="31" t="s">
        <v>1331</v>
      </c>
      <c r="H691" s="31">
        <v>0</v>
      </c>
      <c r="I691" s="31">
        <v>18</v>
      </c>
    </row>
    <row r="692" spans="2:9" x14ac:dyDescent="0.25">
      <c r="B692" s="30"/>
      <c r="C692" s="30"/>
      <c r="D692" s="31"/>
      <c r="E692" s="31">
        <v>10</v>
      </c>
      <c r="F692" s="32" t="s">
        <v>64</v>
      </c>
      <c r="G692" s="31" t="s">
        <v>1332</v>
      </c>
      <c r="H692" s="31">
        <v>0</v>
      </c>
      <c r="I692" s="31">
        <v>18</v>
      </c>
    </row>
    <row r="693" spans="2:9" x14ac:dyDescent="0.25">
      <c r="B693" s="30"/>
      <c r="C693" s="30"/>
      <c r="D693" s="31"/>
      <c r="E693" s="31">
        <v>11</v>
      </c>
      <c r="F693" s="32" t="s">
        <v>65</v>
      </c>
      <c r="G693" s="31" t="s">
        <v>1333</v>
      </c>
      <c r="H693" s="31">
        <v>0</v>
      </c>
      <c r="I693" s="31">
        <v>18</v>
      </c>
    </row>
    <row r="694" spans="2:9" x14ac:dyDescent="0.25">
      <c r="B694" s="30"/>
      <c r="C694" s="30"/>
      <c r="D694" s="31"/>
      <c r="E694" s="31">
        <v>12</v>
      </c>
      <c r="F694" s="32" t="s">
        <v>66</v>
      </c>
      <c r="G694" s="31" t="s">
        <v>1334</v>
      </c>
      <c r="H694" s="31">
        <v>0</v>
      </c>
      <c r="I694" s="31">
        <v>18</v>
      </c>
    </row>
    <row r="695" spans="2:9" x14ac:dyDescent="0.25">
      <c r="B695" s="30"/>
      <c r="C695" s="30"/>
      <c r="D695" s="31"/>
      <c r="E695" s="31">
        <v>13</v>
      </c>
      <c r="F695" s="32" t="s">
        <v>1254</v>
      </c>
      <c r="G695" s="31" t="s">
        <v>1335</v>
      </c>
      <c r="H695" s="31">
        <v>0</v>
      </c>
      <c r="I695" s="31">
        <v>18</v>
      </c>
    </row>
    <row r="696" spans="2:9" x14ac:dyDescent="0.25">
      <c r="B696" s="30"/>
      <c r="C696" s="30"/>
      <c r="D696" s="31"/>
      <c r="E696" s="31">
        <v>14</v>
      </c>
      <c r="F696" s="32" t="s">
        <v>1255</v>
      </c>
      <c r="G696" s="31" t="s">
        <v>1336</v>
      </c>
      <c r="H696" s="31">
        <v>0</v>
      </c>
      <c r="I696" s="31">
        <v>18</v>
      </c>
    </row>
    <row r="697" spans="2:9" x14ac:dyDescent="0.25">
      <c r="B697" s="30"/>
      <c r="C697" s="30"/>
      <c r="D697" s="31"/>
      <c r="E697" s="31">
        <v>15</v>
      </c>
      <c r="F697" s="32" t="s">
        <v>1256</v>
      </c>
      <c r="G697" s="31" t="s">
        <v>1337</v>
      </c>
      <c r="H697" s="31">
        <v>0</v>
      </c>
      <c r="I697" s="31">
        <v>18</v>
      </c>
    </row>
    <row r="698" spans="2:9" x14ac:dyDescent="0.25">
      <c r="B698" s="30"/>
      <c r="C698" s="30"/>
      <c r="D698" s="31"/>
      <c r="E698" s="31">
        <v>16</v>
      </c>
      <c r="F698" s="32" t="s">
        <v>1257</v>
      </c>
      <c r="G698" s="31" t="s">
        <v>1338</v>
      </c>
      <c r="H698" s="31">
        <v>0</v>
      </c>
      <c r="I698" s="31">
        <v>18</v>
      </c>
    </row>
    <row r="699" spans="2:9" x14ac:dyDescent="0.25">
      <c r="B699" s="30"/>
      <c r="C699" s="30"/>
      <c r="D699" s="31"/>
      <c r="E699" s="31">
        <v>17</v>
      </c>
      <c r="F699" s="32" t="s">
        <v>1258</v>
      </c>
      <c r="G699" s="31" t="s">
        <v>1339</v>
      </c>
      <c r="H699" s="31">
        <v>0</v>
      </c>
      <c r="I699" s="31">
        <v>18</v>
      </c>
    </row>
    <row r="700" spans="2:9" x14ac:dyDescent="0.25">
      <c r="B700" s="30"/>
      <c r="C700" s="30"/>
      <c r="D700" s="31"/>
      <c r="E700" s="31">
        <v>18</v>
      </c>
      <c r="F700" s="32" t="s">
        <v>1259</v>
      </c>
      <c r="G700" s="31" t="s">
        <v>1340</v>
      </c>
      <c r="H700" s="31">
        <v>0</v>
      </c>
      <c r="I700" s="31">
        <v>18</v>
      </c>
    </row>
    <row r="701" spans="2:9" x14ac:dyDescent="0.25">
      <c r="B701" s="30"/>
      <c r="C701" s="30"/>
      <c r="D701" s="31"/>
      <c r="E701" s="31">
        <v>19</v>
      </c>
      <c r="F701" s="32" t="s">
        <v>1260</v>
      </c>
      <c r="G701" s="31" t="s">
        <v>1341</v>
      </c>
      <c r="H701" s="31">
        <v>0</v>
      </c>
      <c r="I701" s="31">
        <v>20</v>
      </c>
    </row>
    <row r="702" spans="2:9" x14ac:dyDescent="0.25">
      <c r="B702" s="30"/>
      <c r="C702" s="30"/>
      <c r="D702" s="31"/>
      <c r="E702" s="31">
        <v>20</v>
      </c>
      <c r="F702" s="32" t="s">
        <v>1261</v>
      </c>
      <c r="G702" s="31" t="s">
        <v>1342</v>
      </c>
      <c r="H702" s="31">
        <v>0</v>
      </c>
      <c r="I702" s="31">
        <v>20</v>
      </c>
    </row>
    <row r="703" spans="2:9" x14ac:dyDescent="0.25">
      <c r="B703" s="30"/>
      <c r="C703" s="30"/>
      <c r="D703" s="31"/>
      <c r="E703" s="31">
        <v>21</v>
      </c>
      <c r="F703" s="32" t="s">
        <v>1262</v>
      </c>
      <c r="G703" s="31" t="s">
        <v>1343</v>
      </c>
      <c r="H703" s="31">
        <v>0</v>
      </c>
      <c r="I703" s="31">
        <v>20</v>
      </c>
    </row>
    <row r="704" spans="2:9" x14ac:dyDescent="0.25">
      <c r="B704" s="30"/>
      <c r="C704" s="30"/>
      <c r="D704" s="31"/>
      <c r="E704" s="31">
        <v>22</v>
      </c>
      <c r="F704" s="32" t="s">
        <v>1263</v>
      </c>
      <c r="G704" s="31" t="s">
        <v>1344</v>
      </c>
      <c r="H704" s="31">
        <v>0</v>
      </c>
      <c r="I704" s="31">
        <v>20</v>
      </c>
    </row>
    <row r="705" spans="2:9" x14ac:dyDescent="0.25">
      <c r="B705" s="30"/>
      <c r="C705" s="30"/>
      <c r="D705" s="31"/>
      <c r="E705" s="31">
        <v>23</v>
      </c>
      <c r="F705" s="32" t="s">
        <v>1264</v>
      </c>
      <c r="G705" s="31" t="s">
        <v>1345</v>
      </c>
      <c r="H705" s="31">
        <v>0</v>
      </c>
      <c r="I705" s="31">
        <v>20</v>
      </c>
    </row>
    <row r="706" spans="2:9" x14ac:dyDescent="0.25">
      <c r="B706" s="30"/>
      <c r="C706" s="30"/>
      <c r="D706" s="33"/>
      <c r="E706" s="31">
        <v>24</v>
      </c>
      <c r="F706" s="32" t="s">
        <v>1265</v>
      </c>
      <c r="G706" s="31" t="s">
        <v>1346</v>
      </c>
      <c r="H706" s="31">
        <v>0</v>
      </c>
      <c r="I706" s="31">
        <v>20</v>
      </c>
    </row>
    <row r="707" spans="2:9" x14ac:dyDescent="0.25">
      <c r="B707" s="30"/>
      <c r="C707" s="30"/>
      <c r="D707" s="33"/>
      <c r="E707" s="31">
        <v>25</v>
      </c>
      <c r="F707" s="32" t="s">
        <v>1266</v>
      </c>
      <c r="G707" s="31" t="s">
        <v>1347</v>
      </c>
      <c r="H707" s="31">
        <v>0</v>
      </c>
      <c r="I707" s="31">
        <v>20</v>
      </c>
    </row>
    <row r="708" spans="2:9" x14ac:dyDescent="0.25">
      <c r="B708" s="30"/>
      <c r="C708" s="30"/>
      <c r="D708" s="33"/>
      <c r="E708" s="31">
        <v>26</v>
      </c>
      <c r="F708" s="32" t="s">
        <v>1267</v>
      </c>
      <c r="G708" s="31" t="s">
        <v>1348</v>
      </c>
      <c r="H708" s="31">
        <v>0</v>
      </c>
      <c r="I708" s="31">
        <v>20</v>
      </c>
    </row>
    <row r="709" spans="2:9" x14ac:dyDescent="0.25">
      <c r="B709" s="30"/>
      <c r="C709" s="30"/>
      <c r="D709" s="33"/>
      <c r="E709" s="31">
        <v>27</v>
      </c>
      <c r="F709" s="32" t="s">
        <v>1268</v>
      </c>
      <c r="G709" s="31" t="s">
        <v>1349</v>
      </c>
      <c r="H709" s="31">
        <v>0</v>
      </c>
      <c r="I709" s="31">
        <v>20</v>
      </c>
    </row>
    <row r="710" spans="2:9" x14ac:dyDescent="0.25">
      <c r="B710" s="30"/>
      <c r="C710" s="30"/>
      <c r="D710" s="33"/>
      <c r="E710" s="31">
        <v>28</v>
      </c>
      <c r="F710" s="32" t="s">
        <v>1269</v>
      </c>
      <c r="G710" s="31" t="s">
        <v>1350</v>
      </c>
      <c r="H710" s="31">
        <v>0</v>
      </c>
      <c r="I710" s="31">
        <v>20</v>
      </c>
    </row>
    <row r="711" spans="2:9" x14ac:dyDescent="0.25">
      <c r="B711" s="30"/>
      <c r="C711" s="30"/>
      <c r="D711" s="33"/>
      <c r="E711" s="31">
        <v>29</v>
      </c>
      <c r="F711" s="32" t="s">
        <v>1270</v>
      </c>
      <c r="G711" s="31" t="s">
        <v>1351</v>
      </c>
      <c r="H711" s="31">
        <v>0</v>
      </c>
      <c r="I711" s="31">
        <v>20</v>
      </c>
    </row>
    <row r="712" spans="2:9" x14ac:dyDescent="0.25">
      <c r="B712" s="30"/>
      <c r="C712" s="30"/>
      <c r="D712" s="33"/>
      <c r="E712" s="31">
        <v>30</v>
      </c>
      <c r="F712" s="32" t="s">
        <v>1271</v>
      </c>
      <c r="G712" s="31" t="s">
        <v>1352</v>
      </c>
      <c r="H712" s="31">
        <v>0</v>
      </c>
      <c r="I712" s="31">
        <v>20</v>
      </c>
    </row>
    <row r="713" spans="2:9" ht="15" customHeight="1" x14ac:dyDescent="0.25">
      <c r="B713" s="30"/>
      <c r="C713" s="30"/>
      <c r="D713" s="33"/>
      <c r="E713" s="31">
        <v>31</v>
      </c>
      <c r="F713" s="32" t="s">
        <v>1272</v>
      </c>
      <c r="G713" s="31" t="s">
        <v>1353</v>
      </c>
      <c r="H713" s="31">
        <v>0</v>
      </c>
      <c r="I713" s="31">
        <v>20</v>
      </c>
    </row>
    <row r="714" spans="2:9" ht="15" customHeight="1" x14ac:dyDescent="0.25">
      <c r="B714" s="30"/>
      <c r="C714" s="30"/>
      <c r="D714" s="33"/>
      <c r="E714" s="31">
        <v>32</v>
      </c>
      <c r="F714" s="32" t="s">
        <v>1273</v>
      </c>
      <c r="G714" s="31" t="s">
        <v>1354</v>
      </c>
      <c r="H714" s="31">
        <v>0</v>
      </c>
      <c r="I714" s="31">
        <v>20</v>
      </c>
    </row>
    <row r="715" spans="2:9" ht="15" customHeight="1" x14ac:dyDescent="0.25">
      <c r="B715" s="30"/>
      <c r="C715" s="30"/>
      <c r="D715" s="33"/>
      <c r="E715" s="31">
        <v>33</v>
      </c>
      <c r="F715" s="32" t="s">
        <v>1274</v>
      </c>
      <c r="G715" s="31" t="s">
        <v>1355</v>
      </c>
      <c r="H715" s="31">
        <v>0</v>
      </c>
      <c r="I715" s="31">
        <v>20</v>
      </c>
    </row>
    <row r="716" spans="2:9" ht="15" customHeight="1" x14ac:dyDescent="0.25">
      <c r="B716" s="30"/>
      <c r="C716" s="30"/>
      <c r="D716" s="33"/>
      <c r="E716" s="31">
        <v>34</v>
      </c>
      <c r="F716" s="32" t="s">
        <v>1275</v>
      </c>
      <c r="G716" s="31" t="s">
        <v>1360</v>
      </c>
      <c r="H716" s="31">
        <v>0</v>
      </c>
      <c r="I716" s="31">
        <v>20</v>
      </c>
    </row>
    <row r="717" spans="2:9" ht="15" customHeight="1" x14ac:dyDescent="0.25">
      <c r="B717" s="30"/>
      <c r="C717" s="30"/>
      <c r="D717" s="33"/>
      <c r="E717" s="31">
        <v>35</v>
      </c>
      <c r="F717" s="32" t="s">
        <v>1276</v>
      </c>
      <c r="G717" s="31" t="s">
        <v>1356</v>
      </c>
      <c r="H717" s="31">
        <v>0</v>
      </c>
      <c r="I717" s="31">
        <v>20</v>
      </c>
    </row>
    <row r="718" spans="2:9" x14ac:dyDescent="0.25">
      <c r="B718" s="30"/>
      <c r="C718" s="30"/>
      <c r="D718" s="33"/>
      <c r="E718" s="31">
        <v>36</v>
      </c>
      <c r="F718" s="32" t="s">
        <v>1277</v>
      </c>
      <c r="G718" s="31" t="s">
        <v>1357</v>
      </c>
      <c r="H718" s="31">
        <v>0</v>
      </c>
      <c r="I718" s="31">
        <v>20</v>
      </c>
    </row>
    <row r="719" spans="2:9" x14ac:dyDescent="0.25">
      <c r="B719" s="30"/>
      <c r="C719" s="30"/>
      <c r="D719" s="33"/>
      <c r="E719" s="31">
        <v>37</v>
      </c>
      <c r="F719" s="32" t="s">
        <v>1278</v>
      </c>
      <c r="G719" s="31" t="s">
        <v>1361</v>
      </c>
      <c r="H719" s="31">
        <v>0</v>
      </c>
      <c r="I719" s="31">
        <v>20</v>
      </c>
    </row>
    <row r="720" spans="2:9" x14ac:dyDescent="0.25">
      <c r="B720" s="30"/>
      <c r="C720" s="30"/>
      <c r="D720" s="33"/>
      <c r="E720" s="31">
        <v>38</v>
      </c>
      <c r="F720" s="32" t="s">
        <v>1279</v>
      </c>
      <c r="G720" s="31" t="s">
        <v>1362</v>
      </c>
      <c r="H720" s="31">
        <v>0</v>
      </c>
      <c r="I720" s="31">
        <v>20</v>
      </c>
    </row>
    <row r="721" spans="1:13" x14ac:dyDescent="0.25">
      <c r="B721" s="30"/>
      <c r="C721" s="30"/>
      <c r="D721" s="33"/>
      <c r="E721" s="31">
        <v>39</v>
      </c>
      <c r="F721" s="32" t="s">
        <v>1280</v>
      </c>
      <c r="G721" s="31" t="s">
        <v>1358</v>
      </c>
      <c r="H721" s="31">
        <v>0</v>
      </c>
      <c r="I721" s="31">
        <v>20</v>
      </c>
    </row>
    <row r="722" spans="1:13" x14ac:dyDescent="0.25">
      <c r="B722" s="30"/>
      <c r="C722" s="30"/>
      <c r="D722" s="33"/>
      <c r="E722" s="31">
        <v>40</v>
      </c>
      <c r="F722" s="32" t="s">
        <v>1281</v>
      </c>
      <c r="G722" s="31" t="s">
        <v>1359</v>
      </c>
      <c r="H722" s="31">
        <v>0</v>
      </c>
      <c r="I722" s="31">
        <v>20</v>
      </c>
    </row>
    <row r="723" spans="1:13" x14ac:dyDescent="0.25">
      <c r="A723" s="34"/>
      <c r="B723" s="34"/>
      <c r="C723" s="34">
        <v>103</v>
      </c>
      <c r="D723" s="35" t="s">
        <v>1367</v>
      </c>
      <c r="E723" s="35">
        <v>1</v>
      </c>
      <c r="F723" s="36" t="s">
        <v>8523</v>
      </c>
      <c r="G723" s="35" t="s">
        <v>1905</v>
      </c>
      <c r="H723" s="35">
        <v>0</v>
      </c>
      <c r="I723" s="35">
        <v>18</v>
      </c>
      <c r="J723" s="35" t="s">
        <v>5714</v>
      </c>
      <c r="K723" s="35" t="s">
        <v>5715</v>
      </c>
      <c r="L723" s="35" t="s">
        <v>5716</v>
      </c>
      <c r="M723" s="35" t="s">
        <v>5717</v>
      </c>
    </row>
    <row r="724" spans="1:13" x14ac:dyDescent="0.25">
      <c r="A724" s="34"/>
      <c r="B724" s="34"/>
      <c r="C724" s="34"/>
      <c r="D724" s="35" t="s">
        <v>6055</v>
      </c>
      <c r="E724" s="35">
        <v>2</v>
      </c>
      <c r="F724" s="36" t="s">
        <v>8524</v>
      </c>
      <c r="G724" s="35" t="s">
        <v>1906</v>
      </c>
      <c r="H724" s="35">
        <v>0</v>
      </c>
      <c r="I724" s="35">
        <v>18</v>
      </c>
      <c r="J724" s="35" t="s">
        <v>5718</v>
      </c>
      <c r="K724" s="35" t="s">
        <v>5719</v>
      </c>
      <c r="L724" s="35" t="s">
        <v>5720</v>
      </c>
      <c r="M724" s="35" t="s">
        <v>5721</v>
      </c>
    </row>
    <row r="725" spans="1:13" x14ac:dyDescent="0.25">
      <c r="A725" s="34"/>
      <c r="B725" s="34"/>
      <c r="C725" s="34"/>
      <c r="D725" s="35" t="s">
        <v>8972</v>
      </c>
      <c r="E725" s="35">
        <v>3</v>
      </c>
      <c r="F725" s="36" t="s">
        <v>8525</v>
      </c>
      <c r="G725" s="35" t="s">
        <v>1907</v>
      </c>
      <c r="H725" s="35">
        <v>0</v>
      </c>
      <c r="I725" s="35">
        <v>18</v>
      </c>
      <c r="J725" s="35" t="s">
        <v>5722</v>
      </c>
      <c r="K725" s="35" t="s">
        <v>5723</v>
      </c>
      <c r="L725" s="35" t="s">
        <v>5724</v>
      </c>
      <c r="M725" s="35" t="s">
        <v>5725</v>
      </c>
    </row>
    <row r="726" spans="1:13" x14ac:dyDescent="0.25">
      <c r="A726" s="34"/>
      <c r="B726" s="34"/>
      <c r="C726" s="34"/>
      <c r="D726" s="35"/>
      <c r="E726" s="35">
        <v>4</v>
      </c>
      <c r="F726" s="36" t="s">
        <v>8526</v>
      </c>
      <c r="G726" s="35" t="s">
        <v>1908</v>
      </c>
      <c r="H726" s="35">
        <v>0</v>
      </c>
      <c r="I726" s="35">
        <v>18</v>
      </c>
      <c r="J726" s="35" t="s">
        <v>5726</v>
      </c>
      <c r="K726" s="35" t="s">
        <v>5727</v>
      </c>
      <c r="L726" s="35" t="s">
        <v>5728</v>
      </c>
      <c r="M726" s="35" t="s">
        <v>5729</v>
      </c>
    </row>
    <row r="727" spans="1:13" x14ac:dyDescent="0.25">
      <c r="A727" s="34"/>
      <c r="B727" s="34"/>
      <c r="C727" s="34"/>
      <c r="D727" s="35"/>
      <c r="E727" s="35">
        <v>5</v>
      </c>
      <c r="F727" s="36" t="s">
        <v>8527</v>
      </c>
      <c r="G727" s="35" t="s">
        <v>1909</v>
      </c>
      <c r="H727" s="35">
        <v>0</v>
      </c>
      <c r="I727" s="35">
        <v>18</v>
      </c>
      <c r="J727" s="35" t="s">
        <v>5730</v>
      </c>
      <c r="K727" s="35" t="s">
        <v>5731</v>
      </c>
      <c r="L727" s="35" t="s">
        <v>5732</v>
      </c>
      <c r="M727" s="35" t="s">
        <v>5733</v>
      </c>
    </row>
    <row r="728" spans="1:13" x14ac:dyDescent="0.25">
      <c r="A728" s="34"/>
      <c r="B728" s="34"/>
      <c r="C728" s="34"/>
      <c r="D728" s="35"/>
      <c r="E728" s="35">
        <v>6</v>
      </c>
      <c r="F728" s="36" t="s">
        <v>8528</v>
      </c>
      <c r="G728" s="35" t="s">
        <v>1910</v>
      </c>
      <c r="H728" s="35">
        <v>0</v>
      </c>
      <c r="I728" s="35">
        <v>18</v>
      </c>
      <c r="J728" s="35" t="s">
        <v>5734</v>
      </c>
      <c r="K728" s="35" t="s">
        <v>5735</v>
      </c>
      <c r="L728" s="35" t="s">
        <v>5736</v>
      </c>
      <c r="M728" s="35" t="s">
        <v>5737</v>
      </c>
    </row>
    <row r="729" spans="1:13" x14ac:dyDescent="0.25">
      <c r="A729" s="34"/>
      <c r="B729" s="34"/>
      <c r="C729" s="34"/>
      <c r="D729" s="35"/>
      <c r="E729" s="35">
        <v>7</v>
      </c>
      <c r="F729" s="36" t="s">
        <v>8529</v>
      </c>
      <c r="G729" s="35" t="s">
        <v>1911</v>
      </c>
      <c r="H729" s="35">
        <v>0</v>
      </c>
      <c r="I729" s="35">
        <v>18</v>
      </c>
      <c r="J729" s="35" t="s">
        <v>5738</v>
      </c>
      <c r="K729" s="35" t="s">
        <v>5739</v>
      </c>
      <c r="L729" s="35" t="s">
        <v>5740</v>
      </c>
      <c r="M729" s="35" t="s">
        <v>5741</v>
      </c>
    </row>
    <row r="730" spans="1:13" x14ac:dyDescent="0.25">
      <c r="A730" s="34"/>
      <c r="B730" s="34"/>
      <c r="C730" s="34"/>
      <c r="D730" s="35"/>
      <c r="E730" s="35">
        <v>8</v>
      </c>
      <c r="F730" s="36" t="s">
        <v>8530</v>
      </c>
      <c r="G730" s="35" t="s">
        <v>1912</v>
      </c>
      <c r="H730" s="35">
        <v>0</v>
      </c>
      <c r="I730" s="35">
        <v>18</v>
      </c>
      <c r="J730" s="35" t="s">
        <v>5742</v>
      </c>
      <c r="K730" s="35" t="s">
        <v>5743</v>
      </c>
      <c r="L730" s="35" t="s">
        <v>5744</v>
      </c>
      <c r="M730" s="35" t="s">
        <v>5745</v>
      </c>
    </row>
    <row r="731" spans="1:13" x14ac:dyDescent="0.25">
      <c r="A731" s="34"/>
      <c r="B731" s="34"/>
      <c r="C731" s="34"/>
      <c r="D731" s="35"/>
      <c r="E731" s="35">
        <v>9</v>
      </c>
      <c r="F731" s="36" t="s">
        <v>8531</v>
      </c>
      <c r="G731" s="35" t="s">
        <v>1913</v>
      </c>
      <c r="H731" s="35">
        <v>0</v>
      </c>
      <c r="I731" s="35">
        <v>18</v>
      </c>
      <c r="J731" s="35" t="s">
        <v>5746</v>
      </c>
      <c r="K731" s="35" t="s">
        <v>5747</v>
      </c>
      <c r="L731" s="35" t="s">
        <v>5748</v>
      </c>
      <c r="M731" s="35" t="s">
        <v>5749</v>
      </c>
    </row>
    <row r="732" spans="1:13" x14ac:dyDescent="0.25">
      <c r="A732" s="34"/>
      <c r="B732" s="34"/>
      <c r="C732" s="34"/>
      <c r="D732" s="35"/>
      <c r="E732" s="35">
        <v>10</v>
      </c>
      <c r="F732" s="36" t="s">
        <v>8532</v>
      </c>
      <c r="G732" s="35" t="s">
        <v>1914</v>
      </c>
      <c r="H732" s="35">
        <v>0</v>
      </c>
      <c r="I732" s="35">
        <v>18</v>
      </c>
      <c r="J732" s="35" t="s">
        <v>5750</v>
      </c>
      <c r="K732" s="35" t="s">
        <v>5751</v>
      </c>
      <c r="L732" s="35" t="s">
        <v>5752</v>
      </c>
      <c r="M732" s="35" t="s">
        <v>5753</v>
      </c>
    </row>
    <row r="733" spans="1:13" x14ac:dyDescent="0.25">
      <c r="A733" s="34"/>
      <c r="B733" s="34"/>
      <c r="C733" s="34"/>
      <c r="D733" s="35"/>
      <c r="E733" s="35">
        <v>11</v>
      </c>
      <c r="F733" s="36" t="s">
        <v>8533</v>
      </c>
      <c r="G733" s="35" t="s">
        <v>1915</v>
      </c>
      <c r="H733" s="35">
        <v>0</v>
      </c>
      <c r="I733" s="35">
        <v>18</v>
      </c>
      <c r="J733" s="35" t="s">
        <v>5754</v>
      </c>
      <c r="K733" s="35" t="s">
        <v>5755</v>
      </c>
      <c r="L733" s="35" t="s">
        <v>5756</v>
      </c>
      <c r="M733" s="35" t="s">
        <v>5757</v>
      </c>
    </row>
    <row r="734" spans="1:13" x14ac:dyDescent="0.25">
      <c r="A734" s="34"/>
      <c r="B734" s="34"/>
      <c r="C734" s="34"/>
      <c r="D734" s="35"/>
      <c r="E734" s="35">
        <v>12</v>
      </c>
      <c r="F734" s="36" t="s">
        <v>8534</v>
      </c>
      <c r="G734" s="35" t="s">
        <v>1916</v>
      </c>
      <c r="H734" s="35">
        <v>0</v>
      </c>
      <c r="I734" s="35">
        <v>18</v>
      </c>
      <c r="J734" s="35" t="s">
        <v>5758</v>
      </c>
      <c r="K734" s="35" t="s">
        <v>5759</v>
      </c>
      <c r="L734" s="35" t="s">
        <v>5760</v>
      </c>
      <c r="M734" s="35" t="s">
        <v>5761</v>
      </c>
    </row>
    <row r="735" spans="1:13" x14ac:dyDescent="0.25">
      <c r="A735" s="34"/>
      <c r="B735" s="34"/>
      <c r="C735" s="34"/>
      <c r="D735" s="35"/>
      <c r="E735" s="35">
        <v>13</v>
      </c>
      <c r="F735" s="36" t="s">
        <v>8535</v>
      </c>
      <c r="G735" s="35" t="s">
        <v>1917</v>
      </c>
      <c r="H735" s="35">
        <v>0</v>
      </c>
      <c r="I735" s="35">
        <v>18</v>
      </c>
      <c r="J735" s="35" t="s">
        <v>5762</v>
      </c>
      <c r="K735" s="35" t="s">
        <v>5763</v>
      </c>
      <c r="L735" s="35" t="s">
        <v>5764</v>
      </c>
      <c r="M735" s="35" t="s">
        <v>5765</v>
      </c>
    </row>
    <row r="736" spans="1:13" x14ac:dyDescent="0.25">
      <c r="A736" s="34"/>
      <c r="B736" s="34"/>
      <c r="C736" s="34"/>
      <c r="D736" s="35"/>
      <c r="E736" s="35">
        <v>14</v>
      </c>
      <c r="F736" s="36" t="s">
        <v>8536</v>
      </c>
      <c r="G736" s="35" t="s">
        <v>1918</v>
      </c>
      <c r="H736" s="35">
        <v>0</v>
      </c>
      <c r="I736" s="35">
        <v>18</v>
      </c>
      <c r="J736" s="35" t="s">
        <v>5766</v>
      </c>
      <c r="K736" s="35" t="s">
        <v>5767</v>
      </c>
      <c r="L736" s="35" t="s">
        <v>5768</v>
      </c>
      <c r="M736" s="35" t="s">
        <v>5769</v>
      </c>
    </row>
    <row r="737" spans="1:13" x14ac:dyDescent="0.25">
      <c r="A737" s="34"/>
      <c r="B737" s="34"/>
      <c r="C737" s="34"/>
      <c r="D737" s="35"/>
      <c r="E737" s="35">
        <v>15</v>
      </c>
      <c r="F737" s="36" t="s">
        <v>8537</v>
      </c>
      <c r="G737" s="35" t="s">
        <v>1919</v>
      </c>
      <c r="H737" s="35">
        <v>0</v>
      </c>
      <c r="I737" s="35">
        <v>18</v>
      </c>
      <c r="J737" s="35" t="s">
        <v>5770</v>
      </c>
      <c r="K737" s="35" t="s">
        <v>5771</v>
      </c>
      <c r="L737" s="35" t="s">
        <v>5772</v>
      </c>
      <c r="M737" s="35" t="s">
        <v>5773</v>
      </c>
    </row>
    <row r="738" spans="1:13" x14ac:dyDescent="0.25">
      <c r="A738" s="34"/>
      <c r="B738" s="34"/>
      <c r="C738" s="34"/>
      <c r="D738" s="35"/>
      <c r="E738" s="35">
        <v>16</v>
      </c>
      <c r="F738" s="36" t="s">
        <v>8538</v>
      </c>
      <c r="G738" s="35" t="s">
        <v>1920</v>
      </c>
      <c r="H738" s="35">
        <v>0</v>
      </c>
      <c r="I738" s="35">
        <v>18</v>
      </c>
      <c r="J738" s="35" t="s">
        <v>5774</v>
      </c>
      <c r="K738" s="35" t="s">
        <v>5775</v>
      </c>
      <c r="L738" s="35" t="s">
        <v>5776</v>
      </c>
      <c r="M738" s="35" t="s">
        <v>5777</v>
      </c>
    </row>
    <row r="739" spans="1:13" x14ac:dyDescent="0.25">
      <c r="A739" s="34"/>
      <c r="B739" s="34"/>
      <c r="C739" s="34"/>
      <c r="D739" s="35"/>
      <c r="E739" s="35">
        <v>17</v>
      </c>
      <c r="F739" s="36" t="s">
        <v>8539</v>
      </c>
      <c r="G739" s="35" t="s">
        <v>1921</v>
      </c>
      <c r="H739" s="35">
        <v>0</v>
      </c>
      <c r="I739" s="35">
        <v>18</v>
      </c>
      <c r="J739" s="35" t="s">
        <v>5778</v>
      </c>
      <c r="K739" s="35" t="s">
        <v>5779</v>
      </c>
      <c r="L739" s="35" t="s">
        <v>5780</v>
      </c>
      <c r="M739" s="35" t="s">
        <v>5781</v>
      </c>
    </row>
    <row r="740" spans="1:13" x14ac:dyDescent="0.25">
      <c r="A740" s="34"/>
      <c r="B740" s="34"/>
      <c r="C740" s="34"/>
      <c r="D740" s="35"/>
      <c r="E740" s="35">
        <v>18</v>
      </c>
      <c r="F740" s="36" t="s">
        <v>8540</v>
      </c>
      <c r="G740" s="35" t="s">
        <v>1922</v>
      </c>
      <c r="H740" s="35">
        <v>0</v>
      </c>
      <c r="I740" s="35">
        <v>18</v>
      </c>
      <c r="J740" s="35" t="s">
        <v>5782</v>
      </c>
      <c r="K740" s="35" t="s">
        <v>5783</v>
      </c>
      <c r="L740" s="35" t="s">
        <v>5784</v>
      </c>
      <c r="M740" s="35" t="s">
        <v>5785</v>
      </c>
    </row>
    <row r="741" spans="1:13" x14ac:dyDescent="0.25">
      <c r="A741" s="34"/>
      <c r="B741" s="34"/>
      <c r="C741" s="34"/>
      <c r="D741" s="35"/>
      <c r="E741" s="35">
        <v>19</v>
      </c>
      <c r="F741" s="36" t="s">
        <v>8541</v>
      </c>
      <c r="G741" s="35" t="s">
        <v>1923</v>
      </c>
      <c r="H741" s="35">
        <v>0</v>
      </c>
      <c r="I741" s="35">
        <v>20</v>
      </c>
      <c r="J741" s="35" t="s">
        <v>5786</v>
      </c>
      <c r="K741" s="35" t="s">
        <v>5787</v>
      </c>
      <c r="L741" s="35" t="s">
        <v>5788</v>
      </c>
      <c r="M741" s="35" t="s">
        <v>5789</v>
      </c>
    </row>
    <row r="742" spans="1:13" x14ac:dyDescent="0.25">
      <c r="A742" s="34"/>
      <c r="B742" s="34"/>
      <c r="C742" s="34"/>
      <c r="D742" s="35"/>
      <c r="E742" s="35">
        <v>20</v>
      </c>
      <c r="F742" s="36" t="s">
        <v>8542</v>
      </c>
      <c r="G742" s="35" t="s">
        <v>1924</v>
      </c>
      <c r="H742" s="35">
        <v>0</v>
      </c>
      <c r="I742" s="35">
        <v>20</v>
      </c>
      <c r="J742" s="35" t="s">
        <v>5790</v>
      </c>
      <c r="K742" s="35" t="s">
        <v>5791</v>
      </c>
      <c r="L742" s="35" t="s">
        <v>5792</v>
      </c>
      <c r="M742" s="35" t="s">
        <v>5793</v>
      </c>
    </row>
    <row r="743" spans="1:13" x14ac:dyDescent="0.25">
      <c r="A743" s="34"/>
      <c r="B743" s="34"/>
      <c r="C743" s="34"/>
      <c r="D743" s="35"/>
      <c r="E743" s="35">
        <v>21</v>
      </c>
      <c r="F743" s="36" t="s">
        <v>8543</v>
      </c>
      <c r="G743" s="35" t="s">
        <v>1925</v>
      </c>
      <c r="H743" s="35">
        <v>0</v>
      </c>
      <c r="I743" s="35">
        <v>20</v>
      </c>
      <c r="J743" s="35" t="s">
        <v>5794</v>
      </c>
      <c r="K743" s="35" t="s">
        <v>5795</v>
      </c>
      <c r="L743" s="35" t="s">
        <v>5796</v>
      </c>
      <c r="M743" s="35" t="s">
        <v>5797</v>
      </c>
    </row>
    <row r="744" spans="1:13" x14ac:dyDescent="0.25">
      <c r="A744" s="34"/>
      <c r="B744" s="34"/>
      <c r="C744" s="34"/>
      <c r="D744" s="35"/>
      <c r="E744" s="35">
        <v>22</v>
      </c>
      <c r="F744" s="36" t="s">
        <v>8544</v>
      </c>
      <c r="G744" s="35" t="s">
        <v>1926</v>
      </c>
      <c r="H744" s="35">
        <v>0</v>
      </c>
      <c r="I744" s="35">
        <v>20</v>
      </c>
      <c r="J744" s="35" t="s">
        <v>5798</v>
      </c>
      <c r="K744" s="35" t="s">
        <v>5799</v>
      </c>
      <c r="L744" s="35" t="s">
        <v>5800</v>
      </c>
      <c r="M744" s="35" t="s">
        <v>5801</v>
      </c>
    </row>
    <row r="745" spans="1:13" x14ac:dyDescent="0.25">
      <c r="A745" s="34"/>
      <c r="B745" s="34"/>
      <c r="C745" s="34"/>
      <c r="D745" s="35"/>
      <c r="E745" s="35">
        <v>23</v>
      </c>
      <c r="F745" s="36" t="s">
        <v>8545</v>
      </c>
      <c r="G745" s="35" t="s">
        <v>1927</v>
      </c>
      <c r="H745" s="35">
        <v>0</v>
      </c>
      <c r="I745" s="35">
        <v>20</v>
      </c>
      <c r="J745" s="35" t="s">
        <v>5802</v>
      </c>
      <c r="K745" s="35" t="s">
        <v>5803</v>
      </c>
      <c r="L745" s="35" t="s">
        <v>5804</v>
      </c>
      <c r="M745" s="35" t="s">
        <v>5805</v>
      </c>
    </row>
    <row r="746" spans="1:13" x14ac:dyDescent="0.25">
      <c r="A746" s="34"/>
      <c r="B746" s="34"/>
      <c r="C746" s="34"/>
      <c r="D746" s="37"/>
      <c r="E746" s="35">
        <v>24</v>
      </c>
      <c r="F746" s="36" t="s">
        <v>8546</v>
      </c>
      <c r="G746" s="35" t="s">
        <v>1928</v>
      </c>
      <c r="H746" s="35">
        <v>0</v>
      </c>
      <c r="I746" s="35">
        <v>20</v>
      </c>
      <c r="J746" s="35" t="s">
        <v>5806</v>
      </c>
      <c r="K746" s="35" t="s">
        <v>5807</v>
      </c>
      <c r="L746" s="35" t="s">
        <v>5808</v>
      </c>
      <c r="M746" s="35" t="s">
        <v>5809</v>
      </c>
    </row>
    <row r="747" spans="1:13" x14ac:dyDescent="0.25">
      <c r="A747" s="34"/>
      <c r="B747" s="34"/>
      <c r="C747" s="34"/>
      <c r="D747" s="37"/>
      <c r="E747" s="35">
        <v>25</v>
      </c>
      <c r="F747" s="36" t="s">
        <v>8547</v>
      </c>
      <c r="G747" s="35" t="s">
        <v>1929</v>
      </c>
      <c r="H747" s="35">
        <v>0</v>
      </c>
      <c r="I747" s="35">
        <v>20</v>
      </c>
      <c r="J747" s="35" t="s">
        <v>5810</v>
      </c>
      <c r="K747" s="35" t="s">
        <v>5811</v>
      </c>
      <c r="L747" s="35" t="s">
        <v>5812</v>
      </c>
      <c r="M747" s="35" t="s">
        <v>5813</v>
      </c>
    </row>
    <row r="748" spans="1:13" x14ac:dyDescent="0.25">
      <c r="A748" s="34"/>
      <c r="B748" s="34"/>
      <c r="C748" s="34"/>
      <c r="D748" s="37"/>
      <c r="E748" s="35">
        <v>26</v>
      </c>
      <c r="F748" s="36" t="s">
        <v>8548</v>
      </c>
      <c r="G748" s="35" t="s">
        <v>1930</v>
      </c>
      <c r="H748" s="35">
        <v>0</v>
      </c>
      <c r="I748" s="35">
        <v>20</v>
      </c>
      <c r="J748" s="35" t="s">
        <v>5814</v>
      </c>
      <c r="K748" s="35" t="s">
        <v>5815</v>
      </c>
      <c r="L748" s="35" t="s">
        <v>5816</v>
      </c>
      <c r="M748" s="35" t="s">
        <v>5817</v>
      </c>
    </row>
    <row r="749" spans="1:13" x14ac:dyDescent="0.25">
      <c r="A749" s="34"/>
      <c r="B749" s="34"/>
      <c r="C749" s="34"/>
      <c r="D749" s="37"/>
      <c r="E749" s="35">
        <v>27</v>
      </c>
      <c r="F749" s="36" t="s">
        <v>8549</v>
      </c>
      <c r="G749" s="35" t="s">
        <v>1931</v>
      </c>
      <c r="H749" s="35">
        <v>0</v>
      </c>
      <c r="I749" s="35">
        <v>20</v>
      </c>
      <c r="J749" s="35" t="s">
        <v>5818</v>
      </c>
      <c r="K749" s="35" t="s">
        <v>5819</v>
      </c>
      <c r="L749" s="35" t="s">
        <v>5820</v>
      </c>
      <c r="M749" s="35" t="s">
        <v>5821</v>
      </c>
    </row>
    <row r="750" spans="1:13" x14ac:dyDescent="0.25">
      <c r="A750" s="34"/>
      <c r="B750" s="34"/>
      <c r="C750" s="34"/>
      <c r="D750" s="37"/>
      <c r="E750" s="35">
        <v>28</v>
      </c>
      <c r="F750" s="36" t="s">
        <v>8550</v>
      </c>
      <c r="G750" s="35" t="s">
        <v>1932</v>
      </c>
      <c r="H750" s="35">
        <v>0</v>
      </c>
      <c r="I750" s="35">
        <v>20</v>
      </c>
      <c r="J750" s="35" t="s">
        <v>5822</v>
      </c>
      <c r="K750" s="35" t="s">
        <v>5823</v>
      </c>
      <c r="L750" s="35" t="s">
        <v>5824</v>
      </c>
      <c r="M750" s="35" t="s">
        <v>5825</v>
      </c>
    </row>
    <row r="751" spans="1:13" x14ac:dyDescent="0.25">
      <c r="A751" s="34"/>
      <c r="B751" s="34"/>
      <c r="C751" s="34"/>
      <c r="D751" s="37"/>
      <c r="E751" s="35">
        <v>29</v>
      </c>
      <c r="F751" s="36" t="s">
        <v>8551</v>
      </c>
      <c r="G751" s="35" t="s">
        <v>1933</v>
      </c>
      <c r="H751" s="35">
        <v>0</v>
      </c>
      <c r="I751" s="35">
        <v>20</v>
      </c>
      <c r="J751" s="35" t="s">
        <v>5826</v>
      </c>
      <c r="K751" s="35" t="s">
        <v>5827</v>
      </c>
      <c r="L751" s="35" t="s">
        <v>5828</v>
      </c>
      <c r="M751" s="35" t="s">
        <v>5829</v>
      </c>
    </row>
    <row r="752" spans="1:13" x14ac:dyDescent="0.25">
      <c r="A752" s="34"/>
      <c r="B752" s="34"/>
      <c r="C752" s="34"/>
      <c r="D752" s="37"/>
      <c r="E752" s="35">
        <v>30</v>
      </c>
      <c r="F752" s="36" t="s">
        <v>8552</v>
      </c>
      <c r="G752" s="35" t="s">
        <v>1934</v>
      </c>
      <c r="H752" s="35">
        <v>0</v>
      </c>
      <c r="I752" s="35">
        <v>20</v>
      </c>
      <c r="J752" s="35" t="s">
        <v>5830</v>
      </c>
      <c r="K752" s="35" t="s">
        <v>5831</v>
      </c>
      <c r="L752" s="35" t="s">
        <v>5832</v>
      </c>
      <c r="M752" s="35" t="s">
        <v>5833</v>
      </c>
    </row>
    <row r="753" spans="1:13" x14ac:dyDescent="0.25">
      <c r="A753" s="34"/>
      <c r="B753" s="34"/>
      <c r="C753" s="34"/>
      <c r="D753" s="37"/>
      <c r="E753" s="35">
        <v>31</v>
      </c>
      <c r="F753" s="36" t="s">
        <v>8553</v>
      </c>
      <c r="G753" s="35" t="s">
        <v>1935</v>
      </c>
      <c r="H753" s="35">
        <v>0</v>
      </c>
      <c r="I753" s="35">
        <v>20</v>
      </c>
      <c r="J753" s="35" t="s">
        <v>5834</v>
      </c>
      <c r="K753" s="35" t="s">
        <v>5835</v>
      </c>
      <c r="L753" s="35" t="s">
        <v>5836</v>
      </c>
      <c r="M753" s="35" t="s">
        <v>5837</v>
      </c>
    </row>
    <row r="754" spans="1:13" x14ac:dyDescent="0.25">
      <c r="A754" s="34"/>
      <c r="B754" s="34"/>
      <c r="C754" s="34"/>
      <c r="D754" s="37"/>
      <c r="E754" s="35">
        <v>32</v>
      </c>
      <c r="F754" s="36" t="s">
        <v>8554</v>
      </c>
      <c r="G754" s="35" t="s">
        <v>1936</v>
      </c>
      <c r="H754" s="35">
        <v>0</v>
      </c>
      <c r="I754" s="35">
        <v>20</v>
      </c>
      <c r="J754" s="35" t="s">
        <v>5838</v>
      </c>
      <c r="K754" s="35" t="s">
        <v>5839</v>
      </c>
      <c r="L754" s="35" t="s">
        <v>5840</v>
      </c>
      <c r="M754" s="35" t="s">
        <v>5841</v>
      </c>
    </row>
    <row r="755" spans="1:13" x14ac:dyDescent="0.25">
      <c r="A755" s="34"/>
      <c r="B755" s="34"/>
      <c r="C755" s="34"/>
      <c r="D755" s="37"/>
      <c r="E755" s="35">
        <v>33</v>
      </c>
      <c r="F755" s="36" t="s">
        <v>8555</v>
      </c>
      <c r="G755" s="35" t="s">
        <v>1937</v>
      </c>
      <c r="H755" s="35">
        <v>0</v>
      </c>
      <c r="I755" s="35">
        <v>20</v>
      </c>
      <c r="J755" s="35" t="s">
        <v>5842</v>
      </c>
      <c r="K755" s="35" t="s">
        <v>5843</v>
      </c>
      <c r="L755" s="35" t="s">
        <v>5844</v>
      </c>
      <c r="M755" s="35" t="s">
        <v>5845</v>
      </c>
    </row>
    <row r="756" spans="1:13" x14ac:dyDescent="0.25">
      <c r="A756" s="34"/>
      <c r="B756" s="34"/>
      <c r="C756" s="34"/>
      <c r="D756" s="37"/>
      <c r="E756" s="35">
        <v>34</v>
      </c>
      <c r="F756" s="36" t="s">
        <v>8556</v>
      </c>
      <c r="G756" s="35" t="s">
        <v>1938</v>
      </c>
      <c r="H756" s="35">
        <v>0</v>
      </c>
      <c r="I756" s="35">
        <v>20</v>
      </c>
      <c r="J756" s="35" t="s">
        <v>5846</v>
      </c>
      <c r="K756" s="35" t="s">
        <v>5847</v>
      </c>
      <c r="L756" s="35" t="s">
        <v>5848</v>
      </c>
      <c r="M756" s="35" t="s">
        <v>5849</v>
      </c>
    </row>
    <row r="757" spans="1:13" x14ac:dyDescent="0.25">
      <c r="A757" s="34"/>
      <c r="B757" s="34"/>
      <c r="C757" s="34"/>
      <c r="D757" s="37"/>
      <c r="E757" s="35">
        <v>35</v>
      </c>
      <c r="F757" s="36" t="s">
        <v>8557</v>
      </c>
      <c r="G757" s="35" t="s">
        <v>1939</v>
      </c>
      <c r="H757" s="35">
        <v>0</v>
      </c>
      <c r="I757" s="35">
        <v>20</v>
      </c>
      <c r="J757" s="35" t="s">
        <v>5850</v>
      </c>
      <c r="K757" s="35" t="s">
        <v>5851</v>
      </c>
      <c r="L757" s="35" t="s">
        <v>5852</v>
      </c>
      <c r="M757" s="35" t="s">
        <v>5853</v>
      </c>
    </row>
    <row r="758" spans="1:13" x14ac:dyDescent="0.25">
      <c r="A758" s="34"/>
      <c r="B758" s="34"/>
      <c r="C758" s="34"/>
      <c r="D758" s="37"/>
      <c r="E758" s="35">
        <v>36</v>
      </c>
      <c r="F758" s="36" t="s">
        <v>8558</v>
      </c>
      <c r="G758" s="35" t="s">
        <v>1940</v>
      </c>
      <c r="H758" s="35">
        <v>0</v>
      </c>
      <c r="I758" s="35">
        <v>20</v>
      </c>
      <c r="J758" s="35" t="s">
        <v>5854</v>
      </c>
      <c r="K758" s="35" t="s">
        <v>5855</v>
      </c>
      <c r="L758" s="35" t="s">
        <v>5856</v>
      </c>
      <c r="M758" s="35" t="s">
        <v>5857</v>
      </c>
    </row>
    <row r="759" spans="1:13" x14ac:dyDescent="0.25">
      <c r="A759" s="34"/>
      <c r="B759" s="34"/>
      <c r="C759" s="34"/>
      <c r="D759" s="37"/>
      <c r="E759" s="35">
        <v>37</v>
      </c>
      <c r="F759" s="36" t="s">
        <v>8559</v>
      </c>
      <c r="G759" s="35" t="s">
        <v>1941</v>
      </c>
      <c r="H759" s="35">
        <v>0</v>
      </c>
      <c r="I759" s="35">
        <v>20</v>
      </c>
      <c r="J759" s="35" t="s">
        <v>5858</v>
      </c>
      <c r="K759" s="35" t="s">
        <v>5859</v>
      </c>
      <c r="L759" s="35" t="s">
        <v>5860</v>
      </c>
      <c r="M759" s="35" t="s">
        <v>5861</v>
      </c>
    </row>
    <row r="760" spans="1:13" x14ac:dyDescent="0.25">
      <c r="A760" s="34"/>
      <c r="B760" s="34"/>
      <c r="C760" s="34"/>
      <c r="D760" s="37"/>
      <c r="E760" s="35">
        <v>38</v>
      </c>
      <c r="F760" s="36" t="s">
        <v>8560</v>
      </c>
      <c r="G760" s="35" t="s">
        <v>1942</v>
      </c>
      <c r="H760" s="35">
        <v>0</v>
      </c>
      <c r="I760" s="35">
        <v>20</v>
      </c>
      <c r="J760" s="35" t="s">
        <v>5862</v>
      </c>
      <c r="K760" s="35" t="s">
        <v>5863</v>
      </c>
      <c r="L760" s="35" t="s">
        <v>5864</v>
      </c>
      <c r="M760" s="35" t="s">
        <v>5865</v>
      </c>
    </row>
    <row r="761" spans="1:13" x14ac:dyDescent="0.25">
      <c r="A761" s="34"/>
      <c r="B761" s="34"/>
      <c r="C761" s="34"/>
      <c r="D761" s="37"/>
      <c r="E761" s="35">
        <v>39</v>
      </c>
      <c r="F761" s="36" t="s">
        <v>8561</v>
      </c>
      <c r="G761" s="35" t="s">
        <v>1943</v>
      </c>
      <c r="H761" s="35">
        <v>0</v>
      </c>
      <c r="I761" s="35">
        <v>20</v>
      </c>
      <c r="J761" s="35" t="s">
        <v>5866</v>
      </c>
      <c r="K761" s="35" t="s">
        <v>5867</v>
      </c>
      <c r="L761" s="35" t="s">
        <v>5868</v>
      </c>
      <c r="M761" s="35" t="s">
        <v>5869</v>
      </c>
    </row>
    <row r="762" spans="1:13" x14ac:dyDescent="0.25">
      <c r="A762" s="34"/>
      <c r="B762" s="34"/>
      <c r="C762" s="34"/>
      <c r="D762" s="37"/>
      <c r="E762" s="35">
        <v>40</v>
      </c>
      <c r="F762" s="36" t="s">
        <v>8562</v>
      </c>
      <c r="G762" s="35" t="s">
        <v>1944</v>
      </c>
      <c r="H762" s="35">
        <v>0</v>
      </c>
      <c r="I762" s="35">
        <v>20</v>
      </c>
      <c r="J762" s="35" t="s">
        <v>5870</v>
      </c>
      <c r="K762" s="35" t="s">
        <v>5871</v>
      </c>
      <c r="L762" s="35" t="s">
        <v>5872</v>
      </c>
      <c r="M762" s="35" t="s">
        <v>5873</v>
      </c>
    </row>
    <row r="763" spans="1:13" x14ac:dyDescent="0.25">
      <c r="A763" s="21"/>
      <c r="B763" s="21"/>
      <c r="C763" s="21">
        <v>104</v>
      </c>
      <c r="D763" s="14" t="s">
        <v>2586</v>
      </c>
      <c r="E763" s="14">
        <v>1</v>
      </c>
      <c r="F763" s="15" t="s">
        <v>7263</v>
      </c>
      <c r="G763" s="14" t="s">
        <v>2587</v>
      </c>
      <c r="H763" s="14">
        <v>0</v>
      </c>
      <c r="I763" s="14">
        <v>20</v>
      </c>
      <c r="J763" s="14" t="s">
        <v>5417</v>
      </c>
      <c r="K763" s="14" t="s">
        <v>5418</v>
      </c>
      <c r="L763" s="14" t="s">
        <v>5419</v>
      </c>
      <c r="M763" s="14" t="s">
        <v>5420</v>
      </c>
    </row>
    <row r="764" spans="1:13" x14ac:dyDescent="0.25">
      <c r="A764" s="21"/>
      <c r="B764" s="21"/>
      <c r="C764" s="21"/>
      <c r="D764" s="14" t="s">
        <v>4629</v>
      </c>
      <c r="E764" s="14">
        <v>2</v>
      </c>
      <c r="F764" s="15" t="s">
        <v>7264</v>
      </c>
      <c r="G764" s="14" t="s">
        <v>2588</v>
      </c>
      <c r="H764" s="14">
        <v>0</v>
      </c>
      <c r="I764" s="14">
        <v>20</v>
      </c>
      <c r="J764" s="14" t="s">
        <v>5421</v>
      </c>
      <c r="K764" s="14" t="s">
        <v>5422</v>
      </c>
      <c r="L764" s="14" t="s">
        <v>5423</v>
      </c>
      <c r="M764" s="14" t="s">
        <v>5424</v>
      </c>
    </row>
    <row r="765" spans="1:13" x14ac:dyDescent="0.25">
      <c r="A765" s="21"/>
      <c r="B765" s="21"/>
      <c r="C765" s="21"/>
      <c r="D765" s="14" t="s">
        <v>8972</v>
      </c>
      <c r="E765" s="14">
        <v>3</v>
      </c>
      <c r="F765" s="15" t="s">
        <v>7265</v>
      </c>
      <c r="G765" s="14" t="s">
        <v>2589</v>
      </c>
      <c r="H765" s="14">
        <v>0</v>
      </c>
      <c r="I765" s="14">
        <v>20</v>
      </c>
      <c r="J765" s="14" t="s">
        <v>5425</v>
      </c>
      <c r="K765" s="14" t="s">
        <v>5426</v>
      </c>
      <c r="L765" s="14" t="s">
        <v>5427</v>
      </c>
      <c r="M765" s="14" t="s">
        <v>5428</v>
      </c>
    </row>
    <row r="766" spans="1:13" x14ac:dyDescent="0.25">
      <c r="A766" s="21"/>
      <c r="B766" s="21"/>
      <c r="C766" s="21"/>
      <c r="D766" s="14"/>
      <c r="E766" s="14">
        <v>4</v>
      </c>
      <c r="F766" s="15" t="s">
        <v>7266</v>
      </c>
      <c r="G766" s="14" t="s">
        <v>2590</v>
      </c>
      <c r="H766" s="14">
        <v>0</v>
      </c>
      <c r="I766" s="14">
        <v>20</v>
      </c>
      <c r="J766" s="14" t="s">
        <v>5429</v>
      </c>
      <c r="K766" s="14" t="s">
        <v>5430</v>
      </c>
      <c r="L766" s="14" t="s">
        <v>5431</v>
      </c>
      <c r="M766" s="14" t="s">
        <v>5432</v>
      </c>
    </row>
    <row r="767" spans="1:13" x14ac:dyDescent="0.25">
      <c r="A767" s="21"/>
      <c r="B767" s="21"/>
      <c r="C767" s="21"/>
      <c r="D767" s="14"/>
      <c r="E767" s="14">
        <v>5</v>
      </c>
      <c r="F767" s="15" t="s">
        <v>7267</v>
      </c>
      <c r="G767" s="14" t="s">
        <v>2591</v>
      </c>
      <c r="H767" s="14">
        <v>0</v>
      </c>
      <c r="I767" s="14">
        <v>20</v>
      </c>
      <c r="J767" s="14" t="s">
        <v>5433</v>
      </c>
      <c r="K767" s="14" t="s">
        <v>5434</v>
      </c>
      <c r="L767" s="14" t="s">
        <v>5435</v>
      </c>
      <c r="M767" s="14" t="s">
        <v>5436</v>
      </c>
    </row>
    <row r="768" spans="1:13" x14ac:dyDescent="0.25">
      <c r="A768" s="21"/>
      <c r="B768" s="21"/>
      <c r="C768" s="21"/>
      <c r="D768" s="14"/>
      <c r="E768" s="14">
        <v>6</v>
      </c>
      <c r="F768" s="15" t="s">
        <v>7268</v>
      </c>
      <c r="G768" s="14" t="s">
        <v>2592</v>
      </c>
      <c r="H768" s="14">
        <v>0</v>
      </c>
      <c r="I768" s="14">
        <v>20</v>
      </c>
      <c r="J768" s="14" t="s">
        <v>5437</v>
      </c>
      <c r="K768" s="14" t="s">
        <v>5438</v>
      </c>
      <c r="L768" s="14" t="s">
        <v>5439</v>
      </c>
      <c r="M768" s="14" t="s">
        <v>5440</v>
      </c>
    </row>
    <row r="769" spans="1:13" x14ac:dyDescent="0.25">
      <c r="A769" s="21"/>
      <c r="B769" s="21"/>
      <c r="C769" s="21"/>
      <c r="D769" s="14"/>
      <c r="E769" s="14">
        <v>7</v>
      </c>
      <c r="F769" s="15" t="s">
        <v>7269</v>
      </c>
      <c r="G769" s="14" t="s">
        <v>2593</v>
      </c>
      <c r="H769" s="14">
        <v>0</v>
      </c>
      <c r="I769" s="14">
        <v>20</v>
      </c>
      <c r="J769" s="14" t="s">
        <v>5441</v>
      </c>
      <c r="K769" s="14" t="s">
        <v>5442</v>
      </c>
      <c r="L769" s="14" t="s">
        <v>5443</v>
      </c>
      <c r="M769" s="14" t="s">
        <v>5444</v>
      </c>
    </row>
    <row r="770" spans="1:13" x14ac:dyDescent="0.25">
      <c r="A770" s="21"/>
      <c r="B770" s="21"/>
      <c r="C770" s="21"/>
      <c r="D770" s="14"/>
      <c r="E770" s="14">
        <v>8</v>
      </c>
      <c r="F770" s="15" t="s">
        <v>7270</v>
      </c>
      <c r="G770" s="14" t="s">
        <v>2626</v>
      </c>
      <c r="H770" s="14">
        <v>0</v>
      </c>
      <c r="I770" s="14">
        <v>20</v>
      </c>
      <c r="J770" s="14" t="s">
        <v>5445</v>
      </c>
      <c r="K770" s="14" t="s">
        <v>5446</v>
      </c>
      <c r="L770" s="14" t="s">
        <v>5447</v>
      </c>
      <c r="M770" s="14" t="s">
        <v>5448</v>
      </c>
    </row>
    <row r="771" spans="1:13" x14ac:dyDescent="0.25">
      <c r="A771" s="21"/>
      <c r="B771" s="21"/>
      <c r="C771" s="21"/>
      <c r="D771" s="14"/>
      <c r="E771" s="14">
        <v>9</v>
      </c>
      <c r="F771" s="15" t="s">
        <v>7271</v>
      </c>
      <c r="G771" s="14" t="s">
        <v>2594</v>
      </c>
      <c r="H771" s="14">
        <v>0</v>
      </c>
      <c r="I771" s="14">
        <v>20</v>
      </c>
      <c r="J771" s="14" t="s">
        <v>5449</v>
      </c>
      <c r="K771" s="14" t="s">
        <v>5450</v>
      </c>
      <c r="L771" s="14" t="s">
        <v>5451</v>
      </c>
      <c r="M771" s="14" t="s">
        <v>5452</v>
      </c>
    </row>
    <row r="772" spans="1:13" x14ac:dyDescent="0.25">
      <c r="A772" s="21"/>
      <c r="B772" s="21"/>
      <c r="C772" s="21"/>
      <c r="D772" s="14"/>
      <c r="E772" s="14">
        <v>10</v>
      </c>
      <c r="F772" s="15" t="s">
        <v>7272</v>
      </c>
      <c r="G772" s="14" t="s">
        <v>2595</v>
      </c>
      <c r="H772" s="14">
        <v>0</v>
      </c>
      <c r="I772" s="14">
        <v>20</v>
      </c>
      <c r="J772" s="14" t="s">
        <v>5453</v>
      </c>
      <c r="K772" s="14" t="s">
        <v>5454</v>
      </c>
      <c r="L772" s="14" t="s">
        <v>5455</v>
      </c>
      <c r="M772" s="14" t="s">
        <v>5456</v>
      </c>
    </row>
    <row r="773" spans="1:13" x14ac:dyDescent="0.25">
      <c r="A773" s="21"/>
      <c r="B773" s="21"/>
      <c r="C773" s="21"/>
      <c r="D773" s="14"/>
      <c r="E773" s="14">
        <v>11</v>
      </c>
      <c r="F773" s="15" t="s">
        <v>7273</v>
      </c>
      <c r="G773" s="14" t="s">
        <v>2596</v>
      </c>
      <c r="H773" s="14">
        <v>0</v>
      </c>
      <c r="I773" s="14">
        <v>20</v>
      </c>
      <c r="J773" s="14" t="s">
        <v>5457</v>
      </c>
      <c r="K773" s="14" t="s">
        <v>5458</v>
      </c>
      <c r="L773" s="14" t="s">
        <v>5459</v>
      </c>
      <c r="M773" s="14" t="s">
        <v>5460</v>
      </c>
    </row>
    <row r="774" spans="1:13" x14ac:dyDescent="0.25">
      <c r="A774" s="21"/>
      <c r="B774" s="21"/>
      <c r="C774" s="21"/>
      <c r="D774" s="14"/>
      <c r="E774" s="14">
        <v>12</v>
      </c>
      <c r="F774" s="15" t="s">
        <v>7274</v>
      </c>
      <c r="G774" s="14" t="s">
        <v>2597</v>
      </c>
      <c r="H774" s="14">
        <v>0</v>
      </c>
      <c r="I774" s="14">
        <v>20</v>
      </c>
      <c r="J774" s="14" t="s">
        <v>5461</v>
      </c>
      <c r="K774" s="14" t="s">
        <v>5462</v>
      </c>
      <c r="L774" s="14" t="s">
        <v>5463</v>
      </c>
      <c r="M774" s="14" t="s">
        <v>5464</v>
      </c>
    </row>
    <row r="775" spans="1:13" x14ac:dyDescent="0.25">
      <c r="A775" s="21"/>
      <c r="B775" s="21"/>
      <c r="C775" s="21"/>
      <c r="D775" s="14"/>
      <c r="E775" s="14">
        <v>13</v>
      </c>
      <c r="F775" s="15" t="s">
        <v>7275</v>
      </c>
      <c r="G775" s="14" t="s">
        <v>2598</v>
      </c>
      <c r="H775" s="14">
        <v>0</v>
      </c>
      <c r="I775" s="14">
        <v>20</v>
      </c>
      <c r="J775" s="14" t="s">
        <v>5465</v>
      </c>
      <c r="K775" s="14" t="s">
        <v>5466</v>
      </c>
      <c r="L775" s="14" t="s">
        <v>5467</v>
      </c>
      <c r="M775" s="14" t="s">
        <v>5468</v>
      </c>
    </row>
    <row r="776" spans="1:13" x14ac:dyDescent="0.25">
      <c r="A776" s="21"/>
      <c r="B776" s="21"/>
      <c r="C776" s="21"/>
      <c r="D776" s="14"/>
      <c r="E776" s="14">
        <v>14</v>
      </c>
      <c r="F776" s="15" t="s">
        <v>7276</v>
      </c>
      <c r="G776" s="14" t="s">
        <v>2599</v>
      </c>
      <c r="H776" s="14">
        <v>0</v>
      </c>
      <c r="I776" s="14">
        <v>20</v>
      </c>
      <c r="J776" s="14" t="s">
        <v>5469</v>
      </c>
      <c r="K776" s="14" t="s">
        <v>5470</v>
      </c>
      <c r="L776" s="14" t="s">
        <v>5471</v>
      </c>
      <c r="M776" s="14" t="s">
        <v>5472</v>
      </c>
    </row>
    <row r="777" spans="1:13" x14ac:dyDescent="0.25">
      <c r="A777" s="21"/>
      <c r="B777" s="21"/>
      <c r="C777" s="21"/>
      <c r="D777" s="14"/>
      <c r="E777" s="14">
        <v>15</v>
      </c>
      <c r="F777" s="15" t="s">
        <v>7277</v>
      </c>
      <c r="G777" s="14" t="s">
        <v>2600</v>
      </c>
      <c r="H777" s="14">
        <v>0</v>
      </c>
      <c r="I777" s="14">
        <v>20</v>
      </c>
      <c r="J777" s="14" t="s">
        <v>5473</v>
      </c>
      <c r="K777" s="14" t="s">
        <v>5474</v>
      </c>
      <c r="L777" s="14" t="s">
        <v>5475</v>
      </c>
      <c r="M777" s="14" t="s">
        <v>5476</v>
      </c>
    </row>
    <row r="778" spans="1:13" x14ac:dyDescent="0.25">
      <c r="A778" s="21"/>
      <c r="B778" s="21"/>
      <c r="C778" s="21"/>
      <c r="D778" s="14"/>
      <c r="E778" s="14">
        <v>16</v>
      </c>
      <c r="F778" s="15" t="s">
        <v>7278</v>
      </c>
      <c r="G778" s="14" t="s">
        <v>2601</v>
      </c>
      <c r="H778" s="14">
        <v>0</v>
      </c>
      <c r="I778" s="14">
        <v>20</v>
      </c>
      <c r="J778" s="14" t="s">
        <v>5477</v>
      </c>
      <c r="K778" s="14" t="s">
        <v>5478</v>
      </c>
      <c r="L778" s="14" t="s">
        <v>5479</v>
      </c>
      <c r="M778" s="14" t="s">
        <v>5480</v>
      </c>
    </row>
    <row r="779" spans="1:13" x14ac:dyDescent="0.25">
      <c r="A779" s="21"/>
      <c r="B779" s="21"/>
      <c r="C779" s="21"/>
      <c r="D779" s="14"/>
      <c r="E779" s="14">
        <v>17</v>
      </c>
      <c r="F779" s="15" t="s">
        <v>7279</v>
      </c>
      <c r="G779" s="14" t="s">
        <v>2602</v>
      </c>
      <c r="H779" s="14">
        <v>0</v>
      </c>
      <c r="I779" s="14">
        <v>20</v>
      </c>
      <c r="J779" s="14" t="s">
        <v>5481</v>
      </c>
      <c r="K779" s="14" t="s">
        <v>5482</v>
      </c>
      <c r="L779" s="14" t="s">
        <v>5483</v>
      </c>
      <c r="M779" s="14" t="s">
        <v>5484</v>
      </c>
    </row>
    <row r="780" spans="1:13" x14ac:dyDescent="0.25">
      <c r="A780" s="21"/>
      <c r="B780" s="21"/>
      <c r="C780" s="21"/>
      <c r="D780" s="14"/>
      <c r="E780" s="14">
        <v>18</v>
      </c>
      <c r="F780" s="15" t="s">
        <v>7280</v>
      </c>
      <c r="G780" s="14" t="s">
        <v>2603</v>
      </c>
      <c r="H780" s="14">
        <v>0</v>
      </c>
      <c r="I780" s="14">
        <v>20</v>
      </c>
      <c r="J780" s="14" t="s">
        <v>5485</v>
      </c>
      <c r="K780" s="14" t="s">
        <v>5486</v>
      </c>
      <c r="L780" s="14" t="s">
        <v>5487</v>
      </c>
      <c r="M780" s="14" t="s">
        <v>5488</v>
      </c>
    </row>
    <row r="781" spans="1:13" x14ac:dyDescent="0.25">
      <c r="A781" s="21"/>
      <c r="B781" s="21"/>
      <c r="C781" s="21"/>
      <c r="D781" s="14"/>
      <c r="E781" s="14">
        <v>19</v>
      </c>
      <c r="F781" s="15" t="s">
        <v>7281</v>
      </c>
      <c r="G781" s="14" t="s">
        <v>2604</v>
      </c>
      <c r="H781" s="14">
        <v>0</v>
      </c>
      <c r="I781" s="14">
        <v>20</v>
      </c>
      <c r="J781" s="14" t="s">
        <v>5489</v>
      </c>
      <c r="K781" s="14" t="s">
        <v>5490</v>
      </c>
      <c r="L781" s="14" t="s">
        <v>5491</v>
      </c>
      <c r="M781" s="14" t="s">
        <v>5492</v>
      </c>
    </row>
    <row r="782" spans="1:13" x14ac:dyDescent="0.25">
      <c r="A782" s="21"/>
      <c r="B782" s="21"/>
      <c r="C782" s="21"/>
      <c r="D782" s="14"/>
      <c r="E782" s="14">
        <v>20</v>
      </c>
      <c r="F782" s="15" t="s">
        <v>7282</v>
      </c>
      <c r="G782" s="14" t="s">
        <v>2605</v>
      </c>
      <c r="H782" s="14">
        <v>0</v>
      </c>
      <c r="I782" s="14">
        <v>20</v>
      </c>
      <c r="J782" s="14" t="s">
        <v>5493</v>
      </c>
      <c r="K782" s="14" t="s">
        <v>5494</v>
      </c>
      <c r="L782" s="14" t="s">
        <v>5495</v>
      </c>
      <c r="M782" s="14" t="s">
        <v>5496</v>
      </c>
    </row>
    <row r="783" spans="1:13" x14ac:dyDescent="0.25">
      <c r="A783" s="21"/>
      <c r="B783" s="21"/>
      <c r="C783" s="21"/>
      <c r="D783" s="14"/>
      <c r="E783" s="14">
        <v>21</v>
      </c>
      <c r="F783" s="15" t="s">
        <v>7283</v>
      </c>
      <c r="G783" s="14" t="s">
        <v>2606</v>
      </c>
      <c r="H783" s="14">
        <v>0</v>
      </c>
      <c r="I783" s="14">
        <v>20</v>
      </c>
      <c r="J783" s="14" t="s">
        <v>5497</v>
      </c>
      <c r="K783" s="14" t="s">
        <v>5498</v>
      </c>
      <c r="L783" s="14" t="s">
        <v>5499</v>
      </c>
      <c r="M783" s="14" t="s">
        <v>5500</v>
      </c>
    </row>
    <row r="784" spans="1:13" x14ac:dyDescent="0.25">
      <c r="A784" s="21"/>
      <c r="B784" s="21"/>
      <c r="C784" s="21"/>
      <c r="D784" s="14"/>
      <c r="E784" s="14">
        <v>22</v>
      </c>
      <c r="F784" s="15" t="s">
        <v>7284</v>
      </c>
      <c r="G784" s="14" t="s">
        <v>2607</v>
      </c>
      <c r="H784" s="14">
        <v>0</v>
      </c>
      <c r="I784" s="14">
        <v>20</v>
      </c>
      <c r="J784" s="14" t="s">
        <v>5501</v>
      </c>
      <c r="K784" s="14" t="s">
        <v>5502</v>
      </c>
      <c r="L784" s="14" t="s">
        <v>5503</v>
      </c>
      <c r="M784" s="14" t="s">
        <v>5504</v>
      </c>
    </row>
    <row r="785" spans="1:13" x14ac:dyDescent="0.25">
      <c r="A785" s="21"/>
      <c r="B785" s="21"/>
      <c r="C785" s="21"/>
      <c r="D785" s="14"/>
      <c r="E785" s="14">
        <v>23</v>
      </c>
      <c r="F785" s="15" t="s">
        <v>7285</v>
      </c>
      <c r="G785" s="14" t="s">
        <v>2625</v>
      </c>
      <c r="H785" s="14">
        <v>0</v>
      </c>
      <c r="I785" s="14">
        <v>20</v>
      </c>
      <c r="J785" s="14" t="s">
        <v>5505</v>
      </c>
      <c r="K785" s="14" t="s">
        <v>5506</v>
      </c>
      <c r="L785" s="14" t="s">
        <v>5507</v>
      </c>
      <c r="M785" s="14" t="s">
        <v>5508</v>
      </c>
    </row>
    <row r="786" spans="1:13" x14ac:dyDescent="0.25">
      <c r="A786" s="21"/>
      <c r="B786" s="21"/>
      <c r="C786" s="21"/>
      <c r="D786" s="16"/>
      <c r="E786" s="14">
        <v>24</v>
      </c>
      <c r="F786" s="15" t="s">
        <v>7286</v>
      </c>
      <c r="G786" s="14" t="s">
        <v>2608</v>
      </c>
      <c r="H786" s="14">
        <v>0</v>
      </c>
      <c r="I786" s="14">
        <v>20</v>
      </c>
      <c r="J786" s="14" t="s">
        <v>5509</v>
      </c>
      <c r="K786" s="14" t="s">
        <v>5510</v>
      </c>
      <c r="L786" s="14" t="s">
        <v>5511</v>
      </c>
      <c r="M786" s="14" t="s">
        <v>5512</v>
      </c>
    </row>
    <row r="787" spans="1:13" x14ac:dyDescent="0.25">
      <c r="A787" s="21"/>
      <c r="B787" s="21"/>
      <c r="C787" s="21"/>
      <c r="D787" s="16"/>
      <c r="E787" s="14">
        <v>25</v>
      </c>
      <c r="F787" s="15" t="s">
        <v>7287</v>
      </c>
      <c r="G787" s="14" t="s">
        <v>2609</v>
      </c>
      <c r="H787" s="14">
        <v>0</v>
      </c>
      <c r="I787" s="14">
        <v>20</v>
      </c>
      <c r="J787" s="14" t="s">
        <v>5513</v>
      </c>
      <c r="K787" s="14" t="s">
        <v>5514</v>
      </c>
      <c r="L787" s="14" t="s">
        <v>5515</v>
      </c>
      <c r="M787" s="14" t="s">
        <v>5516</v>
      </c>
    </row>
    <row r="788" spans="1:13" x14ac:dyDescent="0.25">
      <c r="A788" s="21"/>
      <c r="B788" s="21"/>
      <c r="C788" s="21"/>
      <c r="D788" s="16"/>
      <c r="E788" s="14">
        <v>26</v>
      </c>
      <c r="F788" s="15" t="s">
        <v>7288</v>
      </c>
      <c r="G788" s="14" t="s">
        <v>2610</v>
      </c>
      <c r="H788" s="14">
        <v>0</v>
      </c>
      <c r="I788" s="14">
        <v>20</v>
      </c>
      <c r="J788" s="14" t="s">
        <v>5517</v>
      </c>
      <c r="K788" s="14" t="s">
        <v>5518</v>
      </c>
      <c r="L788" s="14" t="s">
        <v>5519</v>
      </c>
      <c r="M788" s="14" t="s">
        <v>5520</v>
      </c>
    </row>
    <row r="789" spans="1:13" x14ac:dyDescent="0.25">
      <c r="A789" s="21"/>
      <c r="B789" s="21"/>
      <c r="C789" s="21"/>
      <c r="D789" s="16"/>
      <c r="E789" s="14">
        <v>27</v>
      </c>
      <c r="F789" s="15" t="s">
        <v>7289</v>
      </c>
      <c r="G789" s="14" t="s">
        <v>2611</v>
      </c>
      <c r="H789" s="14">
        <v>0</v>
      </c>
      <c r="I789" s="14">
        <v>20</v>
      </c>
      <c r="J789" s="14" t="s">
        <v>5521</v>
      </c>
      <c r="K789" s="14" t="s">
        <v>5522</v>
      </c>
      <c r="L789" s="14" t="s">
        <v>5523</v>
      </c>
      <c r="M789" s="14" t="s">
        <v>5524</v>
      </c>
    </row>
    <row r="790" spans="1:13" x14ac:dyDescent="0.25">
      <c r="A790" s="21"/>
      <c r="B790" s="21"/>
      <c r="C790" s="21"/>
      <c r="D790" s="16"/>
      <c r="E790" s="14">
        <v>28</v>
      </c>
      <c r="F790" s="15" t="s">
        <v>7290</v>
      </c>
      <c r="G790" s="14" t="s">
        <v>2612</v>
      </c>
      <c r="H790" s="14">
        <v>0</v>
      </c>
      <c r="I790" s="14">
        <v>20</v>
      </c>
      <c r="J790" s="14" t="s">
        <v>5525</v>
      </c>
      <c r="K790" s="14" t="s">
        <v>5526</v>
      </c>
      <c r="L790" s="14" t="s">
        <v>5527</v>
      </c>
      <c r="M790" s="14" t="s">
        <v>5528</v>
      </c>
    </row>
    <row r="791" spans="1:13" x14ac:dyDescent="0.25">
      <c r="A791" s="21"/>
      <c r="B791" s="21"/>
      <c r="C791" s="21"/>
      <c r="D791" s="16"/>
      <c r="E791" s="14">
        <v>29</v>
      </c>
      <c r="F791" s="15" t="s">
        <v>7291</v>
      </c>
      <c r="G791" s="14" t="s">
        <v>2613</v>
      </c>
      <c r="H791" s="14">
        <v>0</v>
      </c>
      <c r="I791" s="14">
        <v>20</v>
      </c>
      <c r="J791" s="14" t="s">
        <v>5529</v>
      </c>
      <c r="K791" s="14" t="s">
        <v>5530</v>
      </c>
      <c r="L791" s="14" t="s">
        <v>5531</v>
      </c>
      <c r="M791" s="14" t="s">
        <v>5532</v>
      </c>
    </row>
    <row r="792" spans="1:13" x14ac:dyDescent="0.25">
      <c r="A792" s="21"/>
      <c r="B792" s="21"/>
      <c r="C792" s="21"/>
      <c r="D792" s="16"/>
      <c r="E792" s="14">
        <v>30</v>
      </c>
      <c r="F792" s="15" t="s">
        <v>7292</v>
      </c>
      <c r="G792" s="14" t="s">
        <v>2614</v>
      </c>
      <c r="H792" s="14">
        <v>0</v>
      </c>
      <c r="I792" s="14">
        <v>20</v>
      </c>
      <c r="J792" s="14" t="s">
        <v>5533</v>
      </c>
      <c r="K792" s="14" t="s">
        <v>5534</v>
      </c>
      <c r="L792" s="14" t="s">
        <v>5535</v>
      </c>
      <c r="M792" s="14" t="s">
        <v>5536</v>
      </c>
    </row>
    <row r="793" spans="1:13" x14ac:dyDescent="0.25">
      <c r="A793" s="21"/>
      <c r="B793" s="21"/>
      <c r="C793" s="21"/>
      <c r="D793" s="16"/>
      <c r="E793" s="14">
        <v>31</v>
      </c>
      <c r="F793" s="15" t="s">
        <v>7293</v>
      </c>
      <c r="G793" s="14" t="s">
        <v>2615</v>
      </c>
      <c r="H793" s="14">
        <v>0</v>
      </c>
      <c r="I793" s="14">
        <v>20</v>
      </c>
      <c r="J793" s="14" t="s">
        <v>5537</v>
      </c>
      <c r="K793" s="14" t="s">
        <v>5538</v>
      </c>
      <c r="L793" s="14" t="s">
        <v>5539</v>
      </c>
      <c r="M793" s="14" t="s">
        <v>5540</v>
      </c>
    </row>
    <row r="794" spans="1:13" x14ac:dyDescent="0.25">
      <c r="A794" s="21"/>
      <c r="B794" s="21"/>
      <c r="C794" s="21"/>
      <c r="D794" s="16"/>
      <c r="E794" s="14">
        <v>32</v>
      </c>
      <c r="F794" s="15" t="s">
        <v>7294</v>
      </c>
      <c r="G794" s="14" t="s">
        <v>2616</v>
      </c>
      <c r="H794" s="14">
        <v>0</v>
      </c>
      <c r="I794" s="14">
        <v>20</v>
      </c>
      <c r="J794" s="14" t="s">
        <v>5541</v>
      </c>
      <c r="K794" s="14" t="s">
        <v>5542</v>
      </c>
      <c r="L794" s="14" t="s">
        <v>5543</v>
      </c>
      <c r="M794" s="14" t="s">
        <v>5544</v>
      </c>
    </row>
    <row r="795" spans="1:13" x14ac:dyDescent="0.25">
      <c r="A795" s="21"/>
      <c r="B795" s="21"/>
      <c r="C795" s="21"/>
      <c r="D795" s="16"/>
      <c r="E795" s="14">
        <v>33</v>
      </c>
      <c r="F795" s="15" t="s">
        <v>7295</v>
      </c>
      <c r="G795" s="14" t="s">
        <v>2617</v>
      </c>
      <c r="H795" s="14">
        <v>0</v>
      </c>
      <c r="I795" s="14">
        <v>20</v>
      </c>
      <c r="J795" s="14" t="s">
        <v>5545</v>
      </c>
      <c r="K795" s="14" t="s">
        <v>5546</v>
      </c>
      <c r="L795" s="14" t="s">
        <v>5547</v>
      </c>
      <c r="M795" s="14" t="s">
        <v>5548</v>
      </c>
    </row>
    <row r="796" spans="1:13" x14ac:dyDescent="0.25">
      <c r="A796" s="21"/>
      <c r="B796" s="21"/>
      <c r="C796" s="21"/>
      <c r="D796" s="16"/>
      <c r="E796" s="14">
        <v>34</v>
      </c>
      <c r="F796" s="15" t="s">
        <v>7296</v>
      </c>
      <c r="G796" s="14" t="s">
        <v>2618</v>
      </c>
      <c r="H796" s="14">
        <v>0</v>
      </c>
      <c r="I796" s="14">
        <v>20</v>
      </c>
      <c r="J796" s="14" t="s">
        <v>5549</v>
      </c>
      <c r="K796" s="14" t="s">
        <v>5550</v>
      </c>
      <c r="L796" s="14" t="s">
        <v>5551</v>
      </c>
      <c r="M796" s="14" t="s">
        <v>5552</v>
      </c>
    </row>
    <row r="797" spans="1:13" x14ac:dyDescent="0.25">
      <c r="A797" s="21"/>
      <c r="B797" s="21"/>
      <c r="C797" s="21"/>
      <c r="D797" s="16"/>
      <c r="E797" s="14">
        <v>35</v>
      </c>
      <c r="F797" s="15" t="s">
        <v>7297</v>
      </c>
      <c r="G797" s="14" t="s">
        <v>2619</v>
      </c>
      <c r="H797" s="14">
        <v>0</v>
      </c>
      <c r="I797" s="14">
        <v>20</v>
      </c>
      <c r="J797" s="14" t="s">
        <v>5553</v>
      </c>
      <c r="K797" s="14" t="s">
        <v>5554</v>
      </c>
      <c r="L797" s="14" t="s">
        <v>5555</v>
      </c>
      <c r="M797" s="14" t="s">
        <v>5556</v>
      </c>
    </row>
    <row r="798" spans="1:13" x14ac:dyDescent="0.25">
      <c r="A798" s="21"/>
      <c r="B798" s="21"/>
      <c r="C798" s="21"/>
      <c r="D798" s="16"/>
      <c r="E798" s="14">
        <v>36</v>
      </c>
      <c r="F798" s="15" t="s">
        <v>7298</v>
      </c>
      <c r="G798" s="14" t="s">
        <v>2620</v>
      </c>
      <c r="H798" s="14">
        <v>0</v>
      </c>
      <c r="I798" s="14">
        <v>20</v>
      </c>
      <c r="J798" s="14" t="s">
        <v>5557</v>
      </c>
      <c r="K798" s="14" t="s">
        <v>5558</v>
      </c>
      <c r="L798" s="14" t="s">
        <v>5559</v>
      </c>
      <c r="M798" s="14" t="s">
        <v>5560</v>
      </c>
    </row>
    <row r="799" spans="1:13" x14ac:dyDescent="0.25">
      <c r="A799" s="21"/>
      <c r="B799" s="21"/>
      <c r="C799" s="21"/>
      <c r="D799" s="16"/>
      <c r="E799" s="14">
        <v>37</v>
      </c>
      <c r="F799" s="15" t="s">
        <v>7299</v>
      </c>
      <c r="G799" s="14" t="s">
        <v>2621</v>
      </c>
      <c r="H799" s="14">
        <v>0</v>
      </c>
      <c r="I799" s="14">
        <v>20</v>
      </c>
      <c r="J799" s="14" t="s">
        <v>5561</v>
      </c>
      <c r="K799" s="14" t="s">
        <v>5562</v>
      </c>
      <c r="L799" s="14" t="s">
        <v>5563</v>
      </c>
      <c r="M799" s="14" t="s">
        <v>5564</v>
      </c>
    </row>
    <row r="800" spans="1:13" x14ac:dyDescent="0.25">
      <c r="A800" s="21"/>
      <c r="B800" s="21"/>
      <c r="C800" s="21"/>
      <c r="D800" s="16"/>
      <c r="E800" s="14">
        <v>38</v>
      </c>
      <c r="F800" s="15" t="s">
        <v>7300</v>
      </c>
      <c r="G800" s="14" t="s">
        <v>2622</v>
      </c>
      <c r="H800" s="14">
        <v>0</v>
      </c>
      <c r="I800" s="14">
        <v>20</v>
      </c>
      <c r="J800" s="14" t="s">
        <v>5565</v>
      </c>
      <c r="K800" s="14" t="s">
        <v>5566</v>
      </c>
      <c r="L800" s="14" t="s">
        <v>5567</v>
      </c>
      <c r="M800" s="14" t="s">
        <v>5568</v>
      </c>
    </row>
    <row r="801" spans="1:13" x14ac:dyDescent="0.25">
      <c r="A801" s="21"/>
      <c r="B801" s="21"/>
      <c r="C801" s="21"/>
      <c r="D801" s="16"/>
      <c r="E801" s="14">
        <v>39</v>
      </c>
      <c r="F801" s="15" t="s">
        <v>7301</v>
      </c>
      <c r="G801" s="14" t="s">
        <v>2623</v>
      </c>
      <c r="H801" s="14">
        <v>0</v>
      </c>
      <c r="I801" s="14">
        <v>20</v>
      </c>
      <c r="J801" s="14" t="s">
        <v>5569</v>
      </c>
      <c r="K801" s="14" t="s">
        <v>5570</v>
      </c>
      <c r="L801" s="14" t="s">
        <v>5571</v>
      </c>
      <c r="M801" s="14" t="s">
        <v>5572</v>
      </c>
    </row>
    <row r="802" spans="1:13" x14ac:dyDescent="0.25">
      <c r="A802" s="21"/>
      <c r="B802" s="21"/>
      <c r="C802" s="21"/>
      <c r="D802" s="16"/>
      <c r="E802" s="14">
        <v>40</v>
      </c>
      <c r="F802" s="15" t="s">
        <v>7302</v>
      </c>
      <c r="G802" s="14" t="s">
        <v>2624</v>
      </c>
      <c r="H802" s="14">
        <v>0</v>
      </c>
      <c r="I802" s="14">
        <v>20</v>
      </c>
      <c r="J802" s="14" t="s">
        <v>5573</v>
      </c>
      <c r="K802" s="14" t="s">
        <v>5574</v>
      </c>
      <c r="L802" s="14" t="s">
        <v>5575</v>
      </c>
      <c r="M802" s="14" t="s">
        <v>5576</v>
      </c>
    </row>
    <row r="803" spans="1:13" ht="15" customHeight="1" x14ac:dyDescent="0.25">
      <c r="A803" s="74"/>
      <c r="B803" s="74"/>
      <c r="C803" s="74">
        <v>105</v>
      </c>
      <c r="D803" s="75" t="s">
        <v>2868</v>
      </c>
      <c r="E803" s="75">
        <v>1</v>
      </c>
      <c r="F803" s="76" t="s">
        <v>7353</v>
      </c>
      <c r="G803" s="75" t="s">
        <v>2869</v>
      </c>
      <c r="H803" s="75">
        <v>0</v>
      </c>
      <c r="I803" s="75">
        <v>20</v>
      </c>
      <c r="J803" s="76" t="s">
        <v>5257</v>
      </c>
      <c r="K803" s="76" t="s">
        <v>5258</v>
      </c>
      <c r="L803" s="76" t="s">
        <v>5259</v>
      </c>
      <c r="M803" s="76" t="s">
        <v>5260</v>
      </c>
    </row>
    <row r="804" spans="1:13" x14ac:dyDescent="0.25">
      <c r="A804" s="74"/>
      <c r="B804" s="74"/>
      <c r="C804" s="74"/>
      <c r="D804" s="75" t="s">
        <v>6055</v>
      </c>
      <c r="E804" s="75">
        <v>2</v>
      </c>
      <c r="F804" s="76" t="s">
        <v>7354</v>
      </c>
      <c r="G804" s="75" t="s">
        <v>2870</v>
      </c>
      <c r="H804" s="75">
        <v>0</v>
      </c>
      <c r="I804" s="75">
        <v>20</v>
      </c>
      <c r="J804" s="76" t="s">
        <v>5261</v>
      </c>
      <c r="K804" s="76" t="s">
        <v>5262</v>
      </c>
      <c r="L804" s="76" t="s">
        <v>5263</v>
      </c>
      <c r="M804" s="76" t="s">
        <v>5264</v>
      </c>
    </row>
    <row r="805" spans="1:13" x14ac:dyDescent="0.25">
      <c r="A805" s="74"/>
      <c r="B805" s="74"/>
      <c r="C805" s="74"/>
      <c r="D805" s="75" t="s">
        <v>8972</v>
      </c>
      <c r="E805" s="75">
        <v>3</v>
      </c>
      <c r="F805" s="76" t="s">
        <v>7355</v>
      </c>
      <c r="G805" s="75" t="s">
        <v>2871</v>
      </c>
      <c r="H805" s="75">
        <v>0</v>
      </c>
      <c r="I805" s="75">
        <v>20</v>
      </c>
      <c r="J805" s="76" t="s">
        <v>5265</v>
      </c>
      <c r="K805" s="76" t="s">
        <v>5266</v>
      </c>
      <c r="L805" s="76" t="s">
        <v>5267</v>
      </c>
      <c r="M805" s="76" t="s">
        <v>5268</v>
      </c>
    </row>
    <row r="806" spans="1:13" x14ac:dyDescent="0.25">
      <c r="A806" s="74"/>
      <c r="B806" s="74"/>
      <c r="C806" s="74"/>
      <c r="D806" s="75"/>
      <c r="E806" s="75">
        <v>4</v>
      </c>
      <c r="F806" s="76" t="s">
        <v>7356</v>
      </c>
      <c r="G806" s="75" t="s">
        <v>2872</v>
      </c>
      <c r="H806" s="75">
        <v>0</v>
      </c>
      <c r="I806" s="75">
        <v>20</v>
      </c>
      <c r="J806" s="76" t="s">
        <v>5269</v>
      </c>
      <c r="K806" s="76" t="s">
        <v>5270</v>
      </c>
      <c r="L806" s="76" t="s">
        <v>5271</v>
      </c>
      <c r="M806" s="76" t="s">
        <v>5272</v>
      </c>
    </row>
    <row r="807" spans="1:13" x14ac:dyDescent="0.25">
      <c r="A807" s="74"/>
      <c r="B807" s="74"/>
      <c r="C807" s="74"/>
      <c r="D807" s="75"/>
      <c r="E807" s="75">
        <v>5</v>
      </c>
      <c r="F807" s="76" t="s">
        <v>7357</v>
      </c>
      <c r="G807" s="75" t="s">
        <v>2873</v>
      </c>
      <c r="H807" s="75">
        <v>0</v>
      </c>
      <c r="I807" s="75">
        <v>20</v>
      </c>
      <c r="J807" s="76" t="s">
        <v>5273</v>
      </c>
      <c r="K807" s="76" t="s">
        <v>5274</v>
      </c>
      <c r="L807" s="76" t="s">
        <v>5275</v>
      </c>
      <c r="M807" s="76" t="s">
        <v>5276</v>
      </c>
    </row>
    <row r="808" spans="1:13" x14ac:dyDescent="0.25">
      <c r="A808" s="74"/>
      <c r="B808" s="74"/>
      <c r="C808" s="74"/>
      <c r="D808" s="75"/>
      <c r="E808" s="75">
        <v>6</v>
      </c>
      <c r="F808" s="76" t="s">
        <v>7358</v>
      </c>
      <c r="G808" s="75" t="s">
        <v>2874</v>
      </c>
      <c r="H808" s="75">
        <v>0</v>
      </c>
      <c r="I808" s="75">
        <v>20</v>
      </c>
      <c r="J808" s="76" t="s">
        <v>5277</v>
      </c>
      <c r="K808" s="76" t="s">
        <v>5278</v>
      </c>
      <c r="L808" s="76" t="s">
        <v>5279</v>
      </c>
      <c r="M808" s="76" t="s">
        <v>5280</v>
      </c>
    </row>
    <row r="809" spans="1:13" x14ac:dyDescent="0.25">
      <c r="A809" s="74"/>
      <c r="B809" s="74"/>
      <c r="C809" s="74"/>
      <c r="D809" s="75"/>
      <c r="E809" s="75">
        <v>7</v>
      </c>
      <c r="F809" s="76" t="s">
        <v>7359</v>
      </c>
      <c r="G809" s="75" t="s">
        <v>2875</v>
      </c>
      <c r="H809" s="75">
        <v>0</v>
      </c>
      <c r="I809" s="75">
        <v>20</v>
      </c>
      <c r="J809" s="76" t="s">
        <v>5281</v>
      </c>
      <c r="K809" s="76" t="s">
        <v>5282</v>
      </c>
      <c r="L809" s="76" t="s">
        <v>5283</v>
      </c>
      <c r="M809" s="76" t="s">
        <v>5284</v>
      </c>
    </row>
    <row r="810" spans="1:13" x14ac:dyDescent="0.25">
      <c r="A810" s="74"/>
      <c r="B810" s="74"/>
      <c r="C810" s="74"/>
      <c r="D810" s="75"/>
      <c r="E810" s="75">
        <v>8</v>
      </c>
      <c r="F810" s="76" t="s">
        <v>7360</v>
      </c>
      <c r="G810" s="75" t="s">
        <v>2876</v>
      </c>
      <c r="H810" s="75">
        <v>0</v>
      </c>
      <c r="I810" s="75">
        <v>20</v>
      </c>
      <c r="J810" s="76" t="s">
        <v>5285</v>
      </c>
      <c r="K810" s="76" t="s">
        <v>5286</v>
      </c>
      <c r="L810" s="76" t="s">
        <v>5287</v>
      </c>
      <c r="M810" s="76" t="s">
        <v>5288</v>
      </c>
    </row>
    <row r="811" spans="1:13" x14ac:dyDescent="0.25">
      <c r="A811" s="74"/>
      <c r="B811" s="74"/>
      <c r="C811" s="74"/>
      <c r="D811" s="75"/>
      <c r="E811" s="75">
        <v>9</v>
      </c>
      <c r="F811" s="76" t="s">
        <v>7361</v>
      </c>
      <c r="G811" s="75" t="s">
        <v>2877</v>
      </c>
      <c r="H811" s="75">
        <v>0</v>
      </c>
      <c r="I811" s="75">
        <v>20</v>
      </c>
      <c r="J811" s="76" t="s">
        <v>5289</v>
      </c>
      <c r="K811" s="76" t="s">
        <v>5290</v>
      </c>
      <c r="L811" s="76" t="s">
        <v>5291</v>
      </c>
      <c r="M811" s="76" t="s">
        <v>5292</v>
      </c>
    </row>
    <row r="812" spans="1:13" x14ac:dyDescent="0.25">
      <c r="A812" s="74"/>
      <c r="B812" s="74"/>
      <c r="C812" s="74"/>
      <c r="D812" s="75"/>
      <c r="E812" s="75">
        <v>10</v>
      </c>
      <c r="F812" s="76" t="s">
        <v>7362</v>
      </c>
      <c r="G812" s="75" t="s">
        <v>2878</v>
      </c>
      <c r="H812" s="75">
        <v>0</v>
      </c>
      <c r="I812" s="75">
        <v>20</v>
      </c>
      <c r="J812" s="76" t="s">
        <v>5293</v>
      </c>
      <c r="K812" s="76" t="s">
        <v>5294</v>
      </c>
      <c r="L812" s="76" t="s">
        <v>5295</v>
      </c>
      <c r="M812" s="76" t="s">
        <v>5296</v>
      </c>
    </row>
    <row r="813" spans="1:13" x14ac:dyDescent="0.25">
      <c r="A813" s="74"/>
      <c r="B813" s="74"/>
      <c r="C813" s="74"/>
      <c r="D813" s="75"/>
      <c r="E813" s="75">
        <v>11</v>
      </c>
      <c r="F813" s="76" t="s">
        <v>7363</v>
      </c>
      <c r="G813" s="75" t="s">
        <v>2879</v>
      </c>
      <c r="H813" s="75">
        <v>0</v>
      </c>
      <c r="I813" s="75">
        <v>20</v>
      </c>
      <c r="J813" s="76" t="s">
        <v>5297</v>
      </c>
      <c r="K813" s="76" t="s">
        <v>5298</v>
      </c>
      <c r="L813" s="76" t="s">
        <v>5299</v>
      </c>
      <c r="M813" s="76" t="s">
        <v>5300</v>
      </c>
    </row>
    <row r="814" spans="1:13" x14ac:dyDescent="0.25">
      <c r="A814" s="74"/>
      <c r="B814" s="74"/>
      <c r="C814" s="74"/>
      <c r="D814" s="75"/>
      <c r="E814" s="75">
        <v>12</v>
      </c>
      <c r="F814" s="76" t="s">
        <v>7364</v>
      </c>
      <c r="G814" s="75" t="s">
        <v>2880</v>
      </c>
      <c r="H814" s="75">
        <v>0</v>
      </c>
      <c r="I814" s="75">
        <v>20</v>
      </c>
      <c r="J814" s="76" t="s">
        <v>5301</v>
      </c>
      <c r="K814" s="76" t="s">
        <v>5302</v>
      </c>
      <c r="L814" s="76" t="s">
        <v>5303</v>
      </c>
      <c r="M814" s="76" t="s">
        <v>5304</v>
      </c>
    </row>
    <row r="815" spans="1:13" x14ac:dyDescent="0.25">
      <c r="A815" s="74"/>
      <c r="B815" s="74"/>
      <c r="C815" s="74"/>
      <c r="D815" s="75"/>
      <c r="E815" s="75">
        <v>13</v>
      </c>
      <c r="F815" s="76" t="s">
        <v>7365</v>
      </c>
      <c r="G815" s="75" t="s">
        <v>2881</v>
      </c>
      <c r="H815" s="75">
        <v>0</v>
      </c>
      <c r="I815" s="75">
        <v>20</v>
      </c>
      <c r="J815" s="76" t="s">
        <v>5305</v>
      </c>
      <c r="K815" s="76" t="s">
        <v>5306</v>
      </c>
      <c r="L815" s="76" t="s">
        <v>5307</v>
      </c>
      <c r="M815" s="76" t="s">
        <v>5308</v>
      </c>
    </row>
    <row r="816" spans="1:13" x14ac:dyDescent="0.25">
      <c r="A816" s="74"/>
      <c r="B816" s="74"/>
      <c r="C816" s="74"/>
      <c r="D816" s="75"/>
      <c r="E816" s="75">
        <v>14</v>
      </c>
      <c r="F816" s="76" t="s">
        <v>7366</v>
      </c>
      <c r="G816" s="75" t="s">
        <v>2882</v>
      </c>
      <c r="H816" s="75">
        <v>0</v>
      </c>
      <c r="I816" s="75">
        <v>20</v>
      </c>
      <c r="J816" s="76" t="s">
        <v>5309</v>
      </c>
      <c r="K816" s="76" t="s">
        <v>5310</v>
      </c>
      <c r="L816" s="76" t="s">
        <v>5311</v>
      </c>
      <c r="M816" s="76" t="s">
        <v>5312</v>
      </c>
    </row>
    <row r="817" spans="1:13" x14ac:dyDescent="0.25">
      <c r="A817" s="74"/>
      <c r="B817" s="74"/>
      <c r="C817" s="74"/>
      <c r="D817" s="75"/>
      <c r="E817" s="75">
        <v>15</v>
      </c>
      <c r="F817" s="76" t="s">
        <v>7367</v>
      </c>
      <c r="G817" s="75" t="s">
        <v>2883</v>
      </c>
      <c r="H817" s="75">
        <v>0</v>
      </c>
      <c r="I817" s="75">
        <v>20</v>
      </c>
      <c r="J817" s="76" t="s">
        <v>5313</v>
      </c>
      <c r="K817" s="76" t="s">
        <v>5314</v>
      </c>
      <c r="L817" s="76" t="s">
        <v>5315</v>
      </c>
      <c r="M817" s="76" t="s">
        <v>5316</v>
      </c>
    </row>
    <row r="818" spans="1:13" x14ac:dyDescent="0.25">
      <c r="A818" s="74"/>
      <c r="B818" s="74"/>
      <c r="C818" s="74"/>
      <c r="D818" s="75"/>
      <c r="E818" s="75">
        <v>16</v>
      </c>
      <c r="F818" s="76" t="s">
        <v>7368</v>
      </c>
      <c r="G818" s="75" t="s">
        <v>2884</v>
      </c>
      <c r="H818" s="75">
        <v>0</v>
      </c>
      <c r="I818" s="75">
        <v>20</v>
      </c>
      <c r="J818" s="76" t="s">
        <v>5317</v>
      </c>
      <c r="K818" s="76" t="s">
        <v>5318</v>
      </c>
      <c r="L818" s="76" t="s">
        <v>5319</v>
      </c>
      <c r="M818" s="76" t="s">
        <v>5320</v>
      </c>
    </row>
    <row r="819" spans="1:13" x14ac:dyDescent="0.25">
      <c r="A819" s="74"/>
      <c r="B819" s="74"/>
      <c r="C819" s="74"/>
      <c r="D819" s="75"/>
      <c r="E819" s="75">
        <v>17</v>
      </c>
      <c r="F819" s="76" t="s">
        <v>7369</v>
      </c>
      <c r="G819" s="75" t="s">
        <v>2885</v>
      </c>
      <c r="H819" s="75">
        <v>0</v>
      </c>
      <c r="I819" s="75">
        <v>20</v>
      </c>
      <c r="J819" s="76" t="s">
        <v>5321</v>
      </c>
      <c r="K819" s="76" t="s">
        <v>5322</v>
      </c>
      <c r="L819" s="76" t="s">
        <v>5323</v>
      </c>
      <c r="M819" s="76" t="s">
        <v>5324</v>
      </c>
    </row>
    <row r="820" spans="1:13" x14ac:dyDescent="0.25">
      <c r="A820" s="74"/>
      <c r="B820" s="74"/>
      <c r="C820" s="74"/>
      <c r="D820" s="75"/>
      <c r="E820" s="75">
        <v>18</v>
      </c>
      <c r="F820" s="76" t="s">
        <v>7370</v>
      </c>
      <c r="G820" s="75" t="s">
        <v>2886</v>
      </c>
      <c r="H820" s="75">
        <v>0</v>
      </c>
      <c r="I820" s="75">
        <v>20</v>
      </c>
      <c r="J820" s="76" t="s">
        <v>5325</v>
      </c>
      <c r="K820" s="76" t="s">
        <v>5326</v>
      </c>
      <c r="L820" s="76" t="s">
        <v>5327</v>
      </c>
      <c r="M820" s="76" t="s">
        <v>5328</v>
      </c>
    </row>
    <row r="821" spans="1:13" x14ac:dyDescent="0.25">
      <c r="A821" s="74"/>
      <c r="B821" s="74"/>
      <c r="C821" s="74"/>
      <c r="D821" s="75"/>
      <c r="E821" s="75">
        <v>19</v>
      </c>
      <c r="F821" s="76" t="s">
        <v>7371</v>
      </c>
      <c r="G821" s="75" t="s">
        <v>2887</v>
      </c>
      <c r="H821" s="75">
        <v>0</v>
      </c>
      <c r="I821" s="75">
        <v>20</v>
      </c>
      <c r="J821" s="76" t="s">
        <v>5329</v>
      </c>
      <c r="K821" s="76" t="s">
        <v>5330</v>
      </c>
      <c r="L821" s="76" t="s">
        <v>5331</v>
      </c>
      <c r="M821" s="76" t="s">
        <v>5332</v>
      </c>
    </row>
    <row r="822" spans="1:13" x14ac:dyDescent="0.25">
      <c r="A822" s="74"/>
      <c r="B822" s="74"/>
      <c r="C822" s="74"/>
      <c r="D822" s="75"/>
      <c r="E822" s="75">
        <v>20</v>
      </c>
      <c r="F822" s="76" t="s">
        <v>7372</v>
      </c>
      <c r="G822" s="75" t="s">
        <v>2888</v>
      </c>
      <c r="H822" s="75">
        <v>0</v>
      </c>
      <c r="I822" s="75">
        <v>20</v>
      </c>
      <c r="J822" s="76" t="s">
        <v>5333</v>
      </c>
      <c r="K822" s="76" t="s">
        <v>5334</v>
      </c>
      <c r="L822" s="76" t="s">
        <v>5335</v>
      </c>
      <c r="M822" s="76" t="s">
        <v>5336</v>
      </c>
    </row>
    <row r="823" spans="1:13" x14ac:dyDescent="0.25">
      <c r="A823" s="74"/>
      <c r="B823" s="74"/>
      <c r="C823" s="74"/>
      <c r="D823" s="75"/>
      <c r="E823" s="75">
        <v>21</v>
      </c>
      <c r="F823" s="76" t="s">
        <v>7373</v>
      </c>
      <c r="G823" s="75" t="s">
        <v>2889</v>
      </c>
      <c r="H823" s="75">
        <v>0</v>
      </c>
      <c r="I823" s="75">
        <v>20</v>
      </c>
      <c r="J823" s="76" t="s">
        <v>5337</v>
      </c>
      <c r="K823" s="76" t="s">
        <v>5338</v>
      </c>
      <c r="L823" s="76" t="s">
        <v>5339</v>
      </c>
      <c r="M823" s="76" t="s">
        <v>5340</v>
      </c>
    </row>
    <row r="824" spans="1:13" x14ac:dyDescent="0.25">
      <c r="A824" s="74"/>
      <c r="B824" s="74"/>
      <c r="C824" s="74"/>
      <c r="D824" s="75"/>
      <c r="E824" s="75">
        <v>22</v>
      </c>
      <c r="F824" s="76" t="s">
        <v>7374</v>
      </c>
      <c r="G824" s="75" t="s">
        <v>2890</v>
      </c>
      <c r="H824" s="75">
        <v>0</v>
      </c>
      <c r="I824" s="75">
        <v>20</v>
      </c>
      <c r="J824" s="76" t="s">
        <v>5341</v>
      </c>
      <c r="K824" s="76" t="s">
        <v>5342</v>
      </c>
      <c r="L824" s="76" t="s">
        <v>5343</v>
      </c>
      <c r="M824" s="76" t="s">
        <v>5344</v>
      </c>
    </row>
    <row r="825" spans="1:13" x14ac:dyDescent="0.25">
      <c r="A825" s="74"/>
      <c r="B825" s="74"/>
      <c r="C825" s="74"/>
      <c r="D825" s="75"/>
      <c r="E825" s="75">
        <v>23</v>
      </c>
      <c r="F825" s="76" t="s">
        <v>7375</v>
      </c>
      <c r="G825" s="75" t="s">
        <v>2891</v>
      </c>
      <c r="H825" s="75">
        <v>0</v>
      </c>
      <c r="I825" s="75">
        <v>20</v>
      </c>
      <c r="J825" s="76" t="s">
        <v>5345</v>
      </c>
      <c r="K825" s="76" t="s">
        <v>5346</v>
      </c>
      <c r="L825" s="76" t="s">
        <v>5347</v>
      </c>
      <c r="M825" s="76" t="s">
        <v>5348</v>
      </c>
    </row>
    <row r="826" spans="1:13" x14ac:dyDescent="0.25">
      <c r="A826" s="74"/>
      <c r="B826" s="74"/>
      <c r="C826" s="74"/>
      <c r="D826" s="77"/>
      <c r="E826" s="75">
        <v>24</v>
      </c>
      <c r="F826" s="76" t="s">
        <v>7376</v>
      </c>
      <c r="G826" s="75" t="s">
        <v>2892</v>
      </c>
      <c r="H826" s="75">
        <v>0</v>
      </c>
      <c r="I826" s="75">
        <v>20</v>
      </c>
      <c r="J826" s="76" t="s">
        <v>5349</v>
      </c>
      <c r="K826" s="76" t="s">
        <v>5350</v>
      </c>
      <c r="L826" s="76" t="s">
        <v>5351</v>
      </c>
      <c r="M826" s="76" t="s">
        <v>5352</v>
      </c>
    </row>
    <row r="827" spans="1:13" x14ac:dyDescent="0.25">
      <c r="A827" s="74"/>
      <c r="B827" s="74"/>
      <c r="C827" s="74"/>
      <c r="D827" s="77"/>
      <c r="E827" s="75">
        <v>25</v>
      </c>
      <c r="F827" s="76" t="s">
        <v>7377</v>
      </c>
      <c r="G827" s="75" t="s">
        <v>2893</v>
      </c>
      <c r="H827" s="75">
        <v>0</v>
      </c>
      <c r="I827" s="75">
        <v>20</v>
      </c>
      <c r="J827" s="76" t="s">
        <v>5353</v>
      </c>
      <c r="K827" s="76" t="s">
        <v>5354</v>
      </c>
      <c r="L827" s="76" t="s">
        <v>5355</v>
      </c>
      <c r="M827" s="76" t="s">
        <v>5356</v>
      </c>
    </row>
    <row r="828" spans="1:13" x14ac:dyDescent="0.25">
      <c r="A828" s="74"/>
      <c r="B828" s="74"/>
      <c r="C828" s="74"/>
      <c r="D828" s="77"/>
      <c r="E828" s="75">
        <v>26</v>
      </c>
      <c r="F828" s="76" t="s">
        <v>7378</v>
      </c>
      <c r="G828" s="75" t="s">
        <v>2894</v>
      </c>
      <c r="H828" s="75">
        <v>0</v>
      </c>
      <c r="I828" s="75">
        <v>20</v>
      </c>
      <c r="J828" s="76" t="s">
        <v>5357</v>
      </c>
      <c r="K828" s="76" t="s">
        <v>5358</v>
      </c>
      <c r="L828" s="76" t="s">
        <v>5359</v>
      </c>
      <c r="M828" s="76" t="s">
        <v>5360</v>
      </c>
    </row>
    <row r="829" spans="1:13" x14ac:dyDescent="0.25">
      <c r="A829" s="74"/>
      <c r="B829" s="74"/>
      <c r="C829" s="74"/>
      <c r="D829" s="77"/>
      <c r="E829" s="75">
        <v>27</v>
      </c>
      <c r="F829" s="76" t="s">
        <v>7379</v>
      </c>
      <c r="G829" s="75" t="s">
        <v>2895</v>
      </c>
      <c r="H829" s="75">
        <v>0</v>
      </c>
      <c r="I829" s="75">
        <v>20</v>
      </c>
      <c r="J829" s="76" t="s">
        <v>5361</v>
      </c>
      <c r="K829" s="76" t="s">
        <v>5362</v>
      </c>
      <c r="L829" s="76" t="s">
        <v>5363</v>
      </c>
      <c r="M829" s="76" t="s">
        <v>5364</v>
      </c>
    </row>
    <row r="830" spans="1:13" x14ac:dyDescent="0.25">
      <c r="A830" s="74"/>
      <c r="B830" s="74"/>
      <c r="C830" s="74"/>
      <c r="D830" s="77"/>
      <c r="E830" s="75">
        <v>28</v>
      </c>
      <c r="F830" s="76" t="s">
        <v>7380</v>
      </c>
      <c r="G830" s="75" t="s">
        <v>2896</v>
      </c>
      <c r="H830" s="75">
        <v>0</v>
      </c>
      <c r="I830" s="75">
        <v>20</v>
      </c>
      <c r="J830" s="76" t="s">
        <v>5365</v>
      </c>
      <c r="K830" s="76" t="s">
        <v>5366</v>
      </c>
      <c r="L830" s="76" t="s">
        <v>5367</v>
      </c>
      <c r="M830" s="76" t="s">
        <v>5368</v>
      </c>
    </row>
    <row r="831" spans="1:13" x14ac:dyDescent="0.25">
      <c r="A831" s="74"/>
      <c r="B831" s="74"/>
      <c r="C831" s="74"/>
      <c r="D831" s="77"/>
      <c r="E831" s="75">
        <v>29</v>
      </c>
      <c r="F831" s="76" t="s">
        <v>7381</v>
      </c>
      <c r="G831" s="75" t="s">
        <v>2897</v>
      </c>
      <c r="H831" s="75">
        <v>0</v>
      </c>
      <c r="I831" s="75">
        <v>20</v>
      </c>
      <c r="J831" s="76" t="s">
        <v>5369</v>
      </c>
      <c r="K831" s="76" t="s">
        <v>5370</v>
      </c>
      <c r="L831" s="76" t="s">
        <v>5371</v>
      </c>
      <c r="M831" s="76" t="s">
        <v>5372</v>
      </c>
    </row>
    <row r="832" spans="1:13" x14ac:dyDescent="0.25">
      <c r="A832" s="74"/>
      <c r="B832" s="74"/>
      <c r="C832" s="74"/>
      <c r="D832" s="77"/>
      <c r="E832" s="75">
        <v>30</v>
      </c>
      <c r="F832" s="76" t="s">
        <v>7382</v>
      </c>
      <c r="G832" s="75" t="s">
        <v>2898</v>
      </c>
      <c r="H832" s="75">
        <v>0</v>
      </c>
      <c r="I832" s="75">
        <v>20</v>
      </c>
      <c r="J832" s="76" t="s">
        <v>5373</v>
      </c>
      <c r="K832" s="76" t="s">
        <v>5374</v>
      </c>
      <c r="L832" s="76" t="s">
        <v>5375</v>
      </c>
      <c r="M832" s="76" t="s">
        <v>5376</v>
      </c>
    </row>
    <row r="833" spans="1:17" x14ac:dyDescent="0.25">
      <c r="A833" s="74"/>
      <c r="B833" s="74"/>
      <c r="C833" s="74"/>
      <c r="D833" s="77"/>
      <c r="E833" s="75">
        <v>31</v>
      </c>
      <c r="F833" s="76" t="s">
        <v>7383</v>
      </c>
      <c r="G833" s="75" t="s">
        <v>2899</v>
      </c>
      <c r="H833" s="75">
        <v>0</v>
      </c>
      <c r="I833" s="75">
        <v>20</v>
      </c>
      <c r="J833" s="76" t="s">
        <v>5377</v>
      </c>
      <c r="K833" s="76" t="s">
        <v>5378</v>
      </c>
      <c r="L833" s="76" t="s">
        <v>5379</v>
      </c>
      <c r="M833" s="76" t="s">
        <v>5380</v>
      </c>
    </row>
    <row r="834" spans="1:17" x14ac:dyDescent="0.25">
      <c r="A834" s="74"/>
      <c r="B834" s="74"/>
      <c r="C834" s="74"/>
      <c r="D834" s="77"/>
      <c r="E834" s="75">
        <v>32</v>
      </c>
      <c r="F834" s="76" t="s">
        <v>7384</v>
      </c>
      <c r="G834" s="75" t="s">
        <v>2900</v>
      </c>
      <c r="H834" s="75">
        <v>0</v>
      </c>
      <c r="I834" s="75">
        <v>20</v>
      </c>
      <c r="J834" s="76" t="s">
        <v>5381</v>
      </c>
      <c r="K834" s="76" t="s">
        <v>5382</v>
      </c>
      <c r="L834" s="76" t="s">
        <v>5383</v>
      </c>
      <c r="M834" s="76" t="s">
        <v>5384</v>
      </c>
    </row>
    <row r="835" spans="1:17" x14ac:dyDescent="0.25">
      <c r="A835" s="74"/>
      <c r="B835" s="74"/>
      <c r="C835" s="74"/>
      <c r="D835" s="77"/>
      <c r="E835" s="75">
        <v>33</v>
      </c>
      <c r="F835" s="76" t="s">
        <v>7385</v>
      </c>
      <c r="G835" s="75" t="s">
        <v>2901</v>
      </c>
      <c r="H835" s="75">
        <v>0</v>
      </c>
      <c r="I835" s="75">
        <v>20</v>
      </c>
      <c r="J835" s="76" t="s">
        <v>5385</v>
      </c>
      <c r="K835" s="76" t="s">
        <v>5386</v>
      </c>
      <c r="L835" s="76" t="s">
        <v>5387</v>
      </c>
      <c r="M835" s="76" t="s">
        <v>5388</v>
      </c>
    </row>
    <row r="836" spans="1:17" x14ac:dyDescent="0.25">
      <c r="A836" s="74"/>
      <c r="B836" s="74"/>
      <c r="C836" s="74"/>
      <c r="D836" s="77"/>
      <c r="E836" s="75">
        <v>34</v>
      </c>
      <c r="F836" s="76" t="s">
        <v>7386</v>
      </c>
      <c r="G836" s="75" t="s">
        <v>2902</v>
      </c>
      <c r="H836" s="75">
        <v>0</v>
      </c>
      <c r="I836" s="75">
        <v>20</v>
      </c>
      <c r="J836" s="76" t="s">
        <v>5389</v>
      </c>
      <c r="K836" s="76" t="s">
        <v>5390</v>
      </c>
      <c r="L836" s="76" t="s">
        <v>5391</v>
      </c>
      <c r="M836" s="76" t="s">
        <v>5392</v>
      </c>
    </row>
    <row r="837" spans="1:17" x14ac:dyDescent="0.25">
      <c r="A837" s="74"/>
      <c r="B837" s="74"/>
      <c r="C837" s="74"/>
      <c r="D837" s="77"/>
      <c r="E837" s="75">
        <v>35</v>
      </c>
      <c r="F837" s="76" t="s">
        <v>7387</v>
      </c>
      <c r="G837" s="75" t="s">
        <v>2903</v>
      </c>
      <c r="H837" s="75">
        <v>0</v>
      </c>
      <c r="I837" s="75">
        <v>20</v>
      </c>
      <c r="J837" s="76" t="s">
        <v>5393</v>
      </c>
      <c r="K837" s="76" t="s">
        <v>5394</v>
      </c>
      <c r="L837" s="76" t="s">
        <v>5395</v>
      </c>
      <c r="M837" s="76" t="s">
        <v>5396</v>
      </c>
    </row>
    <row r="838" spans="1:17" x14ac:dyDescent="0.25">
      <c r="A838" s="74"/>
      <c r="B838" s="74"/>
      <c r="C838" s="74"/>
      <c r="D838" s="77"/>
      <c r="E838" s="75">
        <v>36</v>
      </c>
      <c r="F838" s="76" t="s">
        <v>7388</v>
      </c>
      <c r="G838" s="75" t="s">
        <v>2904</v>
      </c>
      <c r="H838" s="75">
        <v>0</v>
      </c>
      <c r="I838" s="75">
        <v>20</v>
      </c>
      <c r="J838" s="76" t="s">
        <v>5397</v>
      </c>
      <c r="K838" s="76" t="s">
        <v>5398</v>
      </c>
      <c r="L838" s="76" t="s">
        <v>5399</v>
      </c>
      <c r="M838" s="76" t="s">
        <v>5400</v>
      </c>
    </row>
    <row r="839" spans="1:17" x14ac:dyDescent="0.25">
      <c r="A839" s="74"/>
      <c r="B839" s="74"/>
      <c r="C839" s="74"/>
      <c r="D839" s="77"/>
      <c r="E839" s="75">
        <v>37</v>
      </c>
      <c r="F839" s="76" t="s">
        <v>7389</v>
      </c>
      <c r="G839" s="75" t="s">
        <v>2905</v>
      </c>
      <c r="H839" s="75">
        <v>0</v>
      </c>
      <c r="I839" s="75">
        <v>20</v>
      </c>
      <c r="J839" s="76" t="s">
        <v>5401</v>
      </c>
      <c r="K839" s="76" t="s">
        <v>5402</v>
      </c>
      <c r="L839" s="76" t="s">
        <v>5403</v>
      </c>
      <c r="M839" s="76" t="s">
        <v>5404</v>
      </c>
    </row>
    <row r="840" spans="1:17" x14ac:dyDescent="0.25">
      <c r="A840" s="74"/>
      <c r="B840" s="74"/>
      <c r="C840" s="74"/>
      <c r="D840" s="77"/>
      <c r="E840" s="75">
        <v>38</v>
      </c>
      <c r="F840" s="76" t="s">
        <v>7390</v>
      </c>
      <c r="G840" s="75" t="s">
        <v>2906</v>
      </c>
      <c r="H840" s="75">
        <v>0</v>
      </c>
      <c r="I840" s="75">
        <v>20</v>
      </c>
      <c r="J840" s="76" t="s">
        <v>5405</v>
      </c>
      <c r="K840" s="76" t="s">
        <v>5406</v>
      </c>
      <c r="L840" s="76" t="s">
        <v>5407</v>
      </c>
      <c r="M840" s="76" t="s">
        <v>5408</v>
      </c>
    </row>
    <row r="841" spans="1:17" x14ac:dyDescent="0.25">
      <c r="A841" s="74"/>
      <c r="B841" s="74"/>
      <c r="C841" s="74"/>
      <c r="D841" s="77"/>
      <c r="E841" s="75">
        <v>39</v>
      </c>
      <c r="F841" s="76" t="s">
        <v>7391</v>
      </c>
      <c r="G841" s="75" t="s">
        <v>2907</v>
      </c>
      <c r="H841" s="75">
        <v>0</v>
      </c>
      <c r="I841" s="75">
        <v>20</v>
      </c>
      <c r="J841" s="76" t="s">
        <v>5409</v>
      </c>
      <c r="K841" s="76" t="s">
        <v>5410</v>
      </c>
      <c r="L841" s="76" t="s">
        <v>5411</v>
      </c>
      <c r="M841" s="76" t="s">
        <v>5412</v>
      </c>
    </row>
    <row r="842" spans="1:17" x14ac:dyDescent="0.25">
      <c r="A842" s="74"/>
      <c r="B842" s="74"/>
      <c r="C842" s="74"/>
      <c r="D842" s="77"/>
      <c r="E842" s="75">
        <v>40</v>
      </c>
      <c r="F842" s="76" t="s">
        <v>7392</v>
      </c>
      <c r="G842" s="75" t="s">
        <v>2908</v>
      </c>
      <c r="H842" s="75">
        <v>0</v>
      </c>
      <c r="I842" s="75">
        <v>20</v>
      </c>
      <c r="J842" s="76" t="s">
        <v>5413</v>
      </c>
      <c r="K842" s="76" t="s">
        <v>5414</v>
      </c>
      <c r="L842" s="76" t="s">
        <v>5415</v>
      </c>
      <c r="M842" s="76" t="s">
        <v>5416</v>
      </c>
    </row>
    <row r="843" spans="1:17" ht="15" customHeight="1" x14ac:dyDescent="0.25">
      <c r="A843" s="60"/>
      <c r="B843" s="60"/>
      <c r="C843" s="60">
        <v>106</v>
      </c>
      <c r="D843" s="58" t="s">
        <v>4630</v>
      </c>
      <c r="E843" s="58">
        <v>1</v>
      </c>
      <c r="F843" s="58" t="s">
        <v>4831</v>
      </c>
      <c r="G843" s="58" t="s">
        <v>4631</v>
      </c>
      <c r="H843" s="58">
        <v>0</v>
      </c>
      <c r="I843" s="58">
        <v>20</v>
      </c>
      <c r="J843" s="58" t="s">
        <v>4671</v>
      </c>
      <c r="K843" s="58" t="s">
        <v>4672</v>
      </c>
      <c r="L843" s="58" t="s">
        <v>4673</v>
      </c>
      <c r="M843" s="58" t="s">
        <v>4674</v>
      </c>
      <c r="N843" s="1" t="str">
        <f>CONCATENATE("a. ",(J843))</f>
        <v>a. a. He is not happy there</v>
      </c>
      <c r="O843" s="1" t="str">
        <f>CONCATENATE("b. ",(K843))</f>
        <v>b. b. There are too many Syrians</v>
      </c>
      <c r="P843" s="1" t="str">
        <f>CONCATENATE("c. ",(L843))</f>
        <v>c. c. Things are not cheap there</v>
      </c>
      <c r="Q843" s="1" t="str">
        <f>CONCATENATE("d. ",(M843))</f>
        <v>d. d. He and his wife have no friends</v>
      </c>
    </row>
    <row r="844" spans="1:17" ht="15" customHeight="1" x14ac:dyDescent="0.25">
      <c r="A844" s="60"/>
      <c r="B844" s="60"/>
      <c r="C844" s="60"/>
      <c r="D844" s="58" t="s">
        <v>4871</v>
      </c>
      <c r="E844" s="58">
        <v>2</v>
      </c>
      <c r="F844" s="58" t="s">
        <v>4832</v>
      </c>
      <c r="G844" s="58" t="s">
        <v>4632</v>
      </c>
      <c r="H844" s="58">
        <v>0</v>
      </c>
      <c r="I844" s="58">
        <v>20</v>
      </c>
      <c r="J844" s="58" t="s">
        <v>4675</v>
      </c>
      <c r="K844" s="58" t="s">
        <v>4676</v>
      </c>
      <c r="L844" s="58" t="s">
        <v>4677</v>
      </c>
      <c r="M844" s="58" t="s">
        <v>4678</v>
      </c>
      <c r="N844" s="1" t="str">
        <f t="shared" ref="N844:N882" si="18">CONCATENATE("a. ",(J844))</f>
        <v>a. a. She is very happy in her job</v>
      </c>
      <c r="O844" s="1" t="str">
        <f t="shared" ref="O844:O882" si="19">CONCATENATE("b. ",(K844))</f>
        <v xml:space="preserve">b. b. She dislikes travelling </v>
      </c>
      <c r="P844" s="1" t="str">
        <f t="shared" ref="P844:P882" si="20">CONCATENATE("c. ",(L844))</f>
        <v>c. c. She has a small sales territory</v>
      </c>
      <c r="Q844" s="1" t="str">
        <f t="shared" ref="Q844:Q882" si="21">CONCATENATE("d. ",(M844))</f>
        <v>d. d. She is in the same place every day</v>
      </c>
    </row>
    <row r="845" spans="1:17" ht="15" customHeight="1" x14ac:dyDescent="0.25">
      <c r="A845" s="60"/>
      <c r="B845" s="60"/>
      <c r="C845" s="60"/>
      <c r="D845" s="58" t="s">
        <v>8972</v>
      </c>
      <c r="E845" s="58">
        <v>3</v>
      </c>
      <c r="F845" s="58" t="s">
        <v>4833</v>
      </c>
      <c r="G845" s="58" t="s">
        <v>4633</v>
      </c>
      <c r="H845" s="58">
        <v>0</v>
      </c>
      <c r="I845" s="58">
        <v>20</v>
      </c>
      <c r="J845" s="58" t="s">
        <v>4679</v>
      </c>
      <c r="K845" s="58" t="s">
        <v>4680</v>
      </c>
      <c r="L845" s="58" t="s">
        <v>4681</v>
      </c>
      <c r="M845" s="58" t="s">
        <v>4682</v>
      </c>
      <c r="N845" s="1" t="str">
        <f t="shared" si="18"/>
        <v>a. a. He came from a rich family</v>
      </c>
      <c r="O845" s="1" t="str">
        <f t="shared" si="19"/>
        <v>b. b. Houdini is his real name</v>
      </c>
      <c r="P845" s="1" t="str">
        <f t="shared" si="20"/>
        <v>c. c. He spent some time in a circus</v>
      </c>
      <c r="Q845" s="1" t="str">
        <f t="shared" si="21"/>
        <v>d. d. He liked to fly</v>
      </c>
    </row>
    <row r="846" spans="1:17" ht="15" customHeight="1" x14ac:dyDescent="0.25">
      <c r="A846" s="60"/>
      <c r="B846" s="60"/>
      <c r="C846" s="60"/>
      <c r="D846" s="58"/>
      <c r="E846" s="58">
        <v>4</v>
      </c>
      <c r="F846" s="58" t="s">
        <v>4834</v>
      </c>
      <c r="G846" s="58" t="s">
        <v>4634</v>
      </c>
      <c r="H846" s="58">
        <v>0</v>
      </c>
      <c r="I846" s="58">
        <v>20</v>
      </c>
      <c r="J846" s="58" t="s">
        <v>4683</v>
      </c>
      <c r="K846" s="58" t="s">
        <v>4684</v>
      </c>
      <c r="L846" s="58" t="s">
        <v>4685</v>
      </c>
      <c r="M846" s="58" t="s">
        <v>4686</v>
      </c>
      <c r="N846" s="1" t="str">
        <f t="shared" si="18"/>
        <v>a. a. The departure lounge is full</v>
      </c>
      <c r="O846" s="1" t="str">
        <f t="shared" si="19"/>
        <v>b. b. A flight has been cancelled</v>
      </c>
      <c r="P846" s="1" t="str">
        <f t="shared" si="20"/>
        <v>c. c. The airport has no information screens</v>
      </c>
      <c r="Q846" s="1" t="str">
        <f t="shared" si="21"/>
        <v>d. d. The Singapore flight will leave later than planned</v>
      </c>
    </row>
    <row r="847" spans="1:17" ht="15" customHeight="1" x14ac:dyDescent="0.25">
      <c r="A847" s="60"/>
      <c r="B847" s="60"/>
      <c r="C847" s="60"/>
      <c r="D847" s="58"/>
      <c r="E847" s="58">
        <v>5</v>
      </c>
      <c r="F847" s="58" t="s">
        <v>4835</v>
      </c>
      <c r="G847" s="58" t="s">
        <v>4635</v>
      </c>
      <c r="H847" s="58">
        <v>0</v>
      </c>
      <c r="I847" s="58">
        <v>20</v>
      </c>
      <c r="J847" s="58" t="s">
        <v>4687</v>
      </c>
      <c r="K847" s="58" t="s">
        <v>4688</v>
      </c>
      <c r="L847" s="58" t="s">
        <v>4689</v>
      </c>
      <c r="M847" s="58" t="s">
        <v>4690</v>
      </c>
      <c r="N847" s="1" t="str">
        <f t="shared" si="18"/>
        <v>a. a. Different kinds of fish</v>
      </c>
      <c r="O847" s="1" t="str">
        <f t="shared" si="19"/>
        <v>b. b. What they do on Friday nights</v>
      </c>
      <c r="P847" s="1" t="str">
        <f t="shared" si="20"/>
        <v>c. c. The town they live in</v>
      </c>
      <c r="Q847" s="1" t="str">
        <f t="shared" si="21"/>
        <v>d. d. How they spent the weekend</v>
      </c>
    </row>
    <row r="848" spans="1:17" ht="15" customHeight="1" x14ac:dyDescent="0.25">
      <c r="A848" s="60"/>
      <c r="B848" s="60"/>
      <c r="C848" s="60"/>
      <c r="D848" s="58"/>
      <c r="E848" s="58">
        <v>6</v>
      </c>
      <c r="F848" s="58" t="s">
        <v>4836</v>
      </c>
      <c r="G848" s="58" t="s">
        <v>4636</v>
      </c>
      <c r="H848" s="58">
        <v>0</v>
      </c>
      <c r="I848" s="58">
        <v>20</v>
      </c>
      <c r="J848" s="58" t="s">
        <v>4691</v>
      </c>
      <c r="K848" s="58" t="s">
        <v>4692</v>
      </c>
      <c r="L848" s="58" t="s">
        <v>4693</v>
      </c>
      <c r="M848" s="58" t="s">
        <v>4694</v>
      </c>
      <c r="N848" s="1" t="str">
        <f t="shared" si="18"/>
        <v>a. a. He promised to fight terrorism</v>
      </c>
      <c r="O848" s="1" t="str">
        <f t="shared" si="19"/>
        <v>b. b. He negotiated with Afghanistan</v>
      </c>
      <c r="P848" s="1" t="str">
        <f t="shared" si="20"/>
        <v>c. c. He ended tyranny in the world</v>
      </c>
      <c r="Q848" s="1" t="str">
        <f t="shared" si="21"/>
        <v>d. d. He finished his mandate in 2005</v>
      </c>
    </row>
    <row r="849" spans="1:17" ht="15" customHeight="1" x14ac:dyDescent="0.25">
      <c r="A849" s="60"/>
      <c r="B849" s="60"/>
      <c r="C849" s="60"/>
      <c r="D849" s="58"/>
      <c r="E849" s="58">
        <v>7</v>
      </c>
      <c r="F849" s="58" t="s">
        <v>4837</v>
      </c>
      <c r="G849" s="58" t="s">
        <v>4637</v>
      </c>
      <c r="H849" s="58">
        <v>0</v>
      </c>
      <c r="I849" s="58">
        <v>20</v>
      </c>
      <c r="J849" s="58" t="s">
        <v>4695</v>
      </c>
      <c r="K849" s="58" t="s">
        <v>4696</v>
      </c>
      <c r="L849" s="58" t="s">
        <v>4697</v>
      </c>
      <c r="M849" s="58" t="s">
        <v>4698</v>
      </c>
      <c r="N849" s="1" t="str">
        <f t="shared" si="18"/>
        <v xml:space="preserve">a. a. They all have the same opinion </v>
      </c>
      <c r="O849" s="1" t="str">
        <f t="shared" si="19"/>
        <v>b. b. They are having an argument</v>
      </c>
      <c r="P849" s="1" t="str">
        <f t="shared" si="20"/>
        <v>c. c. They are discussing a film</v>
      </c>
      <c r="Q849" s="1" t="str">
        <f t="shared" si="21"/>
        <v>d. d. They are discussing an actor</v>
      </c>
    </row>
    <row r="850" spans="1:17" ht="15" customHeight="1" x14ac:dyDescent="0.25">
      <c r="A850" s="60"/>
      <c r="B850" s="60"/>
      <c r="C850" s="60"/>
      <c r="D850" s="58"/>
      <c r="E850" s="58">
        <v>8</v>
      </c>
      <c r="F850" s="58" t="s">
        <v>4838</v>
      </c>
      <c r="G850" s="58" t="s">
        <v>4638</v>
      </c>
      <c r="H850" s="58">
        <v>0</v>
      </c>
      <c r="I850" s="58">
        <v>20</v>
      </c>
      <c r="J850" s="58" t="s">
        <v>4699</v>
      </c>
      <c r="K850" s="58" t="s">
        <v>4700</v>
      </c>
      <c r="L850" s="58" t="s">
        <v>4701</v>
      </c>
      <c r="M850" s="58" t="s">
        <v>4702</v>
      </c>
      <c r="N850" s="1" t="str">
        <f t="shared" si="18"/>
        <v>a. a. The woman has acquired a new computer.</v>
      </c>
      <c r="O850" s="1" t="str">
        <f t="shared" si="19"/>
        <v>b. b. The woman is learning a new program.</v>
      </c>
      <c r="P850" s="1" t="str">
        <f t="shared" si="20"/>
        <v>c. c. The woman’s computer is an older model.</v>
      </c>
      <c r="Q850" s="1" t="str">
        <f t="shared" si="21"/>
        <v xml:space="preserve">d. d. The woman’s computer has been repaired.      </v>
      </c>
    </row>
    <row r="851" spans="1:17" ht="15" customHeight="1" x14ac:dyDescent="0.25">
      <c r="A851" s="60"/>
      <c r="B851" s="60"/>
      <c r="C851" s="60"/>
      <c r="D851" s="58"/>
      <c r="E851" s="58">
        <v>9</v>
      </c>
      <c r="F851" s="58" t="s">
        <v>4839</v>
      </c>
      <c r="G851" s="58" t="s">
        <v>4639</v>
      </c>
      <c r="H851" s="58">
        <v>0</v>
      </c>
      <c r="I851" s="58">
        <v>20</v>
      </c>
      <c r="J851" s="58" t="s">
        <v>4703</v>
      </c>
      <c r="K851" s="58" t="s">
        <v>4704</v>
      </c>
      <c r="L851" s="58" t="s">
        <v>4705</v>
      </c>
      <c r="M851" s="58" t="s">
        <v>4706</v>
      </c>
      <c r="N851" s="1" t="str">
        <f t="shared" si="18"/>
        <v>a. a. Boring occupations</v>
      </c>
      <c r="O851" s="1" t="str">
        <f t="shared" si="19"/>
        <v xml:space="preserve">b. b. The issue of employment </v>
      </c>
      <c r="P851" s="1" t="str">
        <f t="shared" si="20"/>
        <v>c. c. Creating jobs in the White House</v>
      </c>
      <c r="Q851" s="1" t="str">
        <f t="shared" si="21"/>
        <v>d. d. American people</v>
      </c>
    </row>
    <row r="852" spans="1:17" ht="15" customHeight="1" x14ac:dyDescent="0.25">
      <c r="A852" s="60"/>
      <c r="B852" s="60"/>
      <c r="C852" s="60"/>
      <c r="D852" s="58"/>
      <c r="E852" s="58">
        <v>10</v>
      </c>
      <c r="F852" s="58" t="s">
        <v>4840</v>
      </c>
      <c r="G852" s="58" t="s">
        <v>4640</v>
      </c>
      <c r="H852" s="58">
        <v>0</v>
      </c>
      <c r="I852" s="58">
        <v>20</v>
      </c>
      <c r="J852" s="58" t="s">
        <v>4707</v>
      </c>
      <c r="K852" s="58" t="s">
        <v>4708</v>
      </c>
      <c r="L852" s="58" t="s">
        <v>4709</v>
      </c>
      <c r="M852" s="58" t="s">
        <v>4710</v>
      </c>
      <c r="N852" s="1" t="str">
        <f t="shared" si="18"/>
        <v>a. a. It pays workers very well</v>
      </c>
      <c r="O852" s="1" t="str">
        <f t="shared" si="19"/>
        <v>b. b. It sends people abroad to work</v>
      </c>
      <c r="P852" s="1" t="str">
        <f t="shared" si="20"/>
        <v>c. c. It  only sends young people abroad</v>
      </c>
      <c r="Q852" s="1" t="str">
        <f t="shared" si="21"/>
        <v>d. d. Local people resent its people</v>
      </c>
    </row>
    <row r="853" spans="1:17" ht="15" customHeight="1" x14ac:dyDescent="0.25">
      <c r="A853" s="60"/>
      <c r="B853" s="60"/>
      <c r="C853" s="60"/>
      <c r="D853" s="58"/>
      <c r="E853" s="58">
        <v>11</v>
      </c>
      <c r="F853" s="58" t="s">
        <v>4841</v>
      </c>
      <c r="G853" s="58" t="s">
        <v>4641</v>
      </c>
      <c r="H853" s="58">
        <v>0</v>
      </c>
      <c r="I853" s="58">
        <v>20</v>
      </c>
      <c r="J853" s="58" t="s">
        <v>4711</v>
      </c>
      <c r="K853" s="58" t="s">
        <v>4712</v>
      </c>
      <c r="L853" s="58" t="s">
        <v>4713</v>
      </c>
      <c r="M853" s="58" t="s">
        <v>4714</v>
      </c>
      <c r="N853" s="1" t="str">
        <f t="shared" si="18"/>
        <v>a. a. Being in a contest</v>
      </c>
      <c r="O853" s="1" t="str">
        <f t="shared" si="19"/>
        <v>b. b. Having to make a big effort</v>
      </c>
      <c r="P853" s="1" t="str">
        <f t="shared" si="20"/>
        <v>c. c. Insufficient oxygen to the brain</v>
      </c>
      <c r="Q853" s="1" t="str">
        <f t="shared" si="21"/>
        <v xml:space="preserve">d. d. High blood pressure </v>
      </c>
    </row>
    <row r="854" spans="1:17" ht="15" customHeight="1" x14ac:dyDescent="0.25">
      <c r="A854" s="60"/>
      <c r="B854" s="60"/>
      <c r="C854" s="60"/>
      <c r="D854" s="58"/>
      <c r="E854" s="58">
        <v>12</v>
      </c>
      <c r="F854" s="58" t="s">
        <v>4842</v>
      </c>
      <c r="G854" s="58" t="s">
        <v>4642</v>
      </c>
      <c r="H854" s="58">
        <v>0</v>
      </c>
      <c r="I854" s="58">
        <v>20</v>
      </c>
      <c r="J854" s="58" t="s">
        <v>4715</v>
      </c>
      <c r="K854" s="58" t="s">
        <v>4716</v>
      </c>
      <c r="L854" s="58" t="s">
        <v>4717</v>
      </c>
      <c r="M854" s="58" t="s">
        <v>4718</v>
      </c>
      <c r="N854" s="1" t="str">
        <f t="shared" si="18"/>
        <v>a. a. Invest the money</v>
      </c>
      <c r="O854" s="1" t="str">
        <f t="shared" si="19"/>
        <v>b. b. Pay for things</v>
      </c>
      <c r="P854" s="1" t="str">
        <f t="shared" si="20"/>
        <v>c. c. Go on a holiday</v>
      </c>
      <c r="Q854" s="1" t="str">
        <f t="shared" si="21"/>
        <v>d. d. Wait for a rainy day</v>
      </c>
    </row>
    <row r="855" spans="1:17" ht="15" customHeight="1" x14ac:dyDescent="0.25">
      <c r="A855" s="60"/>
      <c r="B855" s="60"/>
      <c r="C855" s="60"/>
      <c r="D855" s="58"/>
      <c r="E855" s="58">
        <v>13</v>
      </c>
      <c r="F855" s="58" t="s">
        <v>4843</v>
      </c>
      <c r="G855" s="58" t="s">
        <v>4643</v>
      </c>
      <c r="H855" s="58">
        <v>0</v>
      </c>
      <c r="I855" s="58">
        <v>20</v>
      </c>
      <c r="J855" s="58" t="s">
        <v>4719</v>
      </c>
      <c r="K855" s="58" t="s">
        <v>4720</v>
      </c>
      <c r="L855" s="58" t="s">
        <v>4721</v>
      </c>
      <c r="M855" s="58" t="s">
        <v>4722</v>
      </c>
      <c r="N855" s="1" t="str">
        <f t="shared" si="18"/>
        <v>a. a. She no longer performs official duties.</v>
      </c>
      <c r="O855" s="1" t="str">
        <f t="shared" si="19"/>
        <v>b. b. She opened the Jubilee celebrations.</v>
      </c>
      <c r="P855" s="1" t="str">
        <f t="shared" si="20"/>
        <v>c. c. She viewed a website about the celebrations.</v>
      </c>
      <c r="Q855" s="1" t="str">
        <f t="shared" si="21"/>
        <v xml:space="preserve">d. d. She has been the Queen for six decades.  </v>
      </c>
    </row>
    <row r="856" spans="1:17" ht="15" customHeight="1" x14ac:dyDescent="0.25">
      <c r="A856" s="60"/>
      <c r="B856" s="60"/>
      <c r="C856" s="60"/>
      <c r="D856" s="58"/>
      <c r="E856" s="58">
        <v>14</v>
      </c>
      <c r="F856" s="58" t="s">
        <v>4844</v>
      </c>
      <c r="G856" s="58" t="s">
        <v>4644</v>
      </c>
      <c r="H856" s="58">
        <v>0</v>
      </c>
      <c r="I856" s="58">
        <v>20</v>
      </c>
      <c r="J856" s="58" t="s">
        <v>4723</v>
      </c>
      <c r="K856" s="58" t="s">
        <v>4724</v>
      </c>
      <c r="L856" s="58" t="s">
        <v>4725</v>
      </c>
      <c r="M856" s="58" t="s">
        <v>4726</v>
      </c>
      <c r="N856" s="1" t="str">
        <f t="shared" si="18"/>
        <v>a. a. He gives twenty pounds to his brother-in-law</v>
      </c>
      <c r="O856" s="1" t="str">
        <f t="shared" si="19"/>
        <v>b. b. He is working and studying at the moment</v>
      </c>
      <c r="P856" s="1" t="str">
        <f t="shared" si="20"/>
        <v xml:space="preserve">c. c. He knows a project manager </v>
      </c>
      <c r="Q856" s="1" t="str">
        <f t="shared" si="21"/>
        <v>d. d. His parents live in Shanghai</v>
      </c>
    </row>
    <row r="857" spans="1:17" ht="15" customHeight="1" x14ac:dyDescent="0.25">
      <c r="A857" s="60"/>
      <c r="B857" s="60"/>
      <c r="C857" s="60"/>
      <c r="D857" s="58"/>
      <c r="E857" s="58">
        <v>15</v>
      </c>
      <c r="F857" s="58" t="s">
        <v>4845</v>
      </c>
      <c r="G857" s="58" t="s">
        <v>4645</v>
      </c>
      <c r="H857" s="58">
        <v>0</v>
      </c>
      <c r="I857" s="58">
        <v>20</v>
      </c>
      <c r="J857" s="58" t="s">
        <v>4727</v>
      </c>
      <c r="K857" s="58" t="s">
        <v>4728</v>
      </c>
      <c r="L857" s="58" t="s">
        <v>4729</v>
      </c>
      <c r="M857" s="58" t="s">
        <v>4730</v>
      </c>
      <c r="N857" s="1" t="str">
        <f t="shared" si="18"/>
        <v>a. a. There was an accident in India in 2004</v>
      </c>
      <c r="O857" s="1" t="str">
        <f t="shared" si="19"/>
        <v>b. b. The Union Carbide Company is still operating</v>
      </c>
      <c r="P857" s="1" t="str">
        <f t="shared" si="20"/>
        <v>c. c. Over three thousand people were killed due to a gas leak</v>
      </c>
      <c r="Q857" s="1" t="str">
        <f t="shared" si="21"/>
        <v>d. d. All of the men found guilty have gone to prison</v>
      </c>
    </row>
    <row r="858" spans="1:17" ht="15" customHeight="1" x14ac:dyDescent="0.25">
      <c r="A858" s="60"/>
      <c r="B858" s="60"/>
      <c r="C858" s="60"/>
      <c r="D858" s="58"/>
      <c r="E858" s="58">
        <v>16</v>
      </c>
      <c r="F858" s="58" t="s">
        <v>4846</v>
      </c>
      <c r="G858" s="58" t="s">
        <v>4646</v>
      </c>
      <c r="H858" s="58">
        <v>0</v>
      </c>
      <c r="I858" s="58">
        <v>20</v>
      </c>
      <c r="J858" s="58" t="s">
        <v>4731</v>
      </c>
      <c r="K858" s="58" t="s">
        <v>4732</v>
      </c>
      <c r="L858" s="58" t="s">
        <v>4733</v>
      </c>
      <c r="M858" s="58" t="s">
        <v>4734</v>
      </c>
      <c r="N858" s="1" t="str">
        <f t="shared" si="18"/>
        <v xml:space="preserve">a. a. His salary was bad </v>
      </c>
      <c r="O858" s="1" t="str">
        <f t="shared" si="19"/>
        <v>b. b. He didn’t like his workmates</v>
      </c>
      <c r="P858" s="1" t="str">
        <f t="shared" si="20"/>
        <v>c. c. He has left his job</v>
      </c>
      <c r="Q858" s="1" t="str">
        <f t="shared" si="21"/>
        <v xml:space="preserve">d. d. He likes working long hours </v>
      </c>
    </row>
    <row r="859" spans="1:17" ht="15" customHeight="1" x14ac:dyDescent="0.25">
      <c r="A859" s="60"/>
      <c r="B859" s="60"/>
      <c r="C859" s="60"/>
      <c r="D859" s="58"/>
      <c r="E859" s="58">
        <v>17</v>
      </c>
      <c r="F859" s="58" t="s">
        <v>4847</v>
      </c>
      <c r="G859" s="58" t="s">
        <v>4647</v>
      </c>
      <c r="H859" s="58">
        <v>0</v>
      </c>
      <c r="I859" s="58">
        <v>20</v>
      </c>
      <c r="J859" s="58" t="s">
        <v>4735</v>
      </c>
      <c r="K859" s="58" t="s">
        <v>4736</v>
      </c>
      <c r="L859" s="58" t="s">
        <v>4737</v>
      </c>
      <c r="M859" s="58" t="s">
        <v>4738</v>
      </c>
      <c r="N859" s="1" t="str">
        <f t="shared" si="18"/>
        <v>a. a. The hurricane was not expected</v>
      </c>
      <c r="O859" s="1" t="str">
        <f t="shared" si="19"/>
        <v>b. b. People had been told to leave New Orleans</v>
      </c>
      <c r="P859" s="1" t="str">
        <f t="shared" si="20"/>
        <v>c. c. People weren’t worried about danger</v>
      </c>
      <c r="Q859" s="1" t="str">
        <f t="shared" si="21"/>
        <v>d. d. People thought the storm would pass</v>
      </c>
    </row>
    <row r="860" spans="1:17" ht="15" customHeight="1" x14ac:dyDescent="0.25">
      <c r="A860" s="60"/>
      <c r="B860" s="60"/>
      <c r="C860" s="60"/>
      <c r="D860" s="58"/>
      <c r="E860" s="58">
        <v>18</v>
      </c>
      <c r="F860" s="58" t="s">
        <v>4848</v>
      </c>
      <c r="G860" s="58" t="s">
        <v>4648</v>
      </c>
      <c r="H860" s="58">
        <v>0</v>
      </c>
      <c r="I860" s="58">
        <v>20</v>
      </c>
      <c r="J860" s="58" t="s">
        <v>4739</v>
      </c>
      <c r="K860" s="58" t="s">
        <v>4740</v>
      </c>
      <c r="L860" s="58" t="s">
        <v>4741</v>
      </c>
      <c r="M860" s="58" t="s">
        <v>4742</v>
      </c>
      <c r="N860" s="1" t="str">
        <f t="shared" si="18"/>
        <v>a. a. It’s OK to speak about personal matters</v>
      </c>
      <c r="O860" s="1" t="str">
        <f t="shared" si="19"/>
        <v>b. b. Talking about politics is permitted</v>
      </c>
      <c r="P860" s="1" t="str">
        <f t="shared" si="20"/>
        <v>c. c. Religion is an ideal topic</v>
      </c>
      <c r="Q860" s="1" t="str">
        <f t="shared" si="21"/>
        <v>d. d. You can speak about anything you want</v>
      </c>
    </row>
    <row r="861" spans="1:17" ht="15" customHeight="1" x14ac:dyDescent="0.25">
      <c r="A861" s="60"/>
      <c r="B861" s="60"/>
      <c r="C861" s="60"/>
      <c r="D861" s="58"/>
      <c r="E861" s="58">
        <v>19</v>
      </c>
      <c r="F861" s="58" t="s">
        <v>4849</v>
      </c>
      <c r="G861" s="58" t="s">
        <v>4649</v>
      </c>
      <c r="H861" s="58">
        <v>0</v>
      </c>
      <c r="I861" s="58">
        <v>20</v>
      </c>
      <c r="J861" s="58" t="s">
        <v>4743</v>
      </c>
      <c r="K861" s="58" t="s">
        <v>4744</v>
      </c>
      <c r="L861" s="58" t="s">
        <v>4745</v>
      </c>
      <c r="M861" s="58" t="s">
        <v>4746</v>
      </c>
      <c r="N861" s="1" t="str">
        <f t="shared" si="18"/>
        <v>a. a. His family</v>
      </c>
      <c r="O861" s="1" t="str">
        <f t="shared" si="19"/>
        <v>b. b. His students</v>
      </c>
      <c r="P861" s="1" t="str">
        <f t="shared" si="20"/>
        <v>c. c. His friends</v>
      </c>
      <c r="Q861" s="1" t="str">
        <f t="shared" si="21"/>
        <v>d. d. His teachers</v>
      </c>
    </row>
    <row r="862" spans="1:17" ht="15" customHeight="1" x14ac:dyDescent="0.25">
      <c r="A862" s="60"/>
      <c r="B862" s="60"/>
      <c r="C862" s="60"/>
      <c r="D862" s="58"/>
      <c r="E862" s="58">
        <v>20</v>
      </c>
      <c r="F862" s="58" t="s">
        <v>4850</v>
      </c>
      <c r="G862" s="58" t="s">
        <v>4650</v>
      </c>
      <c r="H862" s="58">
        <v>0</v>
      </c>
      <c r="I862" s="58">
        <v>20</v>
      </c>
      <c r="J862" s="58" t="s">
        <v>4747</v>
      </c>
      <c r="K862" s="58" t="s">
        <v>4748</v>
      </c>
      <c r="L862" s="58" t="s">
        <v>4749</v>
      </c>
      <c r="M862" s="58" t="s">
        <v>4750</v>
      </c>
      <c r="N862" s="1" t="str">
        <f t="shared" si="18"/>
        <v>a. a. It struggles to keep its cultural identity.</v>
      </c>
      <c r="O862" s="1" t="str">
        <f t="shared" si="19"/>
        <v>b. b. It has few historical attractions.</v>
      </c>
      <c r="P862" s="1" t="str">
        <f t="shared" si="20"/>
        <v>c. c. It attracts European tourists.</v>
      </c>
      <c r="Q862" s="1" t="str">
        <f t="shared" si="21"/>
        <v xml:space="preserve">d. d. It is of interest to archeologists.        </v>
      </c>
    </row>
    <row r="863" spans="1:17" ht="15" customHeight="1" x14ac:dyDescent="0.25">
      <c r="A863" s="60"/>
      <c r="B863" s="60"/>
      <c r="C863" s="60"/>
      <c r="D863" s="58"/>
      <c r="E863" s="58">
        <v>21</v>
      </c>
      <c r="F863" s="58" t="s">
        <v>4851</v>
      </c>
      <c r="G863" s="58" t="s">
        <v>4651</v>
      </c>
      <c r="H863" s="58">
        <v>0</v>
      </c>
      <c r="I863" s="58">
        <v>20</v>
      </c>
      <c r="J863" s="58" t="s">
        <v>4751</v>
      </c>
      <c r="K863" s="58" t="s">
        <v>4752</v>
      </c>
      <c r="L863" s="58" t="s">
        <v>4753</v>
      </c>
      <c r="M863" s="58" t="s">
        <v>4754</v>
      </c>
      <c r="N863" s="1" t="str">
        <f t="shared" si="18"/>
        <v>a. a. It has lost popularity</v>
      </c>
      <c r="O863" s="1" t="str">
        <f t="shared" si="19"/>
        <v>b. b. It has expanded</v>
      </c>
      <c r="P863" s="1" t="str">
        <f t="shared" si="20"/>
        <v>c. c. It is now held in London</v>
      </c>
      <c r="Q863" s="1" t="str">
        <f t="shared" si="21"/>
        <v>d. d. It started in 1991</v>
      </c>
    </row>
    <row r="864" spans="1:17" ht="15" customHeight="1" x14ac:dyDescent="0.25">
      <c r="A864" s="60"/>
      <c r="B864" s="60"/>
      <c r="C864" s="60"/>
      <c r="D864" s="58"/>
      <c r="E864" s="58">
        <v>22</v>
      </c>
      <c r="F864" s="58" t="s">
        <v>4852</v>
      </c>
      <c r="G864" s="58" t="s">
        <v>4652</v>
      </c>
      <c r="H864" s="58">
        <v>0</v>
      </c>
      <c r="I864" s="58">
        <v>20</v>
      </c>
      <c r="J864" s="58" t="s">
        <v>4755</v>
      </c>
      <c r="K864" s="58" t="s">
        <v>4756</v>
      </c>
      <c r="L864" s="58" t="s">
        <v>4757</v>
      </c>
      <c r="M864" s="58" t="s">
        <v>4758</v>
      </c>
      <c r="N864" s="1" t="str">
        <f t="shared" si="18"/>
        <v>a. a. He started an organization</v>
      </c>
      <c r="O864" s="1" t="str">
        <f t="shared" si="19"/>
        <v>b. b. He misused chemicals</v>
      </c>
      <c r="P864" s="1" t="str">
        <f t="shared" si="20"/>
        <v>c. c. He worked on a grape farm</v>
      </c>
      <c r="Q864" s="1" t="str">
        <f t="shared" si="21"/>
        <v>d. d. He employed migrant workers</v>
      </c>
    </row>
    <row r="865" spans="1:17" ht="15" customHeight="1" x14ac:dyDescent="0.25">
      <c r="A865" s="60"/>
      <c r="B865" s="60"/>
      <c r="C865" s="60"/>
      <c r="D865" s="58"/>
      <c r="E865" s="58">
        <v>23</v>
      </c>
      <c r="F865" s="58" t="s">
        <v>4853</v>
      </c>
      <c r="G865" s="58" t="s">
        <v>4653</v>
      </c>
      <c r="H865" s="58">
        <v>0</v>
      </c>
      <c r="I865" s="58">
        <v>20</v>
      </c>
      <c r="J865" s="58" t="s">
        <v>4759</v>
      </c>
      <c r="K865" s="58" t="s">
        <v>4760</v>
      </c>
      <c r="L865" s="58" t="s">
        <v>4761</v>
      </c>
      <c r="M865" s="58" t="s">
        <v>4762</v>
      </c>
      <c r="N865" s="1" t="str">
        <f t="shared" si="18"/>
        <v>a. a. She lived in Africa</v>
      </c>
      <c r="O865" s="1" t="str">
        <f t="shared" si="19"/>
        <v>b. b. She sang in an opera</v>
      </c>
      <c r="P865" s="1" t="str">
        <f t="shared" si="20"/>
        <v>c. c. She had a happy childhood</v>
      </c>
      <c r="Q865" s="1" t="str">
        <f t="shared" si="21"/>
        <v>d. d. She only wrote one book</v>
      </c>
    </row>
    <row r="866" spans="1:17" ht="15" customHeight="1" x14ac:dyDescent="0.25">
      <c r="A866" s="60"/>
      <c r="B866" s="60"/>
      <c r="C866" s="60"/>
      <c r="D866" s="57"/>
      <c r="E866" s="58">
        <v>24</v>
      </c>
      <c r="F866" s="58" t="s">
        <v>4854</v>
      </c>
      <c r="G866" s="58" t="s">
        <v>4654</v>
      </c>
      <c r="H866" s="58">
        <v>0</v>
      </c>
      <c r="I866" s="58">
        <v>20</v>
      </c>
      <c r="J866" s="58" t="s">
        <v>4763</v>
      </c>
      <c r="K866" s="58" t="s">
        <v>4764</v>
      </c>
      <c r="L866" s="58" t="s">
        <v>4765</v>
      </c>
      <c r="M866" s="58" t="s">
        <v>4766</v>
      </c>
      <c r="N866" s="1" t="str">
        <f t="shared" si="18"/>
        <v>a. a. They have fewer international connections.</v>
      </c>
      <c r="O866" s="1" t="str">
        <f t="shared" si="19"/>
        <v>b. b. They have a longstanding link with their soldiers.</v>
      </c>
      <c r="P866" s="1" t="str">
        <f t="shared" si="20"/>
        <v>c. c. They regularly perform ceremonies.</v>
      </c>
      <c r="Q866" s="1" t="str">
        <f t="shared" si="21"/>
        <v xml:space="preserve">d. d. They exert influence over the C.I.A.     </v>
      </c>
    </row>
    <row r="867" spans="1:17" ht="15" customHeight="1" x14ac:dyDescent="0.25">
      <c r="A867" s="60"/>
      <c r="B867" s="60"/>
      <c r="C867" s="60"/>
      <c r="D867" s="57"/>
      <c r="E867" s="58">
        <v>25</v>
      </c>
      <c r="F867" s="58" t="s">
        <v>4855</v>
      </c>
      <c r="G867" s="58" t="s">
        <v>4655</v>
      </c>
      <c r="H867" s="58">
        <v>0</v>
      </c>
      <c r="I867" s="58">
        <v>20</v>
      </c>
      <c r="J867" s="58" t="s">
        <v>4767</v>
      </c>
      <c r="K867" s="58" t="s">
        <v>4768</v>
      </c>
      <c r="L867" s="58" t="s">
        <v>4769</v>
      </c>
      <c r="M867" s="58" t="s">
        <v>4770</v>
      </c>
      <c r="N867" s="1" t="str">
        <f t="shared" si="18"/>
        <v xml:space="preserve">a. a. They didn’t want to. </v>
      </c>
      <c r="O867" s="1" t="str">
        <f t="shared" si="19"/>
        <v>b. b. They were encouraged to.</v>
      </c>
      <c r="P867" s="1" t="str">
        <f t="shared" si="20"/>
        <v>c. c.  It made their parents anxious.</v>
      </c>
      <c r="Q867" s="1" t="str">
        <f t="shared" si="21"/>
        <v xml:space="preserve">d. d. They had unfortunate experiences.    </v>
      </c>
    </row>
    <row r="868" spans="1:17" ht="15" customHeight="1" x14ac:dyDescent="0.25">
      <c r="A868" s="60"/>
      <c r="B868" s="60"/>
      <c r="C868" s="60"/>
      <c r="D868" s="57"/>
      <c r="E868" s="58">
        <v>26</v>
      </c>
      <c r="F868" s="58" t="s">
        <v>4856</v>
      </c>
      <c r="G868" s="58" t="s">
        <v>4656</v>
      </c>
      <c r="H868" s="58">
        <v>0</v>
      </c>
      <c r="I868" s="58">
        <v>20</v>
      </c>
      <c r="J868" s="58" t="s">
        <v>4771</v>
      </c>
      <c r="K868" s="58" t="s">
        <v>4772</v>
      </c>
      <c r="L868" s="58" t="s">
        <v>4773</v>
      </c>
      <c r="M868" s="58" t="s">
        <v>4774</v>
      </c>
      <c r="N868" s="1" t="str">
        <f t="shared" si="18"/>
        <v>a. a. She went to a special gymnastic school</v>
      </c>
      <c r="O868" s="1" t="str">
        <f t="shared" si="19"/>
        <v>b. b. She disliked academic work at school</v>
      </c>
      <c r="P868" s="1" t="str">
        <f t="shared" si="20"/>
        <v>c. c. She trained at gymnastics on the weekends</v>
      </c>
      <c r="Q868" s="1" t="str">
        <f t="shared" si="21"/>
        <v>d. d. She wasn’t accepted into the gymnastic school</v>
      </c>
    </row>
    <row r="869" spans="1:17" ht="15" customHeight="1" x14ac:dyDescent="0.25">
      <c r="A869" s="60"/>
      <c r="B869" s="60"/>
      <c r="C869" s="60"/>
      <c r="D869" s="57"/>
      <c r="E869" s="58">
        <v>27</v>
      </c>
      <c r="F869" s="58" t="s">
        <v>4857</v>
      </c>
      <c r="G869" s="58" t="s">
        <v>4657</v>
      </c>
      <c r="H869" s="58">
        <v>0</v>
      </c>
      <c r="I869" s="58">
        <v>20</v>
      </c>
      <c r="J869" s="58" t="s">
        <v>4775</v>
      </c>
      <c r="K869" s="58" t="s">
        <v>4776</v>
      </c>
      <c r="L869" s="58" t="s">
        <v>4777</v>
      </c>
      <c r="M869" s="58" t="s">
        <v>4778</v>
      </c>
      <c r="N869" s="1" t="str">
        <f t="shared" si="18"/>
        <v xml:space="preserve">a. a. There are  seventeen suspects </v>
      </c>
      <c r="O869" s="1" t="str">
        <f t="shared" si="19"/>
        <v>b. b. A prosecutor confessed to the crime</v>
      </c>
      <c r="P869" s="1" t="str">
        <f t="shared" si="20"/>
        <v>c. c. Students were shot in a school</v>
      </c>
      <c r="Q869" s="1" t="str">
        <f t="shared" si="21"/>
        <v>d. d. The prime suspect died</v>
      </c>
    </row>
    <row r="870" spans="1:17" ht="15" customHeight="1" x14ac:dyDescent="0.25">
      <c r="A870" s="60"/>
      <c r="B870" s="60"/>
      <c r="C870" s="60"/>
      <c r="D870" s="57"/>
      <c r="E870" s="58">
        <v>28</v>
      </c>
      <c r="F870" s="58" t="s">
        <v>4858</v>
      </c>
      <c r="G870" s="58" t="s">
        <v>4658</v>
      </c>
      <c r="H870" s="58">
        <v>0</v>
      </c>
      <c r="I870" s="58">
        <v>20</v>
      </c>
      <c r="J870" s="58" t="s">
        <v>4779</v>
      </c>
      <c r="K870" s="58" t="s">
        <v>4780</v>
      </c>
      <c r="L870" s="58" t="s">
        <v>4781</v>
      </c>
      <c r="M870" s="58" t="s">
        <v>4782</v>
      </c>
      <c r="N870" s="1" t="str">
        <f t="shared" si="18"/>
        <v>a. a. She dislikes her school dinners</v>
      </c>
      <c r="O870" s="1" t="str">
        <f t="shared" si="19"/>
        <v>b. b. She has publicized her opinion of her school dinners</v>
      </c>
      <c r="P870" s="1" t="str">
        <f t="shared" si="20"/>
        <v>c. c. She started a charity organization for poor children</v>
      </c>
      <c r="Q870" s="1" t="str">
        <f t="shared" si="21"/>
        <v>d. d. She prefers to eat dinner at home</v>
      </c>
    </row>
    <row r="871" spans="1:17" ht="15" customHeight="1" x14ac:dyDescent="0.25">
      <c r="A871" s="60"/>
      <c r="B871" s="60"/>
      <c r="C871" s="60"/>
      <c r="D871" s="57"/>
      <c r="E871" s="58">
        <v>29</v>
      </c>
      <c r="F871" s="58" t="s">
        <v>4859</v>
      </c>
      <c r="G871" s="58" t="s">
        <v>4659</v>
      </c>
      <c r="H871" s="58">
        <v>0</v>
      </c>
      <c r="I871" s="58">
        <v>20</v>
      </c>
      <c r="J871" s="58" t="s">
        <v>4783</v>
      </c>
      <c r="K871" s="58" t="s">
        <v>4784</v>
      </c>
      <c r="L871" s="58" t="s">
        <v>4785</v>
      </c>
      <c r="M871" s="58" t="s">
        <v>4786</v>
      </c>
      <c r="N871" s="1" t="str">
        <f t="shared" si="18"/>
        <v>a. a. She doesn’t like her job</v>
      </c>
      <c r="O871" s="1" t="str">
        <f t="shared" si="19"/>
        <v>b. b. She has to do her colleague’s work</v>
      </c>
      <c r="P871" s="1" t="str">
        <f t="shared" si="20"/>
        <v>c. c. She feels that the man is not helpful</v>
      </c>
      <c r="Q871" s="1" t="str">
        <f t="shared" si="21"/>
        <v>d. d. Her manager always leaves early</v>
      </c>
    </row>
    <row r="872" spans="1:17" ht="15" customHeight="1" x14ac:dyDescent="0.25">
      <c r="A872" s="60"/>
      <c r="B872" s="60"/>
      <c r="C872" s="60"/>
      <c r="D872" s="57"/>
      <c r="E872" s="58">
        <v>30</v>
      </c>
      <c r="F872" s="58" t="s">
        <v>4860</v>
      </c>
      <c r="G872" s="58" t="s">
        <v>4660</v>
      </c>
      <c r="H872" s="58">
        <v>0</v>
      </c>
      <c r="I872" s="58">
        <v>20</v>
      </c>
      <c r="J872" s="58" t="s">
        <v>4787</v>
      </c>
      <c r="K872" s="58" t="s">
        <v>4788</v>
      </c>
      <c r="L872" s="58" t="s">
        <v>4789</v>
      </c>
      <c r="M872" s="58" t="s">
        <v>4790</v>
      </c>
      <c r="N872" s="1" t="str">
        <f t="shared" si="18"/>
        <v xml:space="preserve">a. a. Recurring headaches </v>
      </c>
      <c r="O872" s="1" t="str">
        <f t="shared" si="19"/>
        <v>b. b. Experts have found a cure for severe head pain</v>
      </c>
      <c r="P872" s="1" t="str">
        <f t="shared" si="20"/>
        <v>c. c. All headaches are easy to treat</v>
      </c>
      <c r="Q872" s="1" t="str">
        <f t="shared" si="21"/>
        <v>d. d. The use of aspirin</v>
      </c>
    </row>
    <row r="873" spans="1:17" ht="15" customHeight="1" x14ac:dyDescent="0.25">
      <c r="A873" s="60"/>
      <c r="B873" s="60"/>
      <c r="C873" s="60"/>
      <c r="D873" s="57"/>
      <c r="E873" s="58">
        <v>31</v>
      </c>
      <c r="F873" s="58" t="s">
        <v>4861</v>
      </c>
      <c r="G873" s="58" t="s">
        <v>4661</v>
      </c>
      <c r="H873" s="58">
        <v>0</v>
      </c>
      <c r="I873" s="58">
        <v>20</v>
      </c>
      <c r="J873" s="58" t="s">
        <v>4791</v>
      </c>
      <c r="K873" s="58" t="s">
        <v>4792</v>
      </c>
      <c r="L873" s="58" t="s">
        <v>4793</v>
      </c>
      <c r="M873" s="58" t="s">
        <v>4794</v>
      </c>
      <c r="N873" s="1" t="str">
        <f t="shared" si="18"/>
        <v>a. a. He had been a journalist in Iraq</v>
      </c>
      <c r="O873" s="1" t="str">
        <f t="shared" si="19"/>
        <v>b. b. He did not see war first hand</v>
      </c>
      <c r="P873" s="1" t="str">
        <f t="shared" si="20"/>
        <v>c. c. He understands how the troops feel</v>
      </c>
      <c r="Q873" s="1" t="str">
        <f t="shared" si="21"/>
        <v>d. d. He would love to return to Iraq</v>
      </c>
    </row>
    <row r="874" spans="1:17" ht="15" customHeight="1" x14ac:dyDescent="0.25">
      <c r="A874" s="60"/>
      <c r="B874" s="60"/>
      <c r="C874" s="60"/>
      <c r="D874" s="57"/>
      <c r="E874" s="58">
        <v>32</v>
      </c>
      <c r="F874" s="58" t="s">
        <v>4862</v>
      </c>
      <c r="G874" s="58" t="s">
        <v>4662</v>
      </c>
      <c r="H874" s="58">
        <v>0</v>
      </c>
      <c r="I874" s="58">
        <v>20</v>
      </c>
      <c r="J874" s="58" t="s">
        <v>4795</v>
      </c>
      <c r="K874" s="58" t="s">
        <v>4796</v>
      </c>
      <c r="L874" s="58" t="s">
        <v>4797</v>
      </c>
      <c r="M874" s="58" t="s">
        <v>4798</v>
      </c>
      <c r="N874" s="1" t="str">
        <f t="shared" si="18"/>
        <v>a. a. They are still inefficient</v>
      </c>
      <c r="O874" s="1" t="str">
        <f t="shared" si="19"/>
        <v>b. b. They are bigger than conventional ones</v>
      </c>
      <c r="P874" s="1" t="str">
        <f t="shared" si="20"/>
        <v>c. c. They do not vibrate</v>
      </c>
      <c r="Q874" s="1" t="str">
        <f t="shared" si="21"/>
        <v>d. d. They are economical at the moment</v>
      </c>
    </row>
    <row r="875" spans="1:17" ht="15" customHeight="1" x14ac:dyDescent="0.25">
      <c r="A875" s="60"/>
      <c r="B875" s="60"/>
      <c r="C875" s="60"/>
      <c r="D875" s="57"/>
      <c r="E875" s="58">
        <v>33</v>
      </c>
      <c r="F875" s="58" t="s">
        <v>4863</v>
      </c>
      <c r="G875" s="58" t="s">
        <v>4663</v>
      </c>
      <c r="H875" s="58">
        <v>0</v>
      </c>
      <c r="I875" s="58">
        <v>20</v>
      </c>
      <c r="J875" s="58" t="s">
        <v>4799</v>
      </c>
      <c r="K875" s="58" t="s">
        <v>4800</v>
      </c>
      <c r="L875" s="58" t="s">
        <v>4801</v>
      </c>
      <c r="M875" s="58" t="s">
        <v>4802</v>
      </c>
      <c r="N875" s="1" t="str">
        <f t="shared" si="18"/>
        <v>a. a. Consumers prefer designer clothes</v>
      </c>
      <c r="O875" s="1" t="str">
        <f t="shared" si="19"/>
        <v>b. b. Clothes made outside the US are more in demand</v>
      </c>
      <c r="P875" s="1" t="str">
        <f t="shared" si="20"/>
        <v>c. c. Consumers now want clothes made in the US</v>
      </c>
      <c r="Q875" s="1" t="str">
        <f t="shared" si="21"/>
        <v>d. d. Textile companies do not want to change</v>
      </c>
    </row>
    <row r="876" spans="1:17" ht="15" customHeight="1" x14ac:dyDescent="0.25">
      <c r="A876" s="60"/>
      <c r="B876" s="60"/>
      <c r="C876" s="60"/>
      <c r="D876" s="57"/>
      <c r="E876" s="58">
        <v>34</v>
      </c>
      <c r="F876" s="58" t="s">
        <v>4864</v>
      </c>
      <c r="G876" s="58" t="s">
        <v>4664</v>
      </c>
      <c r="H876" s="58">
        <v>0</v>
      </c>
      <c r="I876" s="58">
        <v>20</v>
      </c>
      <c r="J876" s="58" t="s">
        <v>4803</v>
      </c>
      <c r="K876" s="58" t="s">
        <v>4804</v>
      </c>
      <c r="L876" s="58" t="s">
        <v>4805</v>
      </c>
      <c r="M876" s="58" t="s">
        <v>4806</v>
      </c>
      <c r="N876" s="1" t="str">
        <f t="shared" si="18"/>
        <v>a. a. It is Japan’s number one toymaker</v>
      </c>
      <c r="O876" s="1" t="str">
        <f t="shared" si="19"/>
        <v>b. b. It does not want to change anything</v>
      </c>
      <c r="P876" s="1" t="str">
        <f t="shared" si="20"/>
        <v>c. c. It specializes in alarm clocks</v>
      </c>
      <c r="Q876" s="1" t="str">
        <f t="shared" si="21"/>
        <v>d. d. It makes unusual gadgets now</v>
      </c>
    </row>
    <row r="877" spans="1:17" ht="15" customHeight="1" x14ac:dyDescent="0.25">
      <c r="A877" s="60"/>
      <c r="B877" s="60"/>
      <c r="C877" s="60"/>
      <c r="D877" s="57"/>
      <c r="E877" s="58">
        <v>35</v>
      </c>
      <c r="F877" s="58" t="s">
        <v>4865</v>
      </c>
      <c r="G877" s="58" t="s">
        <v>4665</v>
      </c>
      <c r="H877" s="58">
        <v>0</v>
      </c>
      <c r="I877" s="58">
        <v>20</v>
      </c>
      <c r="J877" s="58" t="s">
        <v>4807</v>
      </c>
      <c r="K877" s="58" t="s">
        <v>4808</v>
      </c>
      <c r="L877" s="58" t="s">
        <v>4809</v>
      </c>
      <c r="M877" s="58" t="s">
        <v>4810</v>
      </c>
      <c r="N877" s="1" t="str">
        <f t="shared" si="18"/>
        <v xml:space="preserve">a. a. Natural causes </v>
      </c>
      <c r="O877" s="1" t="str">
        <f t="shared" si="19"/>
        <v>b. b. Bad agricultural practices</v>
      </c>
      <c r="P877" s="1" t="str">
        <f t="shared" si="20"/>
        <v>c. c. Clearing trees</v>
      </c>
      <c r="Q877" s="1" t="str">
        <f t="shared" si="21"/>
        <v>d. d. The United Nations</v>
      </c>
    </row>
    <row r="878" spans="1:17" ht="15" customHeight="1" x14ac:dyDescent="0.25">
      <c r="A878" s="60"/>
      <c r="B878" s="60"/>
      <c r="C878" s="60"/>
      <c r="D878" s="57"/>
      <c r="E878" s="58">
        <v>36</v>
      </c>
      <c r="F878" s="58" t="s">
        <v>4866</v>
      </c>
      <c r="G878" s="58" t="s">
        <v>4666</v>
      </c>
      <c r="H878" s="58">
        <v>0</v>
      </c>
      <c r="I878" s="58">
        <v>20</v>
      </c>
      <c r="J878" s="58" t="s">
        <v>4811</v>
      </c>
      <c r="K878" s="58" t="s">
        <v>4812</v>
      </c>
      <c r="L878" s="58" t="s">
        <v>4813</v>
      </c>
      <c r="M878" s="58" t="s">
        <v>4814</v>
      </c>
      <c r="N878" s="1" t="str">
        <f t="shared" si="18"/>
        <v>a. a. They are international</v>
      </c>
      <c r="O878" s="1" t="str">
        <f t="shared" si="19"/>
        <v>b. b. One is given every year</v>
      </c>
      <c r="P878" s="1" t="str">
        <f t="shared" si="20"/>
        <v>c. c. The recipients are very creative</v>
      </c>
      <c r="Q878" s="1" t="str">
        <f t="shared" si="21"/>
        <v>d. d. The recipients are academic achievers</v>
      </c>
    </row>
    <row r="879" spans="1:17" ht="15" customHeight="1" x14ac:dyDescent="0.25">
      <c r="A879" s="60"/>
      <c r="B879" s="60"/>
      <c r="C879" s="60"/>
      <c r="D879" s="57"/>
      <c r="E879" s="58">
        <v>37</v>
      </c>
      <c r="F879" s="58" t="s">
        <v>4867</v>
      </c>
      <c r="G879" s="58" t="s">
        <v>4667</v>
      </c>
      <c r="H879" s="58">
        <v>0</v>
      </c>
      <c r="I879" s="58">
        <v>20</v>
      </c>
      <c r="J879" s="58" t="s">
        <v>4815</v>
      </c>
      <c r="K879" s="58" t="s">
        <v>4816</v>
      </c>
      <c r="L879" s="58" t="s">
        <v>4817</v>
      </c>
      <c r="M879" s="58" t="s">
        <v>4818</v>
      </c>
      <c r="N879" s="1" t="str">
        <f t="shared" si="18"/>
        <v>a. a. He is very religious.</v>
      </c>
      <c r="O879" s="1" t="str">
        <f t="shared" si="19"/>
        <v>b. b. He studied social media at Oxford.</v>
      </c>
      <c r="P879" s="1" t="str">
        <f t="shared" si="20"/>
        <v>c. c. He won a contest.</v>
      </c>
      <c r="Q879" s="1" t="str">
        <f t="shared" si="21"/>
        <v xml:space="preserve">d. d. He dislikes working.  </v>
      </c>
    </row>
    <row r="880" spans="1:17" ht="15" customHeight="1" x14ac:dyDescent="0.25">
      <c r="A880" s="60"/>
      <c r="B880" s="60"/>
      <c r="C880" s="60"/>
      <c r="D880" s="57"/>
      <c r="E880" s="58">
        <v>38</v>
      </c>
      <c r="F880" s="58" t="s">
        <v>4868</v>
      </c>
      <c r="G880" s="58" t="s">
        <v>4668</v>
      </c>
      <c r="H880" s="58">
        <v>0</v>
      </c>
      <c r="I880" s="58">
        <v>20</v>
      </c>
      <c r="J880" s="58" t="s">
        <v>4819</v>
      </c>
      <c r="K880" s="58" t="s">
        <v>4820</v>
      </c>
      <c r="L880" s="58" t="s">
        <v>4821</v>
      </c>
      <c r="M880" s="58" t="s">
        <v>4822</v>
      </c>
      <c r="N880" s="1" t="str">
        <f t="shared" si="18"/>
        <v>a. a. Abdul Nasser Garem  is schizophrenic</v>
      </c>
      <c r="O880" s="1" t="str">
        <f t="shared" si="19"/>
        <v>b. b. He attended art school in Saudi Arabia</v>
      </c>
      <c r="P880" s="1" t="str">
        <f t="shared" si="20"/>
        <v>c. c. He taught art in the Saudi Arabian Army</v>
      </c>
      <c r="Q880" s="1" t="str">
        <f t="shared" si="21"/>
        <v>d. d. He  taught himself about art</v>
      </c>
    </row>
    <row r="881" spans="1:17" ht="15" customHeight="1" x14ac:dyDescent="0.25">
      <c r="A881" s="60"/>
      <c r="B881" s="60"/>
      <c r="C881" s="60"/>
      <c r="D881" s="57"/>
      <c r="E881" s="58">
        <v>39</v>
      </c>
      <c r="F881" s="58" t="s">
        <v>4869</v>
      </c>
      <c r="G881" s="58" t="s">
        <v>4669</v>
      </c>
      <c r="H881" s="58">
        <v>0</v>
      </c>
      <c r="I881" s="58">
        <v>20</v>
      </c>
      <c r="J881" s="58" t="s">
        <v>4823</v>
      </c>
      <c r="K881" s="58" t="s">
        <v>4824</v>
      </c>
      <c r="L881" s="58" t="s">
        <v>4825</v>
      </c>
      <c r="M881" s="58" t="s">
        <v>4826</v>
      </c>
      <c r="N881" s="1" t="str">
        <f t="shared" si="18"/>
        <v>a. a. He was a follower of Slobodan Milosevic</v>
      </c>
      <c r="O881" s="1" t="str">
        <f t="shared" si="19"/>
        <v>b. b. He believes in non-violent struggle</v>
      </c>
      <c r="P881" s="1" t="str">
        <f t="shared" si="20"/>
        <v>c. c. He learned his strategies from Arab revolutionaries</v>
      </c>
      <c r="Q881" s="1" t="str">
        <f t="shared" si="21"/>
        <v>d. d. He is a preacher from Belgrade</v>
      </c>
    </row>
    <row r="882" spans="1:17" ht="15" customHeight="1" x14ac:dyDescent="0.25">
      <c r="A882" s="60"/>
      <c r="B882" s="60"/>
      <c r="C882" s="60"/>
      <c r="D882" s="57"/>
      <c r="E882" s="58">
        <v>40</v>
      </c>
      <c r="F882" s="58" t="s">
        <v>4870</v>
      </c>
      <c r="G882" s="58" t="s">
        <v>4670</v>
      </c>
      <c r="H882" s="58">
        <v>0</v>
      </c>
      <c r="I882" s="58">
        <v>20</v>
      </c>
      <c r="J882" s="58" t="s">
        <v>4827</v>
      </c>
      <c r="K882" s="58" t="s">
        <v>4828</v>
      </c>
      <c r="L882" s="58" t="s">
        <v>4829</v>
      </c>
      <c r="M882" s="58" t="s">
        <v>4830</v>
      </c>
      <c r="N882" s="1" t="str">
        <f t="shared" si="18"/>
        <v>a. a. He liked the advertisement</v>
      </c>
      <c r="O882" s="1" t="str">
        <f t="shared" si="19"/>
        <v>b. b. He didn’t recognize the Ford logo</v>
      </c>
      <c r="P882" s="1" t="str">
        <f t="shared" si="20"/>
        <v>c. c. He never remembers car ads</v>
      </c>
      <c r="Q882" s="1" t="str">
        <f t="shared" si="21"/>
        <v>d. d. He has bought a Ford car</v>
      </c>
    </row>
    <row r="883" spans="1:17" ht="15" customHeight="1" x14ac:dyDescent="0.25">
      <c r="A883" s="27"/>
      <c r="B883" s="27"/>
      <c r="C883" s="27">
        <v>107</v>
      </c>
      <c r="D883" s="28" t="s">
        <v>5086</v>
      </c>
      <c r="E883" s="28">
        <v>1</v>
      </c>
      <c r="F883" s="28" t="s">
        <v>8973</v>
      </c>
      <c r="G883" s="28" t="s">
        <v>7312</v>
      </c>
      <c r="H883" s="28">
        <v>0</v>
      </c>
      <c r="I883" s="28">
        <v>20</v>
      </c>
      <c r="J883" s="28" t="s">
        <v>5205</v>
      </c>
      <c r="K883" s="28" t="s">
        <v>5206</v>
      </c>
      <c r="L883" s="28" t="s">
        <v>5207</v>
      </c>
      <c r="M883" s="28" t="s">
        <v>5208</v>
      </c>
    </row>
    <row r="884" spans="1:17" ht="15" customHeight="1" x14ac:dyDescent="0.25">
      <c r="A884" s="27"/>
      <c r="B884" s="27"/>
      <c r="C884" s="27"/>
      <c r="D884" s="28" t="s">
        <v>7352</v>
      </c>
      <c r="E884" s="28">
        <v>2</v>
      </c>
      <c r="F884" s="28" t="s">
        <v>8065</v>
      </c>
      <c r="G884" s="28" t="s">
        <v>7313</v>
      </c>
      <c r="H884" s="28">
        <v>0</v>
      </c>
      <c r="I884" s="28">
        <v>20</v>
      </c>
      <c r="J884" s="28" t="s">
        <v>5209</v>
      </c>
      <c r="K884" s="28" t="s">
        <v>5210</v>
      </c>
      <c r="L884" s="28" t="s">
        <v>5211</v>
      </c>
      <c r="M884" s="28" t="s">
        <v>5212</v>
      </c>
    </row>
    <row r="885" spans="1:17" ht="15" customHeight="1" x14ac:dyDescent="0.25">
      <c r="A885" s="27"/>
      <c r="B885" s="27"/>
      <c r="C885" s="27"/>
      <c r="D885" s="28" t="s">
        <v>8972</v>
      </c>
      <c r="E885" s="28">
        <v>3</v>
      </c>
      <c r="F885" s="28" t="s">
        <v>8066</v>
      </c>
      <c r="G885" s="28" t="s">
        <v>7314</v>
      </c>
      <c r="H885" s="28">
        <v>0</v>
      </c>
      <c r="I885" s="28">
        <v>20</v>
      </c>
      <c r="J885" s="28" t="s">
        <v>5213</v>
      </c>
      <c r="K885" s="28" t="s">
        <v>5214</v>
      </c>
      <c r="L885" s="28" t="s">
        <v>5215</v>
      </c>
      <c r="M885" s="28" t="s">
        <v>5216</v>
      </c>
    </row>
    <row r="886" spans="1:17" ht="15" customHeight="1" x14ac:dyDescent="0.25">
      <c r="A886" s="27"/>
      <c r="B886" s="27"/>
      <c r="C886" s="27"/>
      <c r="D886" s="28"/>
      <c r="E886" s="28">
        <v>4</v>
      </c>
      <c r="F886" s="28" t="s">
        <v>8067</v>
      </c>
      <c r="G886" s="28" t="s">
        <v>7315</v>
      </c>
      <c r="H886" s="28">
        <v>0</v>
      </c>
      <c r="I886" s="28">
        <v>20</v>
      </c>
      <c r="J886" s="28" t="s">
        <v>5087</v>
      </c>
      <c r="K886" s="28" t="s">
        <v>5088</v>
      </c>
      <c r="L886" s="28" t="s">
        <v>5089</v>
      </c>
      <c r="M886" s="28" t="s">
        <v>5090</v>
      </c>
    </row>
    <row r="887" spans="1:17" ht="15" customHeight="1" x14ac:dyDescent="0.25">
      <c r="A887" s="27"/>
      <c r="B887" s="27"/>
      <c r="C887" s="27"/>
      <c r="D887" s="28"/>
      <c r="E887" s="28">
        <v>5</v>
      </c>
      <c r="F887" s="28" t="s">
        <v>8033</v>
      </c>
      <c r="G887" s="28" t="s">
        <v>7316</v>
      </c>
      <c r="H887" s="28">
        <v>0</v>
      </c>
      <c r="I887" s="28">
        <v>20</v>
      </c>
      <c r="J887" s="28" t="s">
        <v>5123</v>
      </c>
      <c r="K887" s="28" t="s">
        <v>5124</v>
      </c>
      <c r="L887" s="28" t="s">
        <v>5125</v>
      </c>
      <c r="M887" s="28" t="s">
        <v>8072</v>
      </c>
    </row>
    <row r="888" spans="1:17" ht="15" customHeight="1" x14ac:dyDescent="0.25">
      <c r="A888" s="27"/>
      <c r="B888" s="27"/>
      <c r="C888" s="27"/>
      <c r="D888" s="28"/>
      <c r="E888" s="28">
        <v>6</v>
      </c>
      <c r="F888" s="28" t="s">
        <v>8034</v>
      </c>
      <c r="G888" s="28" t="s">
        <v>7317</v>
      </c>
      <c r="H888" s="28">
        <v>0</v>
      </c>
      <c r="I888" s="28">
        <v>20</v>
      </c>
      <c r="J888" s="28" t="s">
        <v>5146</v>
      </c>
      <c r="K888" s="28" t="s">
        <v>5147</v>
      </c>
      <c r="L888" s="28" t="s">
        <v>5148</v>
      </c>
      <c r="M888" s="28" t="s">
        <v>5149</v>
      </c>
    </row>
    <row r="889" spans="1:17" ht="15" customHeight="1" x14ac:dyDescent="0.25">
      <c r="A889" s="27"/>
      <c r="B889" s="27"/>
      <c r="C889" s="27"/>
      <c r="D889" s="28"/>
      <c r="E889" s="28">
        <v>7</v>
      </c>
      <c r="F889" s="28" t="s">
        <v>8035</v>
      </c>
      <c r="G889" s="28" t="s">
        <v>7318</v>
      </c>
      <c r="H889" s="28">
        <v>0</v>
      </c>
      <c r="I889" s="28">
        <v>20</v>
      </c>
      <c r="J889" s="28" t="s">
        <v>5150</v>
      </c>
      <c r="K889" s="28" t="s">
        <v>5151</v>
      </c>
      <c r="L889" s="28" t="s">
        <v>5152</v>
      </c>
      <c r="M889" s="28" t="s">
        <v>5153</v>
      </c>
    </row>
    <row r="890" spans="1:17" ht="15" customHeight="1" x14ac:dyDescent="0.25">
      <c r="A890" s="27"/>
      <c r="B890" s="27"/>
      <c r="C890" s="27"/>
      <c r="D890" s="28"/>
      <c r="E890" s="28">
        <v>8</v>
      </c>
      <c r="F890" s="28" t="s">
        <v>8036</v>
      </c>
      <c r="G890" s="28" t="s">
        <v>7319</v>
      </c>
      <c r="H890" s="28">
        <v>0</v>
      </c>
      <c r="I890" s="28">
        <v>20</v>
      </c>
      <c r="J890" s="28" t="s">
        <v>5158</v>
      </c>
      <c r="K890" s="28" t="s">
        <v>5159</v>
      </c>
      <c r="L890" s="28" t="s">
        <v>5160</v>
      </c>
      <c r="M890" s="28" t="s">
        <v>5161</v>
      </c>
    </row>
    <row r="891" spans="1:17" ht="15" customHeight="1" x14ac:dyDescent="0.25">
      <c r="A891" s="27"/>
      <c r="B891" s="27"/>
      <c r="C891" s="27"/>
      <c r="D891" s="28"/>
      <c r="E891" s="28">
        <v>9</v>
      </c>
      <c r="F891" s="28" t="s">
        <v>8068</v>
      </c>
      <c r="G891" s="28" t="s">
        <v>7320</v>
      </c>
      <c r="H891" s="28">
        <v>0</v>
      </c>
      <c r="I891" s="28">
        <v>20</v>
      </c>
      <c r="J891" s="28" t="s">
        <v>5091</v>
      </c>
      <c r="K891" s="28" t="s">
        <v>5092</v>
      </c>
      <c r="L891" s="28" t="s">
        <v>5093</v>
      </c>
      <c r="M891" s="28" t="s">
        <v>5094</v>
      </c>
    </row>
    <row r="892" spans="1:17" ht="15" customHeight="1" x14ac:dyDescent="0.25">
      <c r="A892" s="27"/>
      <c r="B892" s="27"/>
      <c r="C892" s="27"/>
      <c r="D892" s="28"/>
      <c r="E892" s="28">
        <v>10</v>
      </c>
      <c r="F892" s="28" t="s">
        <v>8071</v>
      </c>
      <c r="G892" s="28" t="s">
        <v>7321</v>
      </c>
      <c r="H892" s="28">
        <v>0</v>
      </c>
      <c r="I892" s="28">
        <v>20</v>
      </c>
      <c r="J892" s="28" t="s">
        <v>5095</v>
      </c>
      <c r="K892" s="28" t="s">
        <v>5096</v>
      </c>
      <c r="L892" s="28" t="s">
        <v>5097</v>
      </c>
      <c r="M892" s="28" t="s">
        <v>5098</v>
      </c>
    </row>
    <row r="893" spans="1:17" ht="15" customHeight="1" x14ac:dyDescent="0.25">
      <c r="A893" s="27"/>
      <c r="B893" s="27"/>
      <c r="C893" s="27"/>
      <c r="D893" s="28"/>
      <c r="E893" s="28">
        <v>11</v>
      </c>
      <c r="F893" s="28" t="s">
        <v>8070</v>
      </c>
      <c r="G893" s="28" t="s">
        <v>7322</v>
      </c>
      <c r="H893" s="28">
        <v>0</v>
      </c>
      <c r="I893" s="28">
        <v>20</v>
      </c>
      <c r="J893" s="28" t="s">
        <v>5099</v>
      </c>
      <c r="K893" s="28" t="s">
        <v>5100</v>
      </c>
      <c r="L893" s="28" t="s">
        <v>5101</v>
      </c>
      <c r="M893" s="28" t="s">
        <v>5102</v>
      </c>
    </row>
    <row r="894" spans="1:17" ht="15" customHeight="1" x14ac:dyDescent="0.25">
      <c r="A894" s="27"/>
      <c r="B894" s="27"/>
      <c r="C894" s="27"/>
      <c r="D894" s="28"/>
      <c r="E894" s="28">
        <v>12</v>
      </c>
      <c r="F894" s="28" t="s">
        <v>8037</v>
      </c>
      <c r="G894" s="28" t="s">
        <v>7323</v>
      </c>
      <c r="H894" s="28">
        <v>0</v>
      </c>
      <c r="I894" s="28">
        <v>20</v>
      </c>
      <c r="J894" s="28" t="s">
        <v>5107</v>
      </c>
      <c r="K894" s="28" t="s">
        <v>5108</v>
      </c>
      <c r="L894" s="28" t="s">
        <v>5109</v>
      </c>
      <c r="M894" s="28" t="s">
        <v>5110</v>
      </c>
    </row>
    <row r="895" spans="1:17" ht="15" customHeight="1" x14ac:dyDescent="0.25">
      <c r="A895" s="27"/>
      <c r="B895" s="27"/>
      <c r="C895" s="27"/>
      <c r="D895" s="28"/>
      <c r="E895" s="28">
        <v>13</v>
      </c>
      <c r="F895" s="28" t="s">
        <v>8038</v>
      </c>
      <c r="G895" s="28" t="s">
        <v>7324</v>
      </c>
      <c r="H895" s="28">
        <v>0</v>
      </c>
      <c r="I895" s="28">
        <v>20</v>
      </c>
      <c r="J895" s="28" t="s">
        <v>5119</v>
      </c>
      <c r="K895" s="28" t="s">
        <v>5120</v>
      </c>
      <c r="L895" s="28" t="s">
        <v>5121</v>
      </c>
      <c r="M895" s="28" t="s">
        <v>5122</v>
      </c>
    </row>
    <row r="896" spans="1:17" ht="15" customHeight="1" x14ac:dyDescent="0.25">
      <c r="A896" s="27"/>
      <c r="B896" s="27"/>
      <c r="C896" s="27"/>
      <c r="D896" s="28"/>
      <c r="E896" s="28">
        <v>14</v>
      </c>
      <c r="F896" s="28" t="s">
        <v>8039</v>
      </c>
      <c r="G896" s="28" t="s">
        <v>7325</v>
      </c>
      <c r="H896" s="28">
        <v>0</v>
      </c>
      <c r="I896" s="28">
        <v>20</v>
      </c>
      <c r="J896" s="28" t="s">
        <v>5134</v>
      </c>
      <c r="K896" s="28" t="s">
        <v>5135</v>
      </c>
      <c r="L896" s="28" t="s">
        <v>5136</v>
      </c>
      <c r="M896" s="28" t="s">
        <v>5137</v>
      </c>
    </row>
    <row r="897" spans="1:13" ht="15" customHeight="1" x14ac:dyDescent="0.25">
      <c r="A897" s="27"/>
      <c r="B897" s="27"/>
      <c r="C897" s="27"/>
      <c r="D897" s="28"/>
      <c r="E897" s="28">
        <v>15</v>
      </c>
      <c r="F897" s="28" t="s">
        <v>8040</v>
      </c>
      <c r="G897" s="28" t="s">
        <v>7326</v>
      </c>
      <c r="H897" s="28">
        <v>0</v>
      </c>
      <c r="I897" s="28">
        <v>20</v>
      </c>
      <c r="J897" s="28" t="s">
        <v>5138</v>
      </c>
      <c r="K897" s="28" t="s">
        <v>5139</v>
      </c>
      <c r="L897" s="28" t="s">
        <v>5140</v>
      </c>
      <c r="M897" s="28" t="s">
        <v>5141</v>
      </c>
    </row>
    <row r="898" spans="1:13" ht="15" customHeight="1" x14ac:dyDescent="0.25">
      <c r="A898" s="27"/>
      <c r="B898" s="27"/>
      <c r="C898" s="27"/>
      <c r="D898" s="28"/>
      <c r="E898" s="28">
        <v>16</v>
      </c>
      <c r="F898" s="28" t="s">
        <v>8041</v>
      </c>
      <c r="G898" s="28" t="s">
        <v>7327</v>
      </c>
      <c r="H898" s="28">
        <v>0</v>
      </c>
      <c r="I898" s="28">
        <v>20</v>
      </c>
      <c r="J898" s="28" t="s">
        <v>5142</v>
      </c>
      <c r="K898" s="28" t="s">
        <v>5143</v>
      </c>
      <c r="L898" s="28" t="s">
        <v>5144</v>
      </c>
      <c r="M898" s="28" t="s">
        <v>5145</v>
      </c>
    </row>
    <row r="899" spans="1:13" ht="15" customHeight="1" x14ac:dyDescent="0.25">
      <c r="A899" s="27"/>
      <c r="B899" s="27"/>
      <c r="C899" s="27"/>
      <c r="D899" s="28"/>
      <c r="E899" s="28">
        <v>17</v>
      </c>
      <c r="F899" s="28" t="s">
        <v>8069</v>
      </c>
      <c r="G899" s="28" t="s">
        <v>7328</v>
      </c>
      <c r="H899" s="28">
        <v>0</v>
      </c>
      <c r="I899" s="28">
        <v>20</v>
      </c>
      <c r="J899" s="28" t="s">
        <v>5103</v>
      </c>
      <c r="K899" s="28" t="s">
        <v>5104</v>
      </c>
      <c r="L899" s="28" t="s">
        <v>5105</v>
      </c>
      <c r="M899" s="28" t="s">
        <v>5106</v>
      </c>
    </row>
    <row r="900" spans="1:13" ht="15" customHeight="1" x14ac:dyDescent="0.25">
      <c r="A900" s="27"/>
      <c r="B900" s="27"/>
      <c r="C900" s="27"/>
      <c r="D900" s="28"/>
      <c r="E900" s="28">
        <v>18</v>
      </c>
      <c r="F900" s="28" t="s">
        <v>8042</v>
      </c>
      <c r="G900" s="28" t="s">
        <v>7329</v>
      </c>
      <c r="H900" s="28">
        <v>0</v>
      </c>
      <c r="I900" s="28">
        <v>20</v>
      </c>
      <c r="J900" s="28" t="s">
        <v>5111</v>
      </c>
      <c r="K900" s="28" t="s">
        <v>5112</v>
      </c>
      <c r="L900" s="28" t="s">
        <v>5113</v>
      </c>
      <c r="M900" s="28" t="s">
        <v>5114</v>
      </c>
    </row>
    <row r="901" spans="1:13" ht="15" customHeight="1" x14ac:dyDescent="0.25">
      <c r="A901" s="27"/>
      <c r="B901" s="27"/>
      <c r="C901" s="27"/>
      <c r="D901" s="28"/>
      <c r="E901" s="28">
        <v>19</v>
      </c>
      <c r="F901" s="28" t="s">
        <v>8043</v>
      </c>
      <c r="G901" s="28" t="s">
        <v>7330</v>
      </c>
      <c r="H901" s="28">
        <v>0</v>
      </c>
      <c r="I901" s="28">
        <v>20</v>
      </c>
      <c r="J901" s="28" t="s">
        <v>5115</v>
      </c>
      <c r="K901" s="28" t="s">
        <v>5116</v>
      </c>
      <c r="L901" s="28" t="s">
        <v>5117</v>
      </c>
      <c r="M901" s="28" t="s">
        <v>5118</v>
      </c>
    </row>
    <row r="902" spans="1:13" ht="15" customHeight="1" x14ac:dyDescent="0.25">
      <c r="A902" s="27"/>
      <c r="B902" s="27"/>
      <c r="C902" s="27"/>
      <c r="D902" s="28"/>
      <c r="E902" s="28">
        <v>20</v>
      </c>
      <c r="F902" s="28" t="s">
        <v>8044</v>
      </c>
      <c r="G902" s="28" t="s">
        <v>7331</v>
      </c>
      <c r="H902" s="28">
        <v>0</v>
      </c>
      <c r="I902" s="28">
        <v>20</v>
      </c>
      <c r="J902" s="28" t="s">
        <v>5130</v>
      </c>
      <c r="K902" s="28" t="s">
        <v>5131</v>
      </c>
      <c r="L902" s="28" t="s">
        <v>5132</v>
      </c>
      <c r="M902" s="28" t="s">
        <v>5133</v>
      </c>
    </row>
    <row r="903" spans="1:13" ht="15" customHeight="1" x14ac:dyDescent="0.25">
      <c r="A903" s="27"/>
      <c r="B903" s="27"/>
      <c r="C903" s="27"/>
      <c r="D903" s="28"/>
      <c r="E903" s="28">
        <v>21</v>
      </c>
      <c r="F903" s="28" t="s">
        <v>8045</v>
      </c>
      <c r="G903" s="28" t="s">
        <v>7332</v>
      </c>
      <c r="H903" s="28">
        <v>0</v>
      </c>
      <c r="I903" s="28">
        <v>20</v>
      </c>
      <c r="J903" s="28" t="s">
        <v>5126</v>
      </c>
      <c r="K903" s="28" t="s">
        <v>5127</v>
      </c>
      <c r="L903" s="28" t="s">
        <v>5128</v>
      </c>
      <c r="M903" s="28" t="s">
        <v>5129</v>
      </c>
    </row>
    <row r="904" spans="1:13" ht="15" customHeight="1" x14ac:dyDescent="0.25">
      <c r="A904" s="27"/>
      <c r="B904" s="27"/>
      <c r="C904" s="27"/>
      <c r="D904" s="28"/>
      <c r="E904" s="28">
        <v>22</v>
      </c>
      <c r="F904" s="28" t="s">
        <v>8046</v>
      </c>
      <c r="G904" s="28" t="s">
        <v>7333</v>
      </c>
      <c r="H904" s="28">
        <v>0</v>
      </c>
      <c r="I904" s="28">
        <v>20</v>
      </c>
      <c r="J904" s="28" t="s">
        <v>5178</v>
      </c>
      <c r="K904" s="28" t="s">
        <v>5179</v>
      </c>
      <c r="L904" s="28" t="s">
        <v>5180</v>
      </c>
      <c r="M904" s="28" t="s">
        <v>5181</v>
      </c>
    </row>
    <row r="905" spans="1:13" ht="15" customHeight="1" x14ac:dyDescent="0.25">
      <c r="A905" s="27"/>
      <c r="B905" s="27"/>
      <c r="C905" s="27"/>
      <c r="D905" s="28"/>
      <c r="E905" s="28">
        <v>23</v>
      </c>
      <c r="F905" s="28" t="s">
        <v>8047</v>
      </c>
      <c r="G905" s="28" t="s">
        <v>7334</v>
      </c>
      <c r="H905" s="28">
        <v>0</v>
      </c>
      <c r="I905" s="28">
        <v>20</v>
      </c>
      <c r="J905" s="28" t="s">
        <v>5182</v>
      </c>
      <c r="K905" s="28" t="s">
        <v>5183</v>
      </c>
      <c r="L905" s="28" t="s">
        <v>5184</v>
      </c>
      <c r="M905" s="28" t="s">
        <v>5185</v>
      </c>
    </row>
    <row r="906" spans="1:13" ht="15" customHeight="1" x14ac:dyDescent="0.25">
      <c r="A906" s="27"/>
      <c r="B906" s="27"/>
      <c r="C906" s="27"/>
      <c r="D906" s="26"/>
      <c r="E906" s="28">
        <v>24</v>
      </c>
      <c r="F906" s="28" t="s">
        <v>8048</v>
      </c>
      <c r="G906" s="28" t="s">
        <v>7335</v>
      </c>
      <c r="H906" s="28">
        <v>0</v>
      </c>
      <c r="I906" s="28">
        <v>20</v>
      </c>
      <c r="J906" s="28" t="s">
        <v>8073</v>
      </c>
      <c r="K906" s="28" t="s">
        <v>8097</v>
      </c>
      <c r="L906" s="28" t="s">
        <v>8074</v>
      </c>
      <c r="M906" s="28" t="s">
        <v>8075</v>
      </c>
    </row>
    <row r="907" spans="1:13" ht="15" customHeight="1" x14ac:dyDescent="0.25">
      <c r="A907" s="27"/>
      <c r="B907" s="27"/>
      <c r="C907" s="27"/>
      <c r="D907" s="26"/>
      <c r="E907" s="28">
        <v>25</v>
      </c>
      <c r="F907" s="28" t="s">
        <v>8049</v>
      </c>
      <c r="G907" s="28" t="s">
        <v>7336</v>
      </c>
      <c r="H907" s="28">
        <v>0</v>
      </c>
      <c r="I907" s="28">
        <v>20</v>
      </c>
      <c r="J907" s="28" t="s">
        <v>5194</v>
      </c>
      <c r="K907" s="28" t="s">
        <v>5195</v>
      </c>
      <c r="L907" s="28" t="s">
        <v>5196</v>
      </c>
      <c r="M907" s="28" t="s">
        <v>8076</v>
      </c>
    </row>
    <row r="908" spans="1:13" ht="15" customHeight="1" x14ac:dyDescent="0.25">
      <c r="A908" s="27"/>
      <c r="B908" s="27"/>
      <c r="C908" s="27"/>
      <c r="D908" s="26"/>
      <c r="E908" s="28">
        <v>26</v>
      </c>
      <c r="F908" s="28" t="s">
        <v>8050</v>
      </c>
      <c r="G908" s="28" t="s">
        <v>7337</v>
      </c>
      <c r="H908" s="28">
        <v>0</v>
      </c>
      <c r="I908" s="28">
        <v>20</v>
      </c>
      <c r="J908" s="28" t="s">
        <v>5197</v>
      </c>
      <c r="K908" s="28" t="s">
        <v>5198</v>
      </c>
      <c r="L908" s="28" t="s">
        <v>5199</v>
      </c>
      <c r="M908" s="28" t="s">
        <v>5200</v>
      </c>
    </row>
    <row r="909" spans="1:13" ht="15" customHeight="1" x14ac:dyDescent="0.25">
      <c r="A909" s="27"/>
      <c r="B909" s="27"/>
      <c r="C909" s="27"/>
      <c r="D909" s="26"/>
      <c r="E909" s="28">
        <v>27</v>
      </c>
      <c r="F909" s="28" t="s">
        <v>8051</v>
      </c>
      <c r="G909" s="28" t="s">
        <v>7338</v>
      </c>
      <c r="H909" s="28">
        <v>0</v>
      </c>
      <c r="I909" s="28">
        <v>20</v>
      </c>
      <c r="J909" s="28" t="s">
        <v>5162</v>
      </c>
      <c r="K909" s="28" t="s">
        <v>5163</v>
      </c>
      <c r="L909" s="28" t="s">
        <v>5164</v>
      </c>
      <c r="M909" s="28" t="s">
        <v>5165</v>
      </c>
    </row>
    <row r="910" spans="1:13" ht="15" customHeight="1" x14ac:dyDescent="0.25">
      <c r="A910" s="27"/>
      <c r="B910" s="27"/>
      <c r="C910" s="27"/>
      <c r="D910" s="26"/>
      <c r="E910" s="28">
        <v>28</v>
      </c>
      <c r="F910" s="28" t="s">
        <v>8052</v>
      </c>
      <c r="G910" s="28" t="s">
        <v>7339</v>
      </c>
      <c r="H910" s="28">
        <v>0</v>
      </c>
      <c r="I910" s="28">
        <v>20</v>
      </c>
      <c r="J910" s="28" t="s">
        <v>5166</v>
      </c>
      <c r="K910" s="28" t="s">
        <v>5167</v>
      </c>
      <c r="L910" s="28" t="s">
        <v>5168</v>
      </c>
      <c r="M910" s="28" t="s">
        <v>5169</v>
      </c>
    </row>
    <row r="911" spans="1:13" ht="15" customHeight="1" x14ac:dyDescent="0.25">
      <c r="A911" s="27"/>
      <c r="B911" s="27"/>
      <c r="C911" s="27"/>
      <c r="D911" s="26"/>
      <c r="E911" s="28">
        <v>29</v>
      </c>
      <c r="F911" s="28" t="s">
        <v>8053</v>
      </c>
      <c r="G911" s="28" t="s">
        <v>7340</v>
      </c>
      <c r="H911" s="28">
        <v>0</v>
      </c>
      <c r="I911" s="28">
        <v>20</v>
      </c>
      <c r="J911" s="28" t="s">
        <v>5170</v>
      </c>
      <c r="K911" s="28" t="s">
        <v>5171</v>
      </c>
      <c r="L911" s="28" t="s">
        <v>5172</v>
      </c>
      <c r="M911" s="28" t="s">
        <v>5173</v>
      </c>
    </row>
    <row r="912" spans="1:13" ht="15" customHeight="1" x14ac:dyDescent="0.25">
      <c r="A912" s="27"/>
      <c r="B912" s="27"/>
      <c r="C912" s="27"/>
      <c r="D912" s="26"/>
      <c r="E912" s="28">
        <v>30</v>
      </c>
      <c r="F912" s="28" t="s">
        <v>8054</v>
      </c>
      <c r="G912" s="28" t="s">
        <v>7341</v>
      </c>
      <c r="H912" s="28">
        <v>0</v>
      </c>
      <c r="I912" s="28">
        <v>20</v>
      </c>
      <c r="J912" s="28" t="s">
        <v>5174</v>
      </c>
      <c r="K912" s="28" t="s">
        <v>5175</v>
      </c>
      <c r="L912" s="28" t="s">
        <v>5176</v>
      </c>
      <c r="M912" s="28" t="s">
        <v>5177</v>
      </c>
    </row>
    <row r="913" spans="1:14" ht="15" customHeight="1" x14ac:dyDescent="0.25">
      <c r="A913" s="27"/>
      <c r="B913" s="27"/>
      <c r="C913" s="27"/>
      <c r="D913" s="26"/>
      <c r="E913" s="28">
        <v>31</v>
      </c>
      <c r="F913" s="28" t="s">
        <v>8055</v>
      </c>
      <c r="G913" s="28" t="s">
        <v>7342</v>
      </c>
      <c r="H913" s="28">
        <v>0</v>
      </c>
      <c r="I913" s="28">
        <v>20</v>
      </c>
      <c r="J913" s="28" t="s">
        <v>5186</v>
      </c>
      <c r="K913" s="28" t="s">
        <v>5187</v>
      </c>
      <c r="L913" s="28" t="s">
        <v>5188</v>
      </c>
      <c r="M913" s="28" t="s">
        <v>5189</v>
      </c>
    </row>
    <row r="914" spans="1:14" ht="15" customHeight="1" x14ac:dyDescent="0.25">
      <c r="A914" s="27"/>
      <c r="B914" s="27"/>
      <c r="C914" s="27"/>
      <c r="D914" s="26"/>
      <c r="E914" s="28">
        <v>32</v>
      </c>
      <c r="F914" s="28" t="s">
        <v>8056</v>
      </c>
      <c r="G914" s="28" t="s">
        <v>7343</v>
      </c>
      <c r="H914" s="28">
        <v>0</v>
      </c>
      <c r="I914" s="28">
        <v>20</v>
      </c>
      <c r="J914" s="28" t="s">
        <v>8101</v>
      </c>
      <c r="K914" s="28" t="s">
        <v>8098</v>
      </c>
      <c r="L914" s="28" t="s">
        <v>8099</v>
      </c>
      <c r="M914" s="28" t="s">
        <v>8100</v>
      </c>
    </row>
    <row r="915" spans="1:14" ht="15" customHeight="1" x14ac:dyDescent="0.25">
      <c r="A915" s="27"/>
      <c r="B915" s="27"/>
      <c r="C915" s="27"/>
      <c r="D915" s="26"/>
      <c r="E915" s="28">
        <v>33</v>
      </c>
      <c r="F915" s="28" t="s">
        <v>8057</v>
      </c>
      <c r="G915" s="28" t="s">
        <v>7344</v>
      </c>
      <c r="H915" s="28">
        <v>0</v>
      </c>
      <c r="I915" s="28">
        <v>20</v>
      </c>
      <c r="J915" s="28" t="s">
        <v>8077</v>
      </c>
      <c r="K915" s="28" t="s">
        <v>8078</v>
      </c>
      <c r="L915" s="28" t="s">
        <v>8079</v>
      </c>
      <c r="M915" s="28" t="s">
        <v>8080</v>
      </c>
    </row>
    <row r="916" spans="1:14" ht="15" customHeight="1" x14ac:dyDescent="0.25">
      <c r="A916" s="27"/>
      <c r="B916" s="27"/>
      <c r="C916" s="27"/>
      <c r="D916" s="26"/>
      <c r="E916" s="28">
        <v>34</v>
      </c>
      <c r="F916" s="28" t="s">
        <v>8058</v>
      </c>
      <c r="G916" s="28" t="s">
        <v>7345</v>
      </c>
      <c r="H916" s="28">
        <v>0</v>
      </c>
      <c r="I916" s="28">
        <v>20</v>
      </c>
      <c r="J916" s="28" t="s">
        <v>8081</v>
      </c>
      <c r="K916" s="28" t="s">
        <v>8082</v>
      </c>
      <c r="L916" s="28" t="s">
        <v>8083</v>
      </c>
      <c r="M916" s="28" t="s">
        <v>8084</v>
      </c>
    </row>
    <row r="917" spans="1:14" ht="15" customHeight="1" x14ac:dyDescent="0.25">
      <c r="A917" s="27"/>
      <c r="B917" s="27"/>
      <c r="C917" s="27"/>
      <c r="D917" s="26"/>
      <c r="E917" s="28">
        <v>35</v>
      </c>
      <c r="F917" s="28" t="s">
        <v>8059</v>
      </c>
      <c r="G917" s="28" t="s">
        <v>7346</v>
      </c>
      <c r="H917" s="28">
        <v>0</v>
      </c>
      <c r="I917" s="28">
        <v>20</v>
      </c>
      <c r="J917" s="28" t="s">
        <v>8085</v>
      </c>
      <c r="K917" s="28" t="s">
        <v>8086</v>
      </c>
      <c r="L917" s="28" t="s">
        <v>8087</v>
      </c>
      <c r="M917" s="28" t="s">
        <v>8088</v>
      </c>
    </row>
    <row r="918" spans="1:14" ht="15" customHeight="1" x14ac:dyDescent="0.25">
      <c r="A918" s="27"/>
      <c r="B918" s="27"/>
      <c r="C918" s="27"/>
      <c r="D918" s="26"/>
      <c r="E918" s="28">
        <v>36</v>
      </c>
      <c r="F918" s="28" t="s">
        <v>8060</v>
      </c>
      <c r="G918" s="28" t="s">
        <v>7347</v>
      </c>
      <c r="H918" s="28">
        <v>0</v>
      </c>
      <c r="I918" s="28">
        <v>20</v>
      </c>
      <c r="J918" s="28" t="s">
        <v>8089</v>
      </c>
      <c r="K918" s="28" t="s">
        <v>8090</v>
      </c>
      <c r="L918" s="28" t="s">
        <v>8091</v>
      </c>
      <c r="M918" s="28" t="s">
        <v>8092</v>
      </c>
    </row>
    <row r="919" spans="1:14" ht="15" customHeight="1" x14ac:dyDescent="0.25">
      <c r="A919" s="27"/>
      <c r="B919" s="27"/>
      <c r="C919" s="27"/>
      <c r="D919" s="26"/>
      <c r="E919" s="28">
        <v>37</v>
      </c>
      <c r="F919" s="28" t="s">
        <v>8061</v>
      </c>
      <c r="G919" s="28" t="s">
        <v>7348</v>
      </c>
      <c r="H919" s="28">
        <v>0</v>
      </c>
      <c r="I919" s="28">
        <v>20</v>
      </c>
      <c r="J919" s="28" t="s">
        <v>8093</v>
      </c>
      <c r="K919" s="28" t="s">
        <v>8094</v>
      </c>
      <c r="L919" s="28" t="s">
        <v>8095</v>
      </c>
      <c r="M919" s="28" t="s">
        <v>8096</v>
      </c>
    </row>
    <row r="920" spans="1:14" ht="15" customHeight="1" x14ac:dyDescent="0.25">
      <c r="A920" s="27"/>
      <c r="B920" s="27"/>
      <c r="C920" s="27"/>
      <c r="D920" s="26"/>
      <c r="E920" s="28">
        <v>38</v>
      </c>
      <c r="F920" s="28" t="s">
        <v>8062</v>
      </c>
      <c r="G920" s="28" t="s">
        <v>7349</v>
      </c>
      <c r="H920" s="28">
        <v>0</v>
      </c>
      <c r="I920" s="28">
        <v>20</v>
      </c>
      <c r="J920" s="28" t="s">
        <v>5201</v>
      </c>
      <c r="K920" s="28" t="s">
        <v>5202</v>
      </c>
      <c r="L920" s="28" t="s">
        <v>5203</v>
      </c>
      <c r="M920" s="28" t="s">
        <v>5204</v>
      </c>
    </row>
    <row r="921" spans="1:14" ht="15" customHeight="1" x14ac:dyDescent="0.25">
      <c r="A921" s="27"/>
      <c r="B921" s="27"/>
      <c r="C921" s="27"/>
      <c r="D921" s="26"/>
      <c r="E921" s="28">
        <v>39</v>
      </c>
      <c r="F921" s="28" t="s">
        <v>8063</v>
      </c>
      <c r="G921" s="28" t="s">
        <v>7350</v>
      </c>
      <c r="H921" s="28">
        <v>0</v>
      </c>
      <c r="I921" s="28">
        <v>20</v>
      </c>
      <c r="J921" s="28" t="s">
        <v>5190</v>
      </c>
      <c r="K921" s="28" t="s">
        <v>5191</v>
      </c>
      <c r="L921" s="28" t="s">
        <v>5192</v>
      </c>
      <c r="M921" s="28" t="s">
        <v>5193</v>
      </c>
    </row>
    <row r="922" spans="1:14" ht="15" customHeight="1" x14ac:dyDescent="0.25">
      <c r="A922" s="27"/>
      <c r="B922" s="27"/>
      <c r="C922" s="27"/>
      <c r="D922" s="26"/>
      <c r="E922" s="28">
        <v>40</v>
      </c>
      <c r="F922" s="28" t="s">
        <v>8064</v>
      </c>
      <c r="G922" s="28" t="s">
        <v>7351</v>
      </c>
      <c r="H922" s="28">
        <v>0</v>
      </c>
      <c r="I922" s="28">
        <v>20</v>
      </c>
      <c r="J922" s="28" t="s">
        <v>5154</v>
      </c>
      <c r="K922" s="28" t="s">
        <v>5155</v>
      </c>
      <c r="L922" s="28" t="s">
        <v>5156</v>
      </c>
      <c r="M922" s="28" t="s">
        <v>5157</v>
      </c>
    </row>
    <row r="923" spans="1:14" ht="15" customHeight="1" x14ac:dyDescent="0.25">
      <c r="A923" s="103"/>
      <c r="B923" s="103"/>
      <c r="C923" s="103">
        <v>201</v>
      </c>
      <c r="D923" s="104" t="s">
        <v>6450</v>
      </c>
      <c r="E923" s="104">
        <v>1</v>
      </c>
      <c r="F923" s="104" t="s">
        <v>6843</v>
      </c>
      <c r="G923" s="104" t="s">
        <v>6581</v>
      </c>
      <c r="H923" s="104">
        <v>0</v>
      </c>
      <c r="I923" s="104">
        <v>20</v>
      </c>
      <c r="J923" s="104" t="s">
        <v>5269</v>
      </c>
      <c r="K923" s="104" t="s">
        <v>5270</v>
      </c>
      <c r="L923" s="104" t="s">
        <v>5271</v>
      </c>
      <c r="M923" s="104" t="s">
        <v>5272</v>
      </c>
      <c r="N923" s="104" t="s">
        <v>6802</v>
      </c>
    </row>
    <row r="924" spans="1:14" ht="15" customHeight="1" x14ac:dyDescent="0.25">
      <c r="A924" s="103"/>
      <c r="B924" s="103"/>
      <c r="C924" s="103"/>
      <c r="D924" s="104" t="s">
        <v>7751</v>
      </c>
      <c r="E924" s="104">
        <v>2</v>
      </c>
      <c r="F924" s="104" t="s">
        <v>6844</v>
      </c>
      <c r="G924" s="104" t="s">
        <v>6582</v>
      </c>
      <c r="H924" s="104">
        <v>0</v>
      </c>
      <c r="I924" s="104">
        <v>20</v>
      </c>
      <c r="J924" s="104" t="s">
        <v>6451</v>
      </c>
      <c r="K924" s="104" t="s">
        <v>6452</v>
      </c>
      <c r="L924" s="104" t="s">
        <v>6453</v>
      </c>
      <c r="M924" s="104" t="s">
        <v>6454</v>
      </c>
      <c r="N924" s="104" t="s">
        <v>6803</v>
      </c>
    </row>
    <row r="925" spans="1:14" ht="15" customHeight="1" x14ac:dyDescent="0.25">
      <c r="A925" s="103"/>
      <c r="B925" s="103"/>
      <c r="C925" s="103"/>
      <c r="D925" s="104" t="s">
        <v>16</v>
      </c>
      <c r="E925" s="104">
        <v>3</v>
      </c>
      <c r="F925" s="104" t="s">
        <v>6845</v>
      </c>
      <c r="G925" s="104" t="s">
        <v>6583</v>
      </c>
      <c r="H925" s="104">
        <v>0</v>
      </c>
      <c r="I925" s="104">
        <v>20</v>
      </c>
      <c r="J925" s="104" t="s">
        <v>6455</v>
      </c>
      <c r="K925" s="104" t="s">
        <v>6800</v>
      </c>
      <c r="L925" s="104" t="s">
        <v>6801</v>
      </c>
      <c r="M925" s="104" t="s">
        <v>6456</v>
      </c>
      <c r="N925" s="104" t="s">
        <v>6804</v>
      </c>
    </row>
    <row r="926" spans="1:14" ht="15" customHeight="1" x14ac:dyDescent="0.25">
      <c r="A926" s="103"/>
      <c r="B926" s="103"/>
      <c r="C926" s="103"/>
      <c r="D926" s="104"/>
      <c r="E926" s="104">
        <v>4</v>
      </c>
      <c r="F926" s="104" t="s">
        <v>6846</v>
      </c>
      <c r="G926" s="104" t="s">
        <v>6584</v>
      </c>
      <c r="H926" s="104">
        <v>0</v>
      </c>
      <c r="I926" s="104">
        <v>20</v>
      </c>
      <c r="J926" s="104" t="s">
        <v>6457</v>
      </c>
      <c r="K926" s="104" t="s">
        <v>6458</v>
      </c>
      <c r="L926" s="104" t="s">
        <v>6459</v>
      </c>
      <c r="M926" s="104" t="s">
        <v>6460</v>
      </c>
      <c r="N926" s="104" t="s">
        <v>6805</v>
      </c>
    </row>
    <row r="927" spans="1:14" ht="15" customHeight="1" x14ac:dyDescent="0.25">
      <c r="A927" s="103"/>
      <c r="B927" s="103"/>
      <c r="C927" s="103"/>
      <c r="D927" s="104"/>
      <c r="E927" s="104">
        <v>5</v>
      </c>
      <c r="F927" s="104" t="s">
        <v>6847</v>
      </c>
      <c r="G927" s="104" t="s">
        <v>6585</v>
      </c>
      <c r="H927" s="104">
        <v>0</v>
      </c>
      <c r="I927" s="104">
        <v>20</v>
      </c>
      <c r="J927" s="104" t="s">
        <v>6461</v>
      </c>
      <c r="K927" s="104" t="s">
        <v>6462</v>
      </c>
      <c r="L927" s="104" t="s">
        <v>6463</v>
      </c>
      <c r="M927" s="104" t="s">
        <v>6464</v>
      </c>
      <c r="N927" s="104" t="s">
        <v>6806</v>
      </c>
    </row>
    <row r="928" spans="1:14" ht="15" customHeight="1" x14ac:dyDescent="0.25">
      <c r="A928" s="103"/>
      <c r="B928" s="103"/>
      <c r="C928" s="103"/>
      <c r="D928" s="104"/>
      <c r="E928" s="104">
        <v>6</v>
      </c>
      <c r="F928" s="104" t="s">
        <v>6848</v>
      </c>
      <c r="G928" s="104" t="s">
        <v>6586</v>
      </c>
      <c r="H928" s="104">
        <v>0</v>
      </c>
      <c r="I928" s="104">
        <v>20</v>
      </c>
      <c r="J928" s="104" t="s">
        <v>6465</v>
      </c>
      <c r="K928" s="104" t="s">
        <v>6466</v>
      </c>
      <c r="L928" s="104" t="s">
        <v>6467</v>
      </c>
      <c r="M928" s="104" t="s">
        <v>6468</v>
      </c>
      <c r="N928" s="104" t="s">
        <v>6807</v>
      </c>
    </row>
    <row r="929" spans="1:14" ht="15" customHeight="1" x14ac:dyDescent="0.25">
      <c r="A929" s="103"/>
      <c r="B929" s="103"/>
      <c r="C929" s="103"/>
      <c r="D929" s="104"/>
      <c r="E929" s="104">
        <v>7</v>
      </c>
      <c r="F929" s="104" t="s">
        <v>6849</v>
      </c>
      <c r="G929" s="104" t="s">
        <v>6587</v>
      </c>
      <c r="H929" s="104">
        <v>0</v>
      </c>
      <c r="I929" s="104">
        <v>20</v>
      </c>
      <c r="J929" s="104" t="s">
        <v>6469</v>
      </c>
      <c r="K929" s="104" t="s">
        <v>6470</v>
      </c>
      <c r="L929" s="104" t="s">
        <v>6471</v>
      </c>
      <c r="M929" s="104" t="s">
        <v>6472</v>
      </c>
      <c r="N929" s="104" t="s">
        <v>6808</v>
      </c>
    </row>
    <row r="930" spans="1:14" ht="15" customHeight="1" x14ac:dyDescent="0.25">
      <c r="A930" s="103"/>
      <c r="B930" s="103"/>
      <c r="C930" s="103"/>
      <c r="D930" s="104"/>
      <c r="E930" s="104">
        <v>8</v>
      </c>
      <c r="F930" s="104" t="s">
        <v>6850</v>
      </c>
      <c r="G930" s="104" t="s">
        <v>6588</v>
      </c>
      <c r="H930" s="104">
        <v>0</v>
      </c>
      <c r="I930" s="104">
        <v>20</v>
      </c>
      <c r="J930" s="104" t="s">
        <v>6473</v>
      </c>
      <c r="K930" s="104" t="s">
        <v>6474</v>
      </c>
      <c r="L930" s="104" t="s">
        <v>6475</v>
      </c>
      <c r="M930" s="104" t="s">
        <v>6476</v>
      </c>
      <c r="N930" s="104" t="s">
        <v>6809</v>
      </c>
    </row>
    <row r="931" spans="1:14" ht="15" customHeight="1" x14ac:dyDescent="0.25">
      <c r="A931" s="103"/>
      <c r="B931" s="103"/>
      <c r="C931" s="103"/>
      <c r="D931" s="104"/>
      <c r="E931" s="104">
        <v>9</v>
      </c>
      <c r="F931" s="104" t="s">
        <v>6851</v>
      </c>
      <c r="G931" s="104" t="s">
        <v>6589</v>
      </c>
      <c r="H931" s="104">
        <v>0</v>
      </c>
      <c r="I931" s="104">
        <v>20</v>
      </c>
      <c r="J931" s="104" t="s">
        <v>5309</v>
      </c>
      <c r="K931" s="104" t="s">
        <v>5310</v>
      </c>
      <c r="L931" s="104" t="s">
        <v>5311</v>
      </c>
      <c r="M931" s="104" t="s">
        <v>5312</v>
      </c>
      <c r="N931" s="104" t="s">
        <v>6810</v>
      </c>
    </row>
    <row r="932" spans="1:14" ht="15" customHeight="1" x14ac:dyDescent="0.25">
      <c r="A932" s="103"/>
      <c r="B932" s="103"/>
      <c r="C932" s="103"/>
      <c r="D932" s="104"/>
      <c r="E932" s="104">
        <v>10</v>
      </c>
      <c r="F932" s="104" t="s">
        <v>6852</v>
      </c>
      <c r="G932" s="104" t="s">
        <v>6590</v>
      </c>
      <c r="H932" s="104">
        <v>0</v>
      </c>
      <c r="I932" s="104">
        <v>20</v>
      </c>
      <c r="J932" s="104" t="s">
        <v>6477</v>
      </c>
      <c r="K932" s="104" t="s">
        <v>6478</v>
      </c>
      <c r="L932" s="104" t="s">
        <v>6479</v>
      </c>
      <c r="M932" s="104" t="s">
        <v>6480</v>
      </c>
      <c r="N932" s="104" t="s">
        <v>6811</v>
      </c>
    </row>
    <row r="933" spans="1:14" ht="15" customHeight="1" x14ac:dyDescent="0.25">
      <c r="A933" s="103"/>
      <c r="B933" s="103"/>
      <c r="C933" s="103"/>
      <c r="D933" s="104"/>
      <c r="E933" s="104">
        <v>11</v>
      </c>
      <c r="F933" s="104" t="s">
        <v>6853</v>
      </c>
      <c r="G933" s="104" t="s">
        <v>6591</v>
      </c>
      <c r="H933" s="104">
        <v>0</v>
      </c>
      <c r="I933" s="104">
        <v>20</v>
      </c>
      <c r="J933" s="104" t="s">
        <v>6481</v>
      </c>
      <c r="K933" s="104" t="s">
        <v>6482</v>
      </c>
      <c r="L933" s="104" t="s">
        <v>6483</v>
      </c>
      <c r="M933" s="104" t="s">
        <v>6484</v>
      </c>
      <c r="N933" s="104" t="s">
        <v>6812</v>
      </c>
    </row>
    <row r="934" spans="1:14" ht="15" customHeight="1" x14ac:dyDescent="0.25">
      <c r="A934" s="103"/>
      <c r="B934" s="103"/>
      <c r="C934" s="103"/>
      <c r="D934" s="104"/>
      <c r="E934" s="104">
        <v>12</v>
      </c>
      <c r="F934" s="104" t="s">
        <v>6854</v>
      </c>
      <c r="G934" s="104" t="s">
        <v>6592</v>
      </c>
      <c r="H934" s="104">
        <v>0</v>
      </c>
      <c r="I934" s="104">
        <v>20</v>
      </c>
      <c r="J934" s="104" t="s">
        <v>6485</v>
      </c>
      <c r="K934" s="104" t="s">
        <v>6486</v>
      </c>
      <c r="L934" s="104" t="s">
        <v>6487</v>
      </c>
      <c r="M934" s="104" t="s">
        <v>6488</v>
      </c>
      <c r="N934" s="104" t="s">
        <v>6813</v>
      </c>
    </row>
    <row r="935" spans="1:14" ht="15" customHeight="1" x14ac:dyDescent="0.25">
      <c r="A935" s="103"/>
      <c r="B935" s="103"/>
      <c r="C935" s="103"/>
      <c r="D935" s="104"/>
      <c r="E935" s="104">
        <v>13</v>
      </c>
      <c r="F935" s="104" t="s">
        <v>6855</v>
      </c>
      <c r="G935" s="104" t="s">
        <v>6593</v>
      </c>
      <c r="H935" s="104">
        <v>0</v>
      </c>
      <c r="I935" s="104">
        <v>20</v>
      </c>
      <c r="J935" s="104" t="s">
        <v>5293</v>
      </c>
      <c r="K935" s="104" t="s">
        <v>5294</v>
      </c>
      <c r="L935" s="104" t="s">
        <v>5295</v>
      </c>
      <c r="M935" s="104" t="s">
        <v>5296</v>
      </c>
      <c r="N935" s="104" t="s">
        <v>6814</v>
      </c>
    </row>
    <row r="936" spans="1:14" ht="15" customHeight="1" x14ac:dyDescent="0.25">
      <c r="A936" s="103"/>
      <c r="B936" s="103"/>
      <c r="C936" s="103"/>
      <c r="D936" s="104"/>
      <c r="E936" s="104">
        <v>14</v>
      </c>
      <c r="F936" s="104" t="s">
        <v>6856</v>
      </c>
      <c r="G936" s="104" t="s">
        <v>6594</v>
      </c>
      <c r="H936" s="104">
        <v>0</v>
      </c>
      <c r="I936" s="104">
        <v>20</v>
      </c>
      <c r="J936" s="104" t="s">
        <v>6489</v>
      </c>
      <c r="K936" s="104" t="s">
        <v>6490</v>
      </c>
      <c r="L936" s="104" t="s">
        <v>6491</v>
      </c>
      <c r="M936" s="104" t="s">
        <v>6492</v>
      </c>
      <c r="N936" s="104" t="s">
        <v>6815</v>
      </c>
    </row>
    <row r="937" spans="1:14" ht="15" customHeight="1" x14ac:dyDescent="0.25">
      <c r="A937" s="103"/>
      <c r="B937" s="103"/>
      <c r="C937" s="103"/>
      <c r="D937" s="104"/>
      <c r="E937" s="104">
        <v>15</v>
      </c>
      <c r="F937" s="104" t="s">
        <v>6857</v>
      </c>
      <c r="G937" s="104" t="s">
        <v>6595</v>
      </c>
      <c r="H937" s="104">
        <v>0</v>
      </c>
      <c r="I937" s="104">
        <v>20</v>
      </c>
      <c r="J937" s="104" t="s">
        <v>5365</v>
      </c>
      <c r="K937" s="104" t="s">
        <v>5366</v>
      </c>
      <c r="L937" s="104" t="s">
        <v>5367</v>
      </c>
      <c r="M937" s="104" t="s">
        <v>5368</v>
      </c>
      <c r="N937" s="104" t="s">
        <v>6816</v>
      </c>
    </row>
    <row r="938" spans="1:14" ht="15" customHeight="1" x14ac:dyDescent="0.25">
      <c r="A938" s="103"/>
      <c r="B938" s="103"/>
      <c r="C938" s="103"/>
      <c r="D938" s="104"/>
      <c r="E938" s="104">
        <v>16</v>
      </c>
      <c r="F938" s="104" t="s">
        <v>6858</v>
      </c>
      <c r="G938" s="104" t="s">
        <v>6596</v>
      </c>
      <c r="H938" s="104">
        <v>0</v>
      </c>
      <c r="I938" s="104">
        <v>20</v>
      </c>
      <c r="J938" s="104" t="s">
        <v>6493</v>
      </c>
      <c r="K938" s="104" t="s">
        <v>6494</v>
      </c>
      <c r="L938" s="104" t="s">
        <v>6495</v>
      </c>
      <c r="M938" s="104" t="s">
        <v>6496</v>
      </c>
      <c r="N938" s="104" t="s">
        <v>6817</v>
      </c>
    </row>
    <row r="939" spans="1:14" ht="15" customHeight="1" x14ac:dyDescent="0.25">
      <c r="A939" s="103"/>
      <c r="B939" s="103"/>
      <c r="C939" s="103"/>
      <c r="D939" s="104"/>
      <c r="E939" s="104">
        <v>17</v>
      </c>
      <c r="F939" s="104" t="s">
        <v>6859</v>
      </c>
      <c r="G939" s="104" t="s">
        <v>6597</v>
      </c>
      <c r="H939" s="104">
        <v>0</v>
      </c>
      <c r="I939" s="104">
        <v>20</v>
      </c>
      <c r="J939" s="104" t="s">
        <v>6497</v>
      </c>
      <c r="K939" s="104" t="s">
        <v>6498</v>
      </c>
      <c r="L939" s="104" t="s">
        <v>6499</v>
      </c>
      <c r="M939" s="104" t="s">
        <v>6500</v>
      </c>
      <c r="N939" s="104" t="s">
        <v>6818</v>
      </c>
    </row>
    <row r="940" spans="1:14" ht="15" customHeight="1" x14ac:dyDescent="0.25">
      <c r="A940" s="103"/>
      <c r="B940" s="103"/>
      <c r="C940" s="103"/>
      <c r="D940" s="104"/>
      <c r="E940" s="104">
        <v>18</v>
      </c>
      <c r="F940" s="104" t="s">
        <v>6860</v>
      </c>
      <c r="G940" s="104" t="s">
        <v>6598</v>
      </c>
      <c r="H940" s="104">
        <v>0</v>
      </c>
      <c r="I940" s="104">
        <v>20</v>
      </c>
      <c r="J940" s="104" t="s">
        <v>6501</v>
      </c>
      <c r="K940" s="104" t="s">
        <v>6502</v>
      </c>
      <c r="L940" s="104" t="s">
        <v>6503</v>
      </c>
      <c r="M940" s="104" t="s">
        <v>6504</v>
      </c>
      <c r="N940" s="104" t="s">
        <v>6819</v>
      </c>
    </row>
    <row r="941" spans="1:14" ht="15" customHeight="1" x14ac:dyDescent="0.25">
      <c r="A941" s="103"/>
      <c r="B941" s="103"/>
      <c r="C941" s="103"/>
      <c r="D941" s="104"/>
      <c r="E941" s="104">
        <v>19</v>
      </c>
      <c r="F941" s="104" t="s">
        <v>6861</v>
      </c>
      <c r="G941" s="104" t="s">
        <v>6599</v>
      </c>
      <c r="H941" s="104">
        <v>0</v>
      </c>
      <c r="I941" s="104">
        <v>20</v>
      </c>
      <c r="J941" s="104" t="s">
        <v>6505</v>
      </c>
      <c r="K941" s="104" t="s">
        <v>6506</v>
      </c>
      <c r="L941" s="104" t="s">
        <v>6507</v>
      </c>
      <c r="M941" s="104" t="s">
        <v>6508</v>
      </c>
      <c r="N941" s="104" t="s">
        <v>6820</v>
      </c>
    </row>
    <row r="942" spans="1:14" ht="15" customHeight="1" x14ac:dyDescent="0.25">
      <c r="A942" s="103"/>
      <c r="B942" s="103"/>
      <c r="C942" s="103"/>
      <c r="D942" s="104"/>
      <c r="E942" s="104">
        <v>20</v>
      </c>
      <c r="F942" s="104" t="s">
        <v>6862</v>
      </c>
      <c r="G942" s="104" t="s">
        <v>6600</v>
      </c>
      <c r="H942" s="104">
        <v>0</v>
      </c>
      <c r="I942" s="104">
        <v>20</v>
      </c>
      <c r="J942" s="104" t="s">
        <v>6509</v>
      </c>
      <c r="K942" s="104" t="s">
        <v>6510</v>
      </c>
      <c r="L942" s="104" t="s">
        <v>6511</v>
      </c>
      <c r="M942" s="104" t="s">
        <v>6512</v>
      </c>
      <c r="N942" s="104" t="s">
        <v>6821</v>
      </c>
    </row>
    <row r="943" spans="1:14" ht="15" customHeight="1" x14ac:dyDescent="0.25">
      <c r="A943" s="103"/>
      <c r="B943" s="103"/>
      <c r="C943" s="103"/>
      <c r="D943" s="104"/>
      <c r="E943" s="104">
        <v>21</v>
      </c>
      <c r="F943" s="104" t="s">
        <v>6863</v>
      </c>
      <c r="G943" s="104" t="s">
        <v>6601</v>
      </c>
      <c r="H943" s="104">
        <v>0</v>
      </c>
      <c r="I943" s="104">
        <v>20</v>
      </c>
      <c r="J943" s="104" t="s">
        <v>6513</v>
      </c>
      <c r="K943" s="104" t="s">
        <v>6514</v>
      </c>
      <c r="L943" s="104" t="s">
        <v>6515</v>
      </c>
      <c r="M943" s="104" t="s">
        <v>6516</v>
      </c>
      <c r="N943" s="104" t="s">
        <v>6822</v>
      </c>
    </row>
    <row r="944" spans="1:14" ht="15" customHeight="1" x14ac:dyDescent="0.25">
      <c r="A944" s="103"/>
      <c r="B944" s="103"/>
      <c r="C944" s="103"/>
      <c r="D944" s="104"/>
      <c r="E944" s="104">
        <v>22</v>
      </c>
      <c r="F944" s="104" t="s">
        <v>6864</v>
      </c>
      <c r="G944" s="104" t="s">
        <v>6602</v>
      </c>
      <c r="H944" s="104">
        <v>0</v>
      </c>
      <c r="I944" s="104">
        <v>20</v>
      </c>
      <c r="J944" s="104" t="s">
        <v>6517</v>
      </c>
      <c r="K944" s="104" t="s">
        <v>6518</v>
      </c>
      <c r="L944" s="104" t="s">
        <v>6519</v>
      </c>
      <c r="M944" s="104" t="s">
        <v>6520</v>
      </c>
      <c r="N944" s="104" t="s">
        <v>6823</v>
      </c>
    </row>
    <row r="945" spans="1:14" ht="15" customHeight="1" x14ac:dyDescent="0.25">
      <c r="A945" s="103"/>
      <c r="B945" s="103"/>
      <c r="C945" s="103"/>
      <c r="D945" s="104"/>
      <c r="E945" s="104">
        <v>23</v>
      </c>
      <c r="F945" s="104" t="s">
        <v>6865</v>
      </c>
      <c r="G945" s="104" t="s">
        <v>6603</v>
      </c>
      <c r="H945" s="104">
        <v>0</v>
      </c>
      <c r="I945" s="104">
        <v>20</v>
      </c>
      <c r="J945" s="104" t="s">
        <v>6521</v>
      </c>
      <c r="K945" s="104" t="s">
        <v>6522</v>
      </c>
      <c r="L945" s="104" t="s">
        <v>6523</v>
      </c>
      <c r="M945" s="104" t="s">
        <v>6524</v>
      </c>
      <c r="N945" s="104" t="s">
        <v>6824</v>
      </c>
    </row>
    <row r="946" spans="1:14" ht="15" customHeight="1" x14ac:dyDescent="0.25">
      <c r="A946" s="103"/>
      <c r="B946" s="103"/>
      <c r="C946" s="103"/>
      <c r="D946" s="25"/>
      <c r="E946" s="104">
        <v>24</v>
      </c>
      <c r="F946" s="104" t="s">
        <v>6866</v>
      </c>
      <c r="G946" s="104" t="s">
        <v>6604</v>
      </c>
      <c r="H946" s="104">
        <v>0</v>
      </c>
      <c r="I946" s="104">
        <v>20</v>
      </c>
      <c r="J946" s="104" t="s">
        <v>6525</v>
      </c>
      <c r="K946" s="104" t="s">
        <v>6526</v>
      </c>
      <c r="L946" s="104" t="s">
        <v>6527</v>
      </c>
      <c r="M946" s="104" t="s">
        <v>6528</v>
      </c>
      <c r="N946" s="104" t="s">
        <v>6825</v>
      </c>
    </row>
    <row r="947" spans="1:14" ht="15" customHeight="1" x14ac:dyDescent="0.25">
      <c r="A947" s="103"/>
      <c r="B947" s="103"/>
      <c r="C947" s="103"/>
      <c r="D947" s="25"/>
      <c r="E947" s="104">
        <v>25</v>
      </c>
      <c r="F947" s="104" t="s">
        <v>6867</v>
      </c>
      <c r="G947" s="104" t="s">
        <v>6605</v>
      </c>
      <c r="H947" s="104">
        <v>0</v>
      </c>
      <c r="I947" s="104">
        <v>20</v>
      </c>
      <c r="J947" s="104" t="s">
        <v>6529</v>
      </c>
      <c r="K947" s="104" t="s">
        <v>6530</v>
      </c>
      <c r="L947" s="104" t="s">
        <v>6531</v>
      </c>
      <c r="M947" s="104" t="s">
        <v>6532</v>
      </c>
      <c r="N947" s="104" t="s">
        <v>6826</v>
      </c>
    </row>
    <row r="948" spans="1:14" ht="15" customHeight="1" x14ac:dyDescent="0.25">
      <c r="A948" s="103"/>
      <c r="B948" s="103"/>
      <c r="C948" s="103"/>
      <c r="D948" s="25"/>
      <c r="E948" s="104">
        <v>26</v>
      </c>
      <c r="F948" s="104" t="s">
        <v>6868</v>
      </c>
      <c r="G948" s="104" t="s">
        <v>6606</v>
      </c>
      <c r="H948" s="104">
        <v>0</v>
      </c>
      <c r="I948" s="104">
        <v>20</v>
      </c>
      <c r="J948" s="104" t="s">
        <v>6533</v>
      </c>
      <c r="K948" s="104" t="s">
        <v>6534</v>
      </c>
      <c r="L948" s="104" t="s">
        <v>6535</v>
      </c>
      <c r="M948" s="104" t="s">
        <v>6536</v>
      </c>
      <c r="N948" s="104" t="s">
        <v>6827</v>
      </c>
    </row>
    <row r="949" spans="1:14" ht="15" customHeight="1" x14ac:dyDescent="0.25">
      <c r="A949" s="103"/>
      <c r="B949" s="103"/>
      <c r="C949" s="103"/>
      <c r="D949" s="25"/>
      <c r="E949" s="104">
        <v>27</v>
      </c>
      <c r="F949" s="104" t="s">
        <v>6869</v>
      </c>
      <c r="G949" s="104" t="s">
        <v>6607</v>
      </c>
      <c r="H949" s="104">
        <v>0</v>
      </c>
      <c r="I949" s="104">
        <v>20</v>
      </c>
      <c r="J949" s="104" t="s">
        <v>6537</v>
      </c>
      <c r="K949" s="104" t="s">
        <v>6538</v>
      </c>
      <c r="L949" s="104" t="s">
        <v>6539</v>
      </c>
      <c r="M949" s="104" t="s">
        <v>6540</v>
      </c>
      <c r="N949" s="104" t="s">
        <v>6828</v>
      </c>
    </row>
    <row r="950" spans="1:14" ht="15" customHeight="1" x14ac:dyDescent="0.25">
      <c r="A950" s="103"/>
      <c r="B950" s="103"/>
      <c r="C950" s="103"/>
      <c r="D950" s="25"/>
      <c r="E950" s="104">
        <v>28</v>
      </c>
      <c r="F950" s="104" t="s">
        <v>6870</v>
      </c>
      <c r="G950" s="104" t="s">
        <v>6608</v>
      </c>
      <c r="H950" s="104">
        <v>0</v>
      </c>
      <c r="I950" s="104">
        <v>20</v>
      </c>
      <c r="J950" s="104" t="s">
        <v>5170</v>
      </c>
      <c r="K950" s="104" t="s">
        <v>5171</v>
      </c>
      <c r="L950" s="104" t="s">
        <v>5172</v>
      </c>
      <c r="M950" s="104" t="s">
        <v>5173</v>
      </c>
      <c r="N950" s="104" t="s">
        <v>6829</v>
      </c>
    </row>
    <row r="951" spans="1:14" ht="15" customHeight="1" x14ac:dyDescent="0.25">
      <c r="A951" s="103"/>
      <c r="B951" s="103"/>
      <c r="C951" s="103"/>
      <c r="D951" s="25"/>
      <c r="E951" s="104">
        <v>29</v>
      </c>
      <c r="F951" s="104" t="s">
        <v>6871</v>
      </c>
      <c r="G951" s="104" t="s">
        <v>6609</v>
      </c>
      <c r="H951" s="104">
        <v>0</v>
      </c>
      <c r="I951" s="104">
        <v>20</v>
      </c>
      <c r="J951" s="104" t="s">
        <v>6541</v>
      </c>
      <c r="K951" s="104" t="s">
        <v>6542</v>
      </c>
      <c r="L951" s="104" t="s">
        <v>6543</v>
      </c>
      <c r="M951" s="104" t="s">
        <v>6544</v>
      </c>
      <c r="N951" s="104" t="s">
        <v>6830</v>
      </c>
    </row>
    <row r="952" spans="1:14" ht="15" customHeight="1" x14ac:dyDescent="0.25">
      <c r="A952" s="103"/>
      <c r="B952" s="103"/>
      <c r="C952" s="103"/>
      <c r="D952" s="25"/>
      <c r="E952" s="104">
        <v>30</v>
      </c>
      <c r="F952" s="104" t="s">
        <v>6872</v>
      </c>
      <c r="G952" s="104" t="s">
        <v>6610</v>
      </c>
      <c r="H952" s="104">
        <v>0</v>
      </c>
      <c r="I952" s="104">
        <v>20</v>
      </c>
      <c r="J952" s="104" t="s">
        <v>6545</v>
      </c>
      <c r="K952" s="104" t="s">
        <v>6546</v>
      </c>
      <c r="L952" s="104" t="s">
        <v>6547</v>
      </c>
      <c r="M952" s="104" t="s">
        <v>6548</v>
      </c>
      <c r="N952" s="104" t="s">
        <v>6831</v>
      </c>
    </row>
    <row r="953" spans="1:14" ht="15" customHeight="1" x14ac:dyDescent="0.25">
      <c r="A953" s="103"/>
      <c r="B953" s="103"/>
      <c r="C953" s="103"/>
      <c r="D953" s="25"/>
      <c r="E953" s="104">
        <v>31</v>
      </c>
      <c r="F953" s="104" t="s">
        <v>6873</v>
      </c>
      <c r="G953" s="104" t="s">
        <v>6611</v>
      </c>
      <c r="H953" s="104">
        <v>0</v>
      </c>
      <c r="I953" s="104">
        <v>20</v>
      </c>
      <c r="J953" s="104" t="s">
        <v>6549</v>
      </c>
      <c r="K953" s="104" t="s">
        <v>6550</v>
      </c>
      <c r="L953" s="104" t="s">
        <v>6551</v>
      </c>
      <c r="M953" s="104" t="s">
        <v>6552</v>
      </c>
      <c r="N953" s="104" t="s">
        <v>6832</v>
      </c>
    </row>
    <row r="954" spans="1:14" ht="15" customHeight="1" x14ac:dyDescent="0.25">
      <c r="A954" s="103"/>
      <c r="B954" s="103"/>
      <c r="C954" s="103"/>
      <c r="D954" s="25"/>
      <c r="E954" s="104">
        <v>32</v>
      </c>
      <c r="F954" s="104" t="s">
        <v>6874</v>
      </c>
      <c r="G954" s="104" t="s">
        <v>6612</v>
      </c>
      <c r="H954" s="104">
        <v>0</v>
      </c>
      <c r="I954" s="104">
        <v>20</v>
      </c>
      <c r="J954" s="104" t="s">
        <v>6553</v>
      </c>
      <c r="K954" s="104" t="s">
        <v>6554</v>
      </c>
      <c r="L954" s="104" t="s">
        <v>6555</v>
      </c>
      <c r="M954" s="104" t="s">
        <v>6556</v>
      </c>
      <c r="N954" s="104" t="s">
        <v>6833</v>
      </c>
    </row>
    <row r="955" spans="1:14" ht="15" customHeight="1" x14ac:dyDescent="0.25">
      <c r="A955" s="103"/>
      <c r="B955" s="103"/>
      <c r="C955" s="103"/>
      <c r="D955" s="25"/>
      <c r="E955" s="104">
        <v>33</v>
      </c>
      <c r="F955" s="104" t="s">
        <v>6875</v>
      </c>
      <c r="G955" s="104" t="s">
        <v>6613</v>
      </c>
      <c r="H955" s="104">
        <v>0</v>
      </c>
      <c r="I955" s="104">
        <v>20</v>
      </c>
      <c r="J955" s="104" t="s">
        <v>5361</v>
      </c>
      <c r="K955" s="104" t="s">
        <v>5362</v>
      </c>
      <c r="L955" s="104" t="s">
        <v>5363</v>
      </c>
      <c r="M955" s="104" t="s">
        <v>5364</v>
      </c>
      <c r="N955" s="104" t="s">
        <v>6834</v>
      </c>
    </row>
    <row r="956" spans="1:14" ht="15" customHeight="1" x14ac:dyDescent="0.25">
      <c r="A956" s="103"/>
      <c r="B956" s="103"/>
      <c r="C956" s="103"/>
      <c r="D956" s="25"/>
      <c r="E956" s="104">
        <v>34</v>
      </c>
      <c r="F956" s="104" t="s">
        <v>6876</v>
      </c>
      <c r="G956" s="104" t="s">
        <v>6614</v>
      </c>
      <c r="H956" s="104">
        <v>0</v>
      </c>
      <c r="I956" s="104">
        <v>20</v>
      </c>
      <c r="J956" s="104" t="s">
        <v>6557</v>
      </c>
      <c r="K956" s="104" t="s">
        <v>6558</v>
      </c>
      <c r="L956" s="104" t="s">
        <v>6559</v>
      </c>
      <c r="M956" s="104" t="s">
        <v>6560</v>
      </c>
      <c r="N956" s="104" t="s">
        <v>6835</v>
      </c>
    </row>
    <row r="957" spans="1:14" ht="15" customHeight="1" x14ac:dyDescent="0.25">
      <c r="A957" s="103"/>
      <c r="B957" s="103"/>
      <c r="C957" s="103"/>
      <c r="D957" s="25"/>
      <c r="E957" s="104">
        <v>35</v>
      </c>
      <c r="F957" s="104" t="s">
        <v>6877</v>
      </c>
      <c r="G957" s="104" t="s">
        <v>6615</v>
      </c>
      <c r="H957" s="104">
        <v>0</v>
      </c>
      <c r="I957" s="104">
        <v>20</v>
      </c>
      <c r="J957" s="104" t="s">
        <v>6561</v>
      </c>
      <c r="K957" s="104" t="s">
        <v>6562</v>
      </c>
      <c r="L957" s="104" t="s">
        <v>6563</v>
      </c>
      <c r="M957" s="104" t="s">
        <v>6564</v>
      </c>
      <c r="N957" s="104" t="s">
        <v>6836</v>
      </c>
    </row>
    <row r="958" spans="1:14" ht="15" customHeight="1" x14ac:dyDescent="0.25">
      <c r="A958" s="103"/>
      <c r="B958" s="103"/>
      <c r="C958" s="103"/>
      <c r="D958" s="25"/>
      <c r="E958" s="104">
        <v>36</v>
      </c>
      <c r="F958" s="104" t="s">
        <v>6878</v>
      </c>
      <c r="G958" s="104" t="s">
        <v>6616</v>
      </c>
      <c r="H958" s="104">
        <v>0</v>
      </c>
      <c r="I958" s="104">
        <v>20</v>
      </c>
      <c r="J958" s="104" t="s">
        <v>6565</v>
      </c>
      <c r="K958" s="104" t="s">
        <v>6566</v>
      </c>
      <c r="L958" s="104" t="s">
        <v>6567</v>
      </c>
      <c r="M958" s="104" t="s">
        <v>6568</v>
      </c>
      <c r="N958" s="104" t="s">
        <v>6837</v>
      </c>
    </row>
    <row r="959" spans="1:14" ht="15" customHeight="1" x14ac:dyDescent="0.25">
      <c r="A959" s="103"/>
      <c r="B959" s="103"/>
      <c r="C959" s="103"/>
      <c r="D959" s="25"/>
      <c r="E959" s="104">
        <v>37</v>
      </c>
      <c r="F959" s="104" t="s">
        <v>6879</v>
      </c>
      <c r="G959" s="104" t="s">
        <v>6617</v>
      </c>
      <c r="H959" s="104">
        <v>0</v>
      </c>
      <c r="I959" s="104">
        <v>20</v>
      </c>
      <c r="J959" s="104" t="s">
        <v>5393</v>
      </c>
      <c r="K959" s="104" t="s">
        <v>5394</v>
      </c>
      <c r="L959" s="104" t="s">
        <v>5395</v>
      </c>
      <c r="M959" s="104" t="s">
        <v>5396</v>
      </c>
      <c r="N959" s="104" t="s">
        <v>6838</v>
      </c>
    </row>
    <row r="960" spans="1:14" ht="15" customHeight="1" x14ac:dyDescent="0.25">
      <c r="A960" s="103"/>
      <c r="B960" s="103"/>
      <c r="C960" s="103"/>
      <c r="D960" s="25"/>
      <c r="E960" s="104">
        <v>38</v>
      </c>
      <c r="F960" s="104" t="s">
        <v>6880</v>
      </c>
      <c r="G960" s="104" t="s">
        <v>6618</v>
      </c>
      <c r="H960" s="104">
        <v>0</v>
      </c>
      <c r="I960" s="104">
        <v>20</v>
      </c>
      <c r="J960" s="104" t="s">
        <v>6569</v>
      </c>
      <c r="K960" s="104" t="s">
        <v>6570</v>
      </c>
      <c r="L960" s="104" t="s">
        <v>6571</v>
      </c>
      <c r="M960" s="104" t="s">
        <v>6572</v>
      </c>
      <c r="N960" s="104" t="s">
        <v>6839</v>
      </c>
    </row>
    <row r="961" spans="1:14" ht="15" customHeight="1" x14ac:dyDescent="0.25">
      <c r="A961" s="103"/>
      <c r="B961" s="103"/>
      <c r="C961" s="103"/>
      <c r="D961" s="25"/>
      <c r="E961" s="104">
        <v>39</v>
      </c>
      <c r="F961" s="104" t="s">
        <v>6881</v>
      </c>
      <c r="G961" s="104" t="s">
        <v>6619</v>
      </c>
      <c r="H961" s="104">
        <v>0</v>
      </c>
      <c r="I961" s="104">
        <v>20</v>
      </c>
      <c r="J961" s="104" t="s">
        <v>6573</v>
      </c>
      <c r="K961" s="104" t="s">
        <v>6574</v>
      </c>
      <c r="L961" s="104" t="s">
        <v>6575</v>
      </c>
      <c r="M961" s="104" t="s">
        <v>6576</v>
      </c>
      <c r="N961" s="104" t="s">
        <v>6840</v>
      </c>
    </row>
    <row r="962" spans="1:14" ht="15" customHeight="1" x14ac:dyDescent="0.25">
      <c r="A962" s="103"/>
      <c r="B962" s="103"/>
      <c r="C962" s="103"/>
      <c r="D962" s="25"/>
      <c r="E962" s="104">
        <v>40</v>
      </c>
      <c r="F962" s="104" t="s">
        <v>6882</v>
      </c>
      <c r="G962" s="104" t="s">
        <v>6620</v>
      </c>
      <c r="H962" s="104">
        <v>0</v>
      </c>
      <c r="I962" s="104">
        <v>20</v>
      </c>
      <c r="J962" s="104" t="s">
        <v>6577</v>
      </c>
      <c r="K962" s="104" t="s">
        <v>6578</v>
      </c>
      <c r="L962" s="104" t="s">
        <v>6579</v>
      </c>
      <c r="M962" s="104" t="s">
        <v>6580</v>
      </c>
      <c r="N962" s="104" t="s">
        <v>6841</v>
      </c>
    </row>
    <row r="963" spans="1:14" ht="15" customHeight="1" x14ac:dyDescent="0.25">
      <c r="A963" s="116"/>
      <c r="B963" s="116"/>
      <c r="C963" s="116">
        <v>202</v>
      </c>
      <c r="D963" s="11" t="s">
        <v>7570</v>
      </c>
      <c r="E963" s="11">
        <v>1</v>
      </c>
      <c r="F963" s="11" t="s">
        <v>7949</v>
      </c>
      <c r="G963" s="11" t="s">
        <v>7909</v>
      </c>
      <c r="H963" s="11">
        <v>0</v>
      </c>
      <c r="I963" s="11">
        <v>20</v>
      </c>
      <c r="J963" s="11" t="s">
        <v>7776</v>
      </c>
      <c r="K963" s="11" t="s">
        <v>7777</v>
      </c>
      <c r="L963" s="11" t="s">
        <v>7778</v>
      </c>
      <c r="M963" s="11" t="s">
        <v>7779</v>
      </c>
    </row>
    <row r="964" spans="1:14" ht="15" customHeight="1" x14ac:dyDescent="0.25">
      <c r="A964" s="116"/>
      <c r="B964" s="116"/>
      <c r="C964" s="116"/>
      <c r="D964" s="11" t="s">
        <v>7751</v>
      </c>
      <c r="E964" s="11">
        <v>2</v>
      </c>
      <c r="F964" s="11" t="s">
        <v>7950</v>
      </c>
      <c r="G964" s="11" t="s">
        <v>7910</v>
      </c>
      <c r="H964" s="11">
        <v>0</v>
      </c>
      <c r="I964" s="11">
        <v>20</v>
      </c>
      <c r="J964" s="11" t="s">
        <v>7756</v>
      </c>
      <c r="K964" s="11" t="s">
        <v>7757</v>
      </c>
      <c r="L964" s="11" t="s">
        <v>7758</v>
      </c>
      <c r="M964" s="11" t="s">
        <v>7759</v>
      </c>
    </row>
    <row r="965" spans="1:14" ht="15" customHeight="1" x14ac:dyDescent="0.25">
      <c r="A965" s="116"/>
      <c r="B965" s="116"/>
      <c r="C965" s="116"/>
      <c r="D965" s="11" t="s">
        <v>16</v>
      </c>
      <c r="E965" s="11">
        <v>3</v>
      </c>
      <c r="F965" s="11" t="s">
        <v>7951</v>
      </c>
      <c r="G965" s="11" t="s">
        <v>7911</v>
      </c>
      <c r="H965" s="11">
        <v>0</v>
      </c>
      <c r="I965" s="11">
        <v>20</v>
      </c>
      <c r="J965" s="11" t="s">
        <v>7760</v>
      </c>
      <c r="K965" s="11" t="s">
        <v>7761</v>
      </c>
      <c r="L965" s="11" t="s">
        <v>7762</v>
      </c>
      <c r="M965" s="11" t="s">
        <v>7763</v>
      </c>
    </row>
    <row r="966" spans="1:14" ht="15" customHeight="1" x14ac:dyDescent="0.25">
      <c r="A966" s="116"/>
      <c r="B966" s="116"/>
      <c r="C966" s="116"/>
      <c r="D966" s="11"/>
      <c r="E966" s="11">
        <v>4</v>
      </c>
      <c r="F966" s="11" t="s">
        <v>7952</v>
      </c>
      <c r="G966" s="11" t="s">
        <v>7912</v>
      </c>
      <c r="H966" s="11">
        <v>0</v>
      </c>
      <c r="I966" s="11">
        <v>20</v>
      </c>
      <c r="J966" s="11" t="s">
        <v>7764</v>
      </c>
      <c r="K966" s="11" t="s">
        <v>7765</v>
      </c>
      <c r="L966" s="11" t="s">
        <v>7766</v>
      </c>
      <c r="M966" s="11" t="s">
        <v>7767</v>
      </c>
    </row>
    <row r="967" spans="1:14" ht="15" customHeight="1" x14ac:dyDescent="0.25">
      <c r="A967" s="116"/>
      <c r="B967" s="116"/>
      <c r="C967" s="116"/>
      <c r="D967" s="11"/>
      <c r="E967" s="11">
        <v>5</v>
      </c>
      <c r="F967" s="11" t="s">
        <v>7953</v>
      </c>
      <c r="G967" s="11" t="s">
        <v>7913</v>
      </c>
      <c r="H967" s="11">
        <v>0</v>
      </c>
      <c r="I967" s="11">
        <v>20</v>
      </c>
      <c r="J967" s="11" t="s">
        <v>7768</v>
      </c>
      <c r="K967" s="11" t="s">
        <v>7769</v>
      </c>
      <c r="L967" s="11" t="s">
        <v>7770</v>
      </c>
      <c r="M967" s="11" t="s">
        <v>7771</v>
      </c>
    </row>
    <row r="968" spans="1:14" ht="15" customHeight="1" x14ac:dyDescent="0.25">
      <c r="A968" s="116"/>
      <c r="B968" s="116"/>
      <c r="C968" s="116"/>
      <c r="D968" s="11"/>
      <c r="E968" s="11">
        <v>6</v>
      </c>
      <c r="F968" s="11" t="s">
        <v>7954</v>
      </c>
      <c r="G968" s="11" t="s">
        <v>7914</v>
      </c>
      <c r="H968" s="11">
        <v>0</v>
      </c>
      <c r="I968" s="11">
        <v>20</v>
      </c>
      <c r="J968" s="11" t="s">
        <v>7772</v>
      </c>
      <c r="K968" s="11" t="s">
        <v>7773</v>
      </c>
      <c r="L968" s="11" t="s">
        <v>7774</v>
      </c>
      <c r="M968" s="11" t="s">
        <v>7775</v>
      </c>
    </row>
    <row r="969" spans="1:14" ht="15" customHeight="1" x14ac:dyDescent="0.25">
      <c r="A969" s="116"/>
      <c r="B969" s="116"/>
      <c r="C969" s="116"/>
      <c r="D969" s="11"/>
      <c r="E969" s="11">
        <v>7</v>
      </c>
      <c r="F969" s="11" t="s">
        <v>7955</v>
      </c>
      <c r="G969" s="11" t="s">
        <v>7915</v>
      </c>
      <c r="H969" s="11">
        <v>0</v>
      </c>
      <c r="I969" s="11">
        <v>20</v>
      </c>
      <c r="J969" s="11" t="s">
        <v>7752</v>
      </c>
      <c r="K969" s="11" t="s">
        <v>7753</v>
      </c>
      <c r="L969" s="11" t="s">
        <v>7754</v>
      </c>
      <c r="M969" s="11" t="s">
        <v>7755</v>
      </c>
    </row>
    <row r="970" spans="1:14" ht="15" customHeight="1" x14ac:dyDescent="0.25">
      <c r="A970" s="116"/>
      <c r="B970" s="116"/>
      <c r="C970" s="116"/>
      <c r="D970" s="11"/>
      <c r="E970" s="11">
        <v>8</v>
      </c>
      <c r="F970" s="11" t="s">
        <v>7956</v>
      </c>
      <c r="G970" s="11" t="s">
        <v>7916</v>
      </c>
      <c r="H970" s="11">
        <v>0</v>
      </c>
      <c r="I970" s="11">
        <v>20</v>
      </c>
      <c r="J970" s="11" t="s">
        <v>5325</v>
      </c>
      <c r="K970" s="11" t="s">
        <v>7780</v>
      </c>
      <c r="L970" s="11" t="s">
        <v>5327</v>
      </c>
      <c r="M970" s="11" t="s">
        <v>7781</v>
      </c>
    </row>
    <row r="971" spans="1:14" ht="15" customHeight="1" x14ac:dyDescent="0.25">
      <c r="A971" s="116"/>
      <c r="B971" s="116"/>
      <c r="C971" s="116"/>
      <c r="D971" s="11"/>
      <c r="E971" s="11">
        <v>9</v>
      </c>
      <c r="F971" s="11" t="s">
        <v>7957</v>
      </c>
      <c r="G971" s="11" t="s">
        <v>7917</v>
      </c>
      <c r="H971" s="11">
        <v>0</v>
      </c>
      <c r="I971" s="11">
        <v>20</v>
      </c>
      <c r="J971" s="11" t="s">
        <v>7782</v>
      </c>
      <c r="K971" s="11" t="s">
        <v>7783</v>
      </c>
      <c r="L971" s="11" t="s">
        <v>7784</v>
      </c>
      <c r="M971" s="11" t="s">
        <v>7785</v>
      </c>
    </row>
    <row r="972" spans="1:14" ht="15" customHeight="1" x14ac:dyDescent="0.25">
      <c r="A972" s="116"/>
      <c r="B972" s="116"/>
      <c r="C972" s="116"/>
      <c r="D972" s="11"/>
      <c r="E972" s="11">
        <v>10</v>
      </c>
      <c r="F972" s="11" t="s">
        <v>7958</v>
      </c>
      <c r="G972" s="11" t="s">
        <v>7918</v>
      </c>
      <c r="H972" s="11">
        <v>0</v>
      </c>
      <c r="I972" s="11">
        <v>20</v>
      </c>
      <c r="J972" s="11" t="s">
        <v>7786</v>
      </c>
      <c r="K972" s="11" t="s">
        <v>7787</v>
      </c>
      <c r="L972" s="11" t="s">
        <v>7788</v>
      </c>
      <c r="M972" s="11" t="s">
        <v>7789</v>
      </c>
    </row>
    <row r="973" spans="1:14" ht="15" customHeight="1" x14ac:dyDescent="0.25">
      <c r="A973" s="116"/>
      <c r="B973" s="116"/>
      <c r="C973" s="116"/>
      <c r="D973" s="11"/>
      <c r="E973" s="11">
        <v>11</v>
      </c>
      <c r="F973" s="11" t="s">
        <v>7959</v>
      </c>
      <c r="G973" s="11" t="s">
        <v>7919</v>
      </c>
      <c r="H973" s="11">
        <v>0</v>
      </c>
      <c r="I973" s="11">
        <v>20</v>
      </c>
      <c r="J973" s="11" t="s">
        <v>7790</v>
      </c>
      <c r="K973" s="11" t="s">
        <v>7791</v>
      </c>
      <c r="L973" s="11" t="s">
        <v>7792</v>
      </c>
      <c r="M973" s="11" t="s">
        <v>7793</v>
      </c>
    </row>
    <row r="974" spans="1:14" ht="15" customHeight="1" x14ac:dyDescent="0.25">
      <c r="A974" s="116"/>
      <c r="B974" s="116"/>
      <c r="C974" s="116"/>
      <c r="D974" s="11"/>
      <c r="E974" s="11">
        <v>12</v>
      </c>
      <c r="F974" s="11" t="s">
        <v>7960</v>
      </c>
      <c r="G974" s="11" t="s">
        <v>7920</v>
      </c>
      <c r="H974" s="11">
        <v>0</v>
      </c>
      <c r="I974" s="11">
        <v>20</v>
      </c>
      <c r="J974" s="11" t="s">
        <v>7794</v>
      </c>
      <c r="K974" s="11" t="s">
        <v>7795</v>
      </c>
      <c r="L974" s="11" t="s">
        <v>7796</v>
      </c>
      <c r="M974" s="11" t="s">
        <v>7797</v>
      </c>
    </row>
    <row r="975" spans="1:14" ht="15" customHeight="1" x14ac:dyDescent="0.25">
      <c r="A975" s="116"/>
      <c r="B975" s="116"/>
      <c r="C975" s="116"/>
      <c r="D975" s="11"/>
      <c r="E975" s="11">
        <v>13</v>
      </c>
      <c r="F975" s="11" t="s">
        <v>7961</v>
      </c>
      <c r="G975" s="11" t="s">
        <v>7921</v>
      </c>
      <c r="H975" s="11">
        <v>0</v>
      </c>
      <c r="I975" s="11">
        <v>20</v>
      </c>
      <c r="J975" s="11" t="s">
        <v>7798</v>
      </c>
      <c r="K975" s="11" t="s">
        <v>7799</v>
      </c>
      <c r="L975" s="11" t="s">
        <v>7800</v>
      </c>
      <c r="M975" s="11" t="s">
        <v>7801</v>
      </c>
    </row>
    <row r="976" spans="1:14" ht="15" customHeight="1" x14ac:dyDescent="0.25">
      <c r="A976" s="116"/>
      <c r="B976" s="116"/>
      <c r="C976" s="116"/>
      <c r="D976" s="11"/>
      <c r="E976" s="11">
        <v>14</v>
      </c>
      <c r="F976" s="11" t="s">
        <v>7962</v>
      </c>
      <c r="G976" s="11" t="s">
        <v>7922</v>
      </c>
      <c r="H976" s="11">
        <v>0</v>
      </c>
      <c r="I976" s="11">
        <v>20</v>
      </c>
      <c r="J976" s="11" t="s">
        <v>7802</v>
      </c>
      <c r="K976" s="11" t="s">
        <v>7803</v>
      </c>
      <c r="L976" s="11" t="s">
        <v>7804</v>
      </c>
      <c r="M976" s="11" t="s">
        <v>7805</v>
      </c>
    </row>
    <row r="977" spans="1:13" ht="15" customHeight="1" x14ac:dyDescent="0.25">
      <c r="A977" s="116"/>
      <c r="B977" s="116"/>
      <c r="C977" s="116"/>
      <c r="D977" s="11"/>
      <c r="E977" s="11">
        <v>15</v>
      </c>
      <c r="F977" s="11" t="s">
        <v>7963</v>
      </c>
      <c r="G977" s="11" t="s">
        <v>7923</v>
      </c>
      <c r="H977" s="11">
        <v>0</v>
      </c>
      <c r="I977" s="11">
        <v>20</v>
      </c>
      <c r="J977" s="11" t="s">
        <v>7806</v>
      </c>
      <c r="K977" s="11" t="s">
        <v>7807</v>
      </c>
      <c r="L977" s="11" t="s">
        <v>7808</v>
      </c>
      <c r="M977" s="11" t="s">
        <v>7809</v>
      </c>
    </row>
    <row r="978" spans="1:13" ht="15" customHeight="1" x14ac:dyDescent="0.25">
      <c r="A978" s="116"/>
      <c r="B978" s="116"/>
      <c r="C978" s="116"/>
      <c r="D978" s="11"/>
      <c r="E978" s="11">
        <v>16</v>
      </c>
      <c r="F978" s="11" t="s">
        <v>7964</v>
      </c>
      <c r="G978" s="11" t="s">
        <v>7924</v>
      </c>
      <c r="H978" s="11">
        <v>0</v>
      </c>
      <c r="I978" s="11">
        <v>20</v>
      </c>
      <c r="J978" s="11" t="s">
        <v>7810</v>
      </c>
      <c r="K978" s="11" t="s">
        <v>7811</v>
      </c>
      <c r="L978" s="11" t="s">
        <v>7812</v>
      </c>
      <c r="M978" s="11" t="s">
        <v>7813</v>
      </c>
    </row>
    <row r="979" spans="1:13" ht="15" customHeight="1" x14ac:dyDescent="0.25">
      <c r="A979" s="116"/>
      <c r="B979" s="116"/>
      <c r="C979" s="116"/>
      <c r="D979" s="11"/>
      <c r="E979" s="11">
        <v>17</v>
      </c>
      <c r="F979" s="11" t="s">
        <v>7965</v>
      </c>
      <c r="G979" s="11" t="s">
        <v>7925</v>
      </c>
      <c r="H979" s="11">
        <v>0</v>
      </c>
      <c r="I979" s="11">
        <v>20</v>
      </c>
      <c r="J979" s="11" t="s">
        <v>7814</v>
      </c>
      <c r="K979" s="11" t="s">
        <v>7815</v>
      </c>
      <c r="L979" s="11" t="s">
        <v>7816</v>
      </c>
      <c r="M979" s="11" t="s">
        <v>7817</v>
      </c>
    </row>
    <row r="980" spans="1:13" ht="15" customHeight="1" x14ac:dyDescent="0.25">
      <c r="A980" s="116"/>
      <c r="B980" s="116"/>
      <c r="C980" s="116"/>
      <c r="D980" s="11"/>
      <c r="E980" s="11">
        <v>18</v>
      </c>
      <c r="F980" s="11" t="s">
        <v>7966</v>
      </c>
      <c r="G980" s="11" t="s">
        <v>7926</v>
      </c>
      <c r="H980" s="11">
        <v>0</v>
      </c>
      <c r="I980" s="11">
        <v>20</v>
      </c>
      <c r="J980" s="11" t="s">
        <v>7818</v>
      </c>
      <c r="K980" s="11" t="s">
        <v>7819</v>
      </c>
      <c r="L980" s="11" t="s">
        <v>7820</v>
      </c>
      <c r="M980" s="11" t="s">
        <v>7821</v>
      </c>
    </row>
    <row r="981" spans="1:13" ht="15" customHeight="1" x14ac:dyDescent="0.25">
      <c r="A981" s="116"/>
      <c r="B981" s="116"/>
      <c r="C981" s="116"/>
      <c r="D981" s="11"/>
      <c r="E981" s="11">
        <v>19</v>
      </c>
      <c r="F981" s="11" t="s">
        <v>7967</v>
      </c>
      <c r="G981" s="11" t="s">
        <v>7927</v>
      </c>
      <c r="H981" s="11">
        <v>0</v>
      </c>
      <c r="I981" s="11">
        <v>20</v>
      </c>
      <c r="J981" s="11" t="s">
        <v>7822</v>
      </c>
      <c r="K981" s="11" t="s">
        <v>7823</v>
      </c>
      <c r="L981" s="11" t="s">
        <v>7824</v>
      </c>
      <c r="M981" s="11" t="s">
        <v>7825</v>
      </c>
    </row>
    <row r="982" spans="1:13" ht="15" customHeight="1" x14ac:dyDescent="0.25">
      <c r="A982" s="116"/>
      <c r="B982" s="116"/>
      <c r="C982" s="116"/>
      <c r="D982" s="11"/>
      <c r="E982" s="11">
        <v>20</v>
      </c>
      <c r="F982" s="11" t="s">
        <v>7968</v>
      </c>
      <c r="G982" s="11" t="s">
        <v>7928</v>
      </c>
      <c r="H982" s="11">
        <v>0</v>
      </c>
      <c r="I982" s="11">
        <v>20</v>
      </c>
      <c r="J982" s="11" t="s">
        <v>7826</v>
      </c>
      <c r="K982" s="11" t="s">
        <v>7827</v>
      </c>
      <c r="L982" s="11" t="s">
        <v>7828</v>
      </c>
      <c r="M982" s="11" t="s">
        <v>7829</v>
      </c>
    </row>
    <row r="983" spans="1:13" ht="15" customHeight="1" x14ac:dyDescent="0.25">
      <c r="A983" s="116"/>
      <c r="B983" s="116"/>
      <c r="C983" s="116"/>
      <c r="D983" s="11"/>
      <c r="E983" s="11">
        <v>21</v>
      </c>
      <c r="F983" s="11" t="s">
        <v>7969</v>
      </c>
      <c r="G983" s="11" t="s">
        <v>7929</v>
      </c>
      <c r="H983" s="11">
        <v>0</v>
      </c>
      <c r="I983" s="11">
        <v>20</v>
      </c>
      <c r="J983" s="11" t="s">
        <v>7830</v>
      </c>
      <c r="K983" s="11" t="s">
        <v>7831</v>
      </c>
      <c r="L983" s="11" t="s">
        <v>7832</v>
      </c>
      <c r="M983" s="11" t="s">
        <v>7833</v>
      </c>
    </row>
    <row r="984" spans="1:13" ht="15" customHeight="1" x14ac:dyDescent="0.25">
      <c r="A984" s="116"/>
      <c r="B984" s="116"/>
      <c r="C984" s="116"/>
      <c r="D984" s="11"/>
      <c r="E984" s="11">
        <v>22</v>
      </c>
      <c r="F984" s="11" t="s">
        <v>7970</v>
      </c>
      <c r="G984" s="11" t="s">
        <v>7930</v>
      </c>
      <c r="H984" s="11">
        <v>0</v>
      </c>
      <c r="I984" s="11">
        <v>20</v>
      </c>
      <c r="J984" s="11" t="s">
        <v>7834</v>
      </c>
      <c r="K984" s="11" t="s">
        <v>7835</v>
      </c>
      <c r="L984" s="11" t="s">
        <v>7836</v>
      </c>
      <c r="M984" s="11" t="s">
        <v>7837</v>
      </c>
    </row>
    <row r="985" spans="1:13" ht="15" customHeight="1" x14ac:dyDescent="0.25">
      <c r="A985" s="116"/>
      <c r="B985" s="116"/>
      <c r="C985" s="116"/>
      <c r="D985" s="11"/>
      <c r="E985" s="11">
        <v>23</v>
      </c>
      <c r="F985" s="11" t="s">
        <v>7971</v>
      </c>
      <c r="G985" s="11" t="s">
        <v>7931</v>
      </c>
      <c r="H985" s="11">
        <v>0</v>
      </c>
      <c r="I985" s="11">
        <v>20</v>
      </c>
      <c r="J985" s="11" t="s">
        <v>7838</v>
      </c>
      <c r="K985" s="11" t="s">
        <v>7839</v>
      </c>
      <c r="L985" s="11" t="s">
        <v>7840</v>
      </c>
      <c r="M985" s="11" t="s">
        <v>7841</v>
      </c>
    </row>
    <row r="986" spans="1:13" ht="15" customHeight="1" x14ac:dyDescent="0.25">
      <c r="A986" s="116"/>
      <c r="B986" s="116"/>
      <c r="C986" s="116"/>
      <c r="D986" s="20"/>
      <c r="E986" s="11">
        <v>24</v>
      </c>
      <c r="F986" s="11" t="s">
        <v>7972</v>
      </c>
      <c r="G986" s="11" t="s">
        <v>7932</v>
      </c>
      <c r="H986" s="11">
        <v>0</v>
      </c>
      <c r="I986" s="11">
        <v>20</v>
      </c>
      <c r="J986" s="11" t="s">
        <v>7842</v>
      </c>
      <c r="K986" s="11" t="s">
        <v>7843</v>
      </c>
      <c r="L986" s="11" t="s">
        <v>7844</v>
      </c>
      <c r="M986" s="11" t="s">
        <v>7845</v>
      </c>
    </row>
    <row r="987" spans="1:13" ht="15" customHeight="1" x14ac:dyDescent="0.25">
      <c r="A987" s="116"/>
      <c r="B987" s="116"/>
      <c r="C987" s="116"/>
      <c r="D987" s="20"/>
      <c r="E987" s="11">
        <v>25</v>
      </c>
      <c r="F987" s="11" t="s">
        <v>7973</v>
      </c>
      <c r="G987" s="11" t="s">
        <v>7933</v>
      </c>
      <c r="H987" s="11">
        <v>0</v>
      </c>
      <c r="I987" s="11">
        <v>20</v>
      </c>
      <c r="J987" s="11" t="s">
        <v>7846</v>
      </c>
      <c r="K987" s="11" t="s">
        <v>7847</v>
      </c>
      <c r="L987" s="11" t="s">
        <v>7848</v>
      </c>
      <c r="M987" s="11" t="s">
        <v>7849</v>
      </c>
    </row>
    <row r="988" spans="1:13" ht="15" customHeight="1" x14ac:dyDescent="0.25">
      <c r="A988" s="116"/>
      <c r="B988" s="116"/>
      <c r="C988" s="116"/>
      <c r="D988" s="20"/>
      <c r="E988" s="11">
        <v>26</v>
      </c>
      <c r="F988" s="11" t="s">
        <v>7974</v>
      </c>
      <c r="G988" s="11" t="s">
        <v>7934</v>
      </c>
      <c r="H988" s="11">
        <v>0</v>
      </c>
      <c r="I988" s="11">
        <v>20</v>
      </c>
      <c r="J988" s="11" t="s">
        <v>7850</v>
      </c>
      <c r="K988" s="11" t="s">
        <v>7851</v>
      </c>
      <c r="L988" s="11" t="s">
        <v>7852</v>
      </c>
      <c r="M988" s="11" t="s">
        <v>7853</v>
      </c>
    </row>
    <row r="989" spans="1:13" ht="15" customHeight="1" x14ac:dyDescent="0.25">
      <c r="A989" s="116"/>
      <c r="B989" s="116"/>
      <c r="C989" s="116"/>
      <c r="D989" s="20"/>
      <c r="E989" s="11">
        <v>27</v>
      </c>
      <c r="F989" s="11" t="s">
        <v>7975</v>
      </c>
      <c r="G989" s="11" t="s">
        <v>7935</v>
      </c>
      <c r="H989" s="11">
        <v>0</v>
      </c>
      <c r="I989" s="11">
        <v>20</v>
      </c>
      <c r="J989" s="11" t="s">
        <v>7854</v>
      </c>
      <c r="K989" s="11" t="s">
        <v>7855</v>
      </c>
      <c r="L989" s="11" t="s">
        <v>7856</v>
      </c>
      <c r="M989" s="11" t="s">
        <v>7857</v>
      </c>
    </row>
    <row r="990" spans="1:13" ht="15" customHeight="1" x14ac:dyDescent="0.25">
      <c r="A990" s="116"/>
      <c r="B990" s="116"/>
      <c r="C990" s="116"/>
      <c r="D990" s="20"/>
      <c r="E990" s="11">
        <v>28</v>
      </c>
      <c r="F990" s="11" t="s">
        <v>7976</v>
      </c>
      <c r="G990" s="11" t="s">
        <v>7936</v>
      </c>
      <c r="H990" s="11">
        <v>0</v>
      </c>
      <c r="I990" s="11">
        <v>20</v>
      </c>
      <c r="J990" s="11" t="s">
        <v>7858</v>
      </c>
      <c r="K990" s="11" t="s">
        <v>7859</v>
      </c>
      <c r="L990" s="11" t="s">
        <v>7860</v>
      </c>
      <c r="M990" s="11" t="s">
        <v>7861</v>
      </c>
    </row>
    <row r="991" spans="1:13" ht="15" customHeight="1" x14ac:dyDescent="0.25">
      <c r="A991" s="116"/>
      <c r="B991" s="116"/>
      <c r="C991" s="116"/>
      <c r="D991" s="20"/>
      <c r="E991" s="11">
        <v>29</v>
      </c>
      <c r="F991" s="11" t="s">
        <v>7977</v>
      </c>
      <c r="G991" s="11" t="s">
        <v>7937</v>
      </c>
      <c r="H991" s="11">
        <v>0</v>
      </c>
      <c r="I991" s="11">
        <v>20</v>
      </c>
      <c r="J991" s="11" t="s">
        <v>7862</v>
      </c>
      <c r="K991" s="11" t="s">
        <v>7863</v>
      </c>
      <c r="L991" s="11" t="s">
        <v>7864</v>
      </c>
      <c r="M991" s="11" t="s">
        <v>7865</v>
      </c>
    </row>
    <row r="992" spans="1:13" ht="15" customHeight="1" x14ac:dyDescent="0.25">
      <c r="A992" s="116"/>
      <c r="B992" s="116"/>
      <c r="C992" s="116"/>
      <c r="D992" s="20"/>
      <c r="E992" s="11">
        <v>30</v>
      </c>
      <c r="F992" s="11" t="s">
        <v>7978</v>
      </c>
      <c r="G992" s="11" t="s">
        <v>7938</v>
      </c>
      <c r="H992" s="11">
        <v>0</v>
      </c>
      <c r="I992" s="11">
        <v>20</v>
      </c>
      <c r="J992" s="11" t="s">
        <v>7866</v>
      </c>
      <c r="K992" s="11" t="s">
        <v>7867</v>
      </c>
      <c r="L992" s="11" t="s">
        <v>7868</v>
      </c>
      <c r="M992" s="11" t="s">
        <v>7869</v>
      </c>
    </row>
    <row r="993" spans="1:13" ht="15" customHeight="1" x14ac:dyDescent="0.25">
      <c r="A993" s="116"/>
      <c r="B993" s="116"/>
      <c r="C993" s="116"/>
      <c r="D993" s="20"/>
      <c r="E993" s="11">
        <v>31</v>
      </c>
      <c r="F993" s="11" t="s">
        <v>7979</v>
      </c>
      <c r="G993" s="11" t="s">
        <v>7939</v>
      </c>
      <c r="H993" s="11">
        <v>0</v>
      </c>
      <c r="I993" s="11">
        <v>20</v>
      </c>
      <c r="J993" s="11" t="s">
        <v>7870</v>
      </c>
      <c r="K993" s="11" t="s">
        <v>7871</v>
      </c>
      <c r="L993" s="11" t="s">
        <v>7872</v>
      </c>
      <c r="M993" s="11" t="s">
        <v>7873</v>
      </c>
    </row>
    <row r="994" spans="1:13" ht="15" customHeight="1" x14ac:dyDescent="0.25">
      <c r="A994" s="116"/>
      <c r="B994" s="116"/>
      <c r="C994" s="116"/>
      <c r="D994" s="20"/>
      <c r="E994" s="11">
        <v>32</v>
      </c>
      <c r="F994" s="11" t="s">
        <v>7980</v>
      </c>
      <c r="G994" s="11" t="s">
        <v>7940</v>
      </c>
      <c r="H994" s="11">
        <v>0</v>
      </c>
      <c r="I994" s="11">
        <v>20</v>
      </c>
      <c r="J994" s="11" t="s">
        <v>7874</v>
      </c>
      <c r="K994" s="11" t="s">
        <v>7875</v>
      </c>
      <c r="L994" s="11" t="s">
        <v>7876</v>
      </c>
      <c r="M994" s="11" t="s">
        <v>7877</v>
      </c>
    </row>
    <row r="995" spans="1:13" ht="15" customHeight="1" x14ac:dyDescent="0.25">
      <c r="A995" s="116"/>
      <c r="B995" s="116"/>
      <c r="C995" s="116"/>
      <c r="D995" s="20"/>
      <c r="E995" s="11">
        <v>33</v>
      </c>
      <c r="F995" s="11" t="s">
        <v>7981</v>
      </c>
      <c r="G995" s="11" t="s">
        <v>7941</v>
      </c>
      <c r="H995" s="11">
        <v>0</v>
      </c>
      <c r="I995" s="11">
        <v>20</v>
      </c>
      <c r="J995" s="11" t="s">
        <v>7878</v>
      </c>
      <c r="K995" s="11" t="s">
        <v>7879</v>
      </c>
      <c r="L995" s="11" t="s">
        <v>7880</v>
      </c>
      <c r="M995" s="11" t="s">
        <v>7881</v>
      </c>
    </row>
    <row r="996" spans="1:13" ht="15" customHeight="1" x14ac:dyDescent="0.25">
      <c r="A996" s="116"/>
      <c r="B996" s="116"/>
      <c r="C996" s="116"/>
      <c r="D996" s="20"/>
      <c r="E996" s="11">
        <v>34</v>
      </c>
      <c r="F996" s="11" t="s">
        <v>7982</v>
      </c>
      <c r="G996" s="11" t="s">
        <v>7942</v>
      </c>
      <c r="H996" s="11">
        <v>0</v>
      </c>
      <c r="I996" s="11">
        <v>20</v>
      </c>
      <c r="J996" s="11" t="s">
        <v>7882</v>
      </c>
      <c r="K996" s="11" t="s">
        <v>7883</v>
      </c>
      <c r="L996" s="11" t="s">
        <v>7884</v>
      </c>
      <c r="M996" s="11" t="s">
        <v>7885</v>
      </c>
    </row>
    <row r="997" spans="1:13" ht="15" customHeight="1" x14ac:dyDescent="0.25">
      <c r="A997" s="116"/>
      <c r="B997" s="116"/>
      <c r="C997" s="116"/>
      <c r="D997" s="20"/>
      <c r="E997" s="11">
        <v>35</v>
      </c>
      <c r="F997" s="11" t="s">
        <v>7983</v>
      </c>
      <c r="G997" s="11" t="s">
        <v>7943</v>
      </c>
      <c r="H997" s="11">
        <v>0</v>
      </c>
      <c r="I997" s="11">
        <v>20</v>
      </c>
      <c r="J997" s="11" t="s">
        <v>7886</v>
      </c>
      <c r="K997" s="11" t="s">
        <v>7887</v>
      </c>
      <c r="L997" s="11" t="s">
        <v>7888</v>
      </c>
      <c r="M997" s="11" t="s">
        <v>7889</v>
      </c>
    </row>
    <row r="998" spans="1:13" ht="15" customHeight="1" x14ac:dyDescent="0.25">
      <c r="A998" s="116"/>
      <c r="B998" s="116"/>
      <c r="C998" s="116"/>
      <c r="D998" s="20"/>
      <c r="E998" s="11">
        <v>36</v>
      </c>
      <c r="F998" s="11" t="s">
        <v>7984</v>
      </c>
      <c r="G998" s="11" t="s">
        <v>7944</v>
      </c>
      <c r="H998" s="11">
        <v>0</v>
      </c>
      <c r="I998" s="11">
        <v>20</v>
      </c>
      <c r="J998" s="11" t="s">
        <v>7890</v>
      </c>
      <c r="K998" s="11" t="s">
        <v>7891</v>
      </c>
      <c r="L998" s="11" t="s">
        <v>7892</v>
      </c>
      <c r="M998" s="11" t="s">
        <v>7893</v>
      </c>
    </row>
    <row r="999" spans="1:13" ht="15" customHeight="1" x14ac:dyDescent="0.25">
      <c r="A999" s="116"/>
      <c r="B999" s="116"/>
      <c r="C999" s="116"/>
      <c r="D999" s="20"/>
      <c r="E999" s="11">
        <v>37</v>
      </c>
      <c r="F999" s="11" t="s">
        <v>7985</v>
      </c>
      <c r="G999" s="11" t="s">
        <v>7945</v>
      </c>
      <c r="H999" s="11">
        <v>0</v>
      </c>
      <c r="I999" s="11">
        <v>20</v>
      </c>
      <c r="J999" s="11" t="s">
        <v>7894</v>
      </c>
      <c r="K999" s="11" t="s">
        <v>7895</v>
      </c>
      <c r="L999" s="11" t="s">
        <v>7896</v>
      </c>
      <c r="M999" s="11" t="s">
        <v>7897</v>
      </c>
    </row>
    <row r="1000" spans="1:13" ht="15" customHeight="1" x14ac:dyDescent="0.25">
      <c r="A1000" s="116"/>
      <c r="B1000" s="116"/>
      <c r="C1000" s="116"/>
      <c r="D1000" s="20"/>
      <c r="E1000" s="11">
        <v>38</v>
      </c>
      <c r="F1000" t="s">
        <v>7989</v>
      </c>
      <c r="G1000" s="11" t="s">
        <v>7946</v>
      </c>
      <c r="H1000" s="11">
        <v>0</v>
      </c>
      <c r="I1000" s="11">
        <v>20</v>
      </c>
      <c r="J1000" s="11" t="s">
        <v>7898</v>
      </c>
      <c r="K1000" s="11" t="s">
        <v>7899</v>
      </c>
      <c r="L1000" s="11" t="s">
        <v>7900</v>
      </c>
      <c r="M1000" s="11" t="s">
        <v>7988</v>
      </c>
    </row>
    <row r="1001" spans="1:13" ht="15" customHeight="1" x14ac:dyDescent="0.25">
      <c r="A1001" s="116"/>
      <c r="B1001" s="116"/>
      <c r="C1001" s="116"/>
      <c r="D1001" s="20"/>
      <c r="E1001" s="11">
        <v>39</v>
      </c>
      <c r="F1001" s="11" t="s">
        <v>7986</v>
      </c>
      <c r="G1001" s="11" t="s">
        <v>7947</v>
      </c>
      <c r="H1001" s="11">
        <v>0</v>
      </c>
      <c r="I1001" s="11">
        <v>20</v>
      </c>
      <c r="J1001" s="11" t="s">
        <v>7901</v>
      </c>
      <c r="K1001" s="11" t="s">
        <v>7902</v>
      </c>
      <c r="L1001" s="11" t="s">
        <v>7903</v>
      </c>
      <c r="M1001" s="11" t="s">
        <v>7904</v>
      </c>
    </row>
    <row r="1002" spans="1:13" ht="15" customHeight="1" x14ac:dyDescent="0.25">
      <c r="A1002" s="116"/>
      <c r="B1002" s="116"/>
      <c r="C1002" s="116"/>
      <c r="D1002" s="20"/>
      <c r="E1002" s="11">
        <v>40</v>
      </c>
      <c r="F1002" s="11" t="s">
        <v>7987</v>
      </c>
      <c r="G1002" s="11" t="s">
        <v>7948</v>
      </c>
      <c r="H1002" s="11">
        <v>0</v>
      </c>
      <c r="I1002" s="11">
        <v>20</v>
      </c>
      <c r="J1002" s="11" t="s">
        <v>7905</v>
      </c>
      <c r="K1002" s="11" t="s">
        <v>7906</v>
      </c>
      <c r="L1002" s="11" t="s">
        <v>7907</v>
      </c>
      <c r="M1002" s="11" t="s">
        <v>7908</v>
      </c>
    </row>
    <row r="1003" spans="1:13" ht="15" customHeight="1" x14ac:dyDescent="0.25">
      <c r="A1003" s="43"/>
      <c r="C1003" s="38">
        <v>103</v>
      </c>
      <c r="D1003" s="39" t="s">
        <v>1948</v>
      </c>
      <c r="E1003" s="39">
        <v>1</v>
      </c>
      <c r="F1003" s="42" t="s">
        <v>1945</v>
      </c>
      <c r="G1003" s="39" t="s">
        <v>1905</v>
      </c>
      <c r="H1003" s="39">
        <v>5</v>
      </c>
      <c r="I1003" s="39">
        <v>5</v>
      </c>
      <c r="J1003" s="9" t="s">
        <v>3659</v>
      </c>
      <c r="K1003" s="9" t="s">
        <v>3660</v>
      </c>
      <c r="L1003" s="9" t="s">
        <v>3661</v>
      </c>
      <c r="M1003" s="9" t="s">
        <v>3662</v>
      </c>
    </row>
    <row r="1004" spans="1:13" ht="15" customHeight="1" x14ac:dyDescent="0.25">
      <c r="A1004" s="43"/>
      <c r="C1004" s="38"/>
      <c r="D1004" s="39" t="s">
        <v>1368</v>
      </c>
      <c r="E1004" s="39">
        <v>2</v>
      </c>
      <c r="F1004" s="42" t="s">
        <v>1946</v>
      </c>
      <c r="G1004" s="39" t="s">
        <v>1906</v>
      </c>
      <c r="H1004" s="39">
        <v>5</v>
      </c>
      <c r="I1004" s="39">
        <v>5</v>
      </c>
      <c r="J1004" s="9" t="s">
        <v>3664</v>
      </c>
      <c r="K1004" s="9" t="s">
        <v>3665</v>
      </c>
      <c r="L1004" s="9" t="s">
        <v>3666</v>
      </c>
      <c r="M1004" s="9" t="s">
        <v>3667</v>
      </c>
    </row>
    <row r="1005" spans="1:13" ht="15" customHeight="1" x14ac:dyDescent="0.25">
      <c r="A1005" s="43"/>
      <c r="C1005" s="38"/>
      <c r="D1005" s="39" t="s">
        <v>16</v>
      </c>
      <c r="E1005" s="39">
        <v>3</v>
      </c>
      <c r="F1005" s="42" t="s">
        <v>1947</v>
      </c>
      <c r="G1005" s="39" t="s">
        <v>1907</v>
      </c>
      <c r="H1005" s="39">
        <v>5</v>
      </c>
      <c r="I1005" s="39">
        <v>5</v>
      </c>
      <c r="J1005" s="9" t="s">
        <v>3669</v>
      </c>
      <c r="K1005" s="9" t="s">
        <v>3670</v>
      </c>
      <c r="L1005" s="9" t="s">
        <v>3671</v>
      </c>
      <c r="M1005" s="9" t="s">
        <v>3672</v>
      </c>
    </row>
    <row r="1006" spans="1:13" ht="15" customHeight="1" x14ac:dyDescent="0.25">
      <c r="A1006" s="43"/>
      <c r="C1006" s="38"/>
      <c r="D1006" s="39"/>
      <c r="E1006" s="39">
        <v>4</v>
      </c>
      <c r="F1006" s="42"/>
      <c r="G1006" s="39" t="s">
        <v>1908</v>
      </c>
      <c r="H1006" s="39">
        <v>5</v>
      </c>
      <c r="I1006" s="39">
        <v>5</v>
      </c>
      <c r="J1006" s="9" t="s">
        <v>3674</v>
      </c>
      <c r="K1006" s="9" t="s">
        <v>3675</v>
      </c>
      <c r="L1006" s="9" t="s">
        <v>3676</v>
      </c>
      <c r="M1006" s="9" t="s">
        <v>3677</v>
      </c>
    </row>
    <row r="1007" spans="1:13" ht="15" customHeight="1" x14ac:dyDescent="0.25">
      <c r="A1007" s="43"/>
      <c r="C1007" s="38"/>
      <c r="D1007" s="39"/>
      <c r="E1007" s="39">
        <v>5</v>
      </c>
      <c r="F1007" s="42"/>
      <c r="G1007" s="39" t="s">
        <v>1909</v>
      </c>
      <c r="H1007" s="39">
        <v>5</v>
      </c>
      <c r="I1007" s="39">
        <v>5</v>
      </c>
      <c r="J1007" s="9" t="s">
        <v>3679</v>
      </c>
      <c r="K1007" s="9" t="s">
        <v>3680</v>
      </c>
      <c r="L1007" s="9" t="s">
        <v>3681</v>
      </c>
      <c r="M1007" s="9" t="s">
        <v>3682</v>
      </c>
    </row>
    <row r="1008" spans="1:13" ht="15" customHeight="1" x14ac:dyDescent="0.25">
      <c r="A1008" s="43"/>
      <c r="C1008" s="38"/>
      <c r="D1008" s="39"/>
      <c r="E1008" s="39">
        <v>6</v>
      </c>
      <c r="F1008" s="40"/>
      <c r="G1008" s="39" t="s">
        <v>1910</v>
      </c>
      <c r="H1008" s="39">
        <v>5</v>
      </c>
      <c r="I1008" s="39">
        <v>5</v>
      </c>
      <c r="J1008" s="9" t="s">
        <v>3684</v>
      </c>
      <c r="K1008" s="9" t="s">
        <v>3685</v>
      </c>
      <c r="L1008" s="9" t="s">
        <v>3686</v>
      </c>
      <c r="M1008" s="9" t="s">
        <v>3687</v>
      </c>
    </row>
    <row r="1009" spans="1:13" ht="15" customHeight="1" x14ac:dyDescent="0.25">
      <c r="A1009" s="43"/>
      <c r="C1009" s="38"/>
      <c r="D1009" s="39"/>
      <c r="E1009" s="39">
        <v>7</v>
      </c>
      <c r="F1009" s="40"/>
      <c r="G1009" s="39" t="s">
        <v>1911</v>
      </c>
      <c r="H1009" s="39">
        <v>5</v>
      </c>
      <c r="I1009" s="39">
        <v>5</v>
      </c>
      <c r="J1009" s="9" t="s">
        <v>3689</v>
      </c>
      <c r="K1009" s="9" t="s">
        <v>3690</v>
      </c>
      <c r="L1009" s="9" t="s">
        <v>3691</v>
      </c>
      <c r="M1009" s="9" t="s">
        <v>3692</v>
      </c>
    </row>
    <row r="1010" spans="1:13" ht="15" customHeight="1" x14ac:dyDescent="0.25">
      <c r="A1010" s="43"/>
      <c r="C1010" s="38"/>
      <c r="D1010" s="39"/>
      <c r="E1010" s="39">
        <v>8</v>
      </c>
      <c r="F1010" s="40"/>
      <c r="G1010" s="39" t="s">
        <v>1912</v>
      </c>
      <c r="H1010" s="39">
        <v>5</v>
      </c>
      <c r="I1010" s="39">
        <v>5</v>
      </c>
      <c r="J1010" s="9" t="s">
        <v>3694</v>
      </c>
      <c r="K1010" s="9" t="s">
        <v>3695</v>
      </c>
      <c r="L1010" s="9" t="s">
        <v>3696</v>
      </c>
      <c r="M1010" s="9" t="s">
        <v>3697</v>
      </c>
    </row>
    <row r="1011" spans="1:13" ht="15" customHeight="1" x14ac:dyDescent="0.25">
      <c r="A1011" s="43"/>
      <c r="C1011" s="38"/>
      <c r="D1011" s="39"/>
      <c r="E1011" s="39">
        <v>9</v>
      </c>
      <c r="F1011" s="40"/>
      <c r="G1011" s="39" t="s">
        <v>1913</v>
      </c>
      <c r="H1011" s="39">
        <v>5</v>
      </c>
      <c r="I1011" s="39">
        <v>5</v>
      </c>
      <c r="J1011" s="9" t="s">
        <v>3699</v>
      </c>
      <c r="K1011" s="9" t="s">
        <v>3700</v>
      </c>
      <c r="L1011" s="9" t="s">
        <v>3701</v>
      </c>
      <c r="M1011" s="9" t="s">
        <v>3702</v>
      </c>
    </row>
    <row r="1012" spans="1:13" ht="15" customHeight="1" x14ac:dyDescent="0.25">
      <c r="A1012" s="43"/>
      <c r="C1012" s="38"/>
      <c r="D1012" s="39"/>
      <c r="E1012" s="39">
        <v>10</v>
      </c>
      <c r="F1012" s="40"/>
      <c r="G1012" s="39" t="s">
        <v>1914</v>
      </c>
      <c r="H1012" s="39">
        <v>5</v>
      </c>
      <c r="I1012" s="39">
        <v>5</v>
      </c>
      <c r="J1012" s="9" t="s">
        <v>3704</v>
      </c>
      <c r="K1012" s="9" t="s">
        <v>3705</v>
      </c>
      <c r="L1012" s="9" t="s">
        <v>3706</v>
      </c>
      <c r="M1012" s="9" t="s">
        <v>3707</v>
      </c>
    </row>
    <row r="1013" spans="1:13" ht="15" customHeight="1" x14ac:dyDescent="0.25">
      <c r="A1013" s="43"/>
      <c r="C1013" s="38"/>
      <c r="D1013" s="39"/>
      <c r="E1013" s="39">
        <v>11</v>
      </c>
      <c r="F1013" s="40"/>
      <c r="G1013" s="39" t="s">
        <v>1915</v>
      </c>
      <c r="H1013" s="39">
        <v>5</v>
      </c>
      <c r="I1013" s="39">
        <v>5</v>
      </c>
      <c r="J1013" s="9" t="s">
        <v>3709</v>
      </c>
      <c r="K1013" s="9" t="s">
        <v>3710</v>
      </c>
      <c r="L1013" s="9" t="s">
        <v>3711</v>
      </c>
      <c r="M1013" s="9" t="s">
        <v>3712</v>
      </c>
    </row>
    <row r="1014" spans="1:13" ht="15" customHeight="1" x14ac:dyDescent="0.25">
      <c r="A1014" s="43"/>
      <c r="C1014" s="38"/>
      <c r="D1014" s="39"/>
      <c r="E1014" s="39">
        <v>12</v>
      </c>
      <c r="F1014" s="40"/>
      <c r="G1014" s="39" t="s">
        <v>1916</v>
      </c>
      <c r="H1014" s="39">
        <v>5</v>
      </c>
      <c r="I1014" s="39">
        <v>5</v>
      </c>
      <c r="J1014" s="9" t="s">
        <v>3714</v>
      </c>
      <c r="K1014" s="9" t="s">
        <v>3715</v>
      </c>
      <c r="L1014" s="9" t="s">
        <v>3716</v>
      </c>
      <c r="M1014" s="9" t="s">
        <v>3717</v>
      </c>
    </row>
    <row r="1015" spans="1:13" ht="15" customHeight="1" x14ac:dyDescent="0.25">
      <c r="A1015" s="43"/>
      <c r="C1015" s="38"/>
      <c r="D1015" s="39"/>
      <c r="E1015" s="39">
        <v>13</v>
      </c>
      <c r="F1015" s="40"/>
      <c r="G1015" s="39" t="s">
        <v>1917</v>
      </c>
      <c r="H1015" s="39">
        <v>5</v>
      </c>
      <c r="I1015" s="39">
        <v>5</v>
      </c>
      <c r="J1015" s="9" t="s">
        <v>3719</v>
      </c>
      <c r="K1015" s="9" t="s">
        <v>3720</v>
      </c>
      <c r="L1015" s="9" t="s">
        <v>3721</v>
      </c>
      <c r="M1015" s="9" t="s">
        <v>3722</v>
      </c>
    </row>
    <row r="1016" spans="1:13" ht="15" customHeight="1" x14ac:dyDescent="0.25">
      <c r="A1016" s="43"/>
      <c r="C1016" s="38"/>
      <c r="D1016" s="39"/>
      <c r="E1016" s="39">
        <v>14</v>
      </c>
      <c r="F1016" s="40"/>
      <c r="G1016" s="39" t="s">
        <v>1918</v>
      </c>
      <c r="H1016" s="39">
        <v>5</v>
      </c>
      <c r="I1016" s="39">
        <v>5</v>
      </c>
      <c r="J1016" s="9" t="s">
        <v>3724</v>
      </c>
      <c r="K1016" s="9" t="s">
        <v>3725</v>
      </c>
      <c r="L1016" s="9" t="s">
        <v>3726</v>
      </c>
      <c r="M1016" s="9" t="s">
        <v>3727</v>
      </c>
    </row>
    <row r="1017" spans="1:13" ht="15" customHeight="1" x14ac:dyDescent="0.25">
      <c r="A1017" s="43"/>
      <c r="C1017" s="38"/>
      <c r="D1017" s="39"/>
      <c r="E1017" s="39">
        <v>15</v>
      </c>
      <c r="F1017" s="40"/>
      <c r="G1017" s="39" t="s">
        <v>1919</v>
      </c>
      <c r="H1017" s="39">
        <v>5</v>
      </c>
      <c r="I1017" s="39">
        <v>5</v>
      </c>
      <c r="J1017" s="9" t="s">
        <v>3729</v>
      </c>
      <c r="K1017" s="9" t="s">
        <v>3730</v>
      </c>
      <c r="L1017" s="9" t="s">
        <v>3731</v>
      </c>
      <c r="M1017" s="9" t="s">
        <v>3732</v>
      </c>
    </row>
    <row r="1018" spans="1:13" ht="15" customHeight="1" x14ac:dyDescent="0.25">
      <c r="A1018" s="43"/>
      <c r="C1018" s="38"/>
      <c r="D1018" s="39"/>
      <c r="E1018" s="39">
        <v>16</v>
      </c>
      <c r="F1018" s="40"/>
      <c r="G1018" s="39" t="s">
        <v>1920</v>
      </c>
      <c r="H1018" s="39">
        <v>5</v>
      </c>
      <c r="I1018" s="39">
        <v>5</v>
      </c>
      <c r="J1018" s="9" t="s">
        <v>3734</v>
      </c>
      <c r="K1018" s="9" t="s">
        <v>3735</v>
      </c>
      <c r="L1018" s="9" t="s">
        <v>3736</v>
      </c>
      <c r="M1018" s="9" t="s">
        <v>3737</v>
      </c>
    </row>
    <row r="1019" spans="1:13" ht="15" customHeight="1" x14ac:dyDescent="0.25">
      <c r="A1019" s="43"/>
      <c r="C1019" s="38"/>
      <c r="D1019" s="39"/>
      <c r="E1019" s="39">
        <v>17</v>
      </c>
      <c r="F1019" s="40"/>
      <c r="G1019" s="39" t="s">
        <v>1921</v>
      </c>
      <c r="H1019" s="39">
        <v>5</v>
      </c>
      <c r="I1019" s="39">
        <v>5</v>
      </c>
      <c r="J1019" s="9" t="s">
        <v>3739</v>
      </c>
      <c r="K1019" s="9" t="s">
        <v>3740</v>
      </c>
      <c r="L1019" s="9" t="s">
        <v>3741</v>
      </c>
      <c r="M1019" s="9" t="s">
        <v>3742</v>
      </c>
    </row>
    <row r="1020" spans="1:13" ht="15" customHeight="1" x14ac:dyDescent="0.25">
      <c r="A1020" s="43"/>
      <c r="C1020" s="38"/>
      <c r="D1020" s="39"/>
      <c r="E1020" s="39">
        <v>18</v>
      </c>
      <c r="F1020" s="40"/>
      <c r="G1020" s="39" t="s">
        <v>1922</v>
      </c>
      <c r="H1020" s="39">
        <v>5</v>
      </c>
      <c r="I1020" s="39">
        <v>5</v>
      </c>
      <c r="J1020" s="9" t="s">
        <v>3744</v>
      </c>
      <c r="K1020" s="9" t="s">
        <v>3745</v>
      </c>
      <c r="L1020" s="9" t="s">
        <v>3746</v>
      </c>
      <c r="M1020" s="9" t="s">
        <v>3747</v>
      </c>
    </row>
    <row r="1021" spans="1:13" ht="15" customHeight="1" x14ac:dyDescent="0.25">
      <c r="A1021" s="43"/>
      <c r="C1021" s="38"/>
      <c r="D1021" s="39"/>
      <c r="E1021" s="39">
        <v>19</v>
      </c>
      <c r="F1021" s="40"/>
      <c r="G1021" s="39" t="s">
        <v>1923</v>
      </c>
      <c r="H1021" s="39">
        <v>5</v>
      </c>
      <c r="I1021" s="39">
        <v>5</v>
      </c>
      <c r="J1021" s="9" t="s">
        <v>3749</v>
      </c>
      <c r="K1021" s="9" t="s">
        <v>3750</v>
      </c>
      <c r="L1021" s="9" t="s">
        <v>3751</v>
      </c>
      <c r="M1021" s="9" t="s">
        <v>3752</v>
      </c>
    </row>
    <row r="1022" spans="1:13" ht="15" customHeight="1" x14ac:dyDescent="0.25">
      <c r="A1022" s="43"/>
      <c r="C1022" s="38"/>
      <c r="D1022" s="39"/>
      <c r="E1022" s="39">
        <v>20</v>
      </c>
      <c r="F1022" s="40"/>
      <c r="G1022" s="39" t="s">
        <v>1924</v>
      </c>
      <c r="H1022" s="39">
        <v>5</v>
      </c>
      <c r="I1022" s="39">
        <v>5</v>
      </c>
      <c r="J1022" s="9" t="s">
        <v>3754</v>
      </c>
      <c r="K1022" s="9" t="s">
        <v>3755</v>
      </c>
      <c r="L1022" s="9" t="s">
        <v>3756</v>
      </c>
      <c r="M1022" s="9" t="s">
        <v>3757</v>
      </c>
    </row>
    <row r="1023" spans="1:13" ht="15" customHeight="1" x14ac:dyDescent="0.25">
      <c r="A1023" s="43"/>
      <c r="C1023" s="38"/>
      <c r="D1023" s="39"/>
      <c r="E1023" s="39">
        <v>21</v>
      </c>
      <c r="F1023" s="40"/>
      <c r="G1023" s="39" t="s">
        <v>1925</v>
      </c>
      <c r="H1023" s="39">
        <v>5</v>
      </c>
      <c r="I1023" s="39">
        <v>5</v>
      </c>
      <c r="J1023" s="9" t="s">
        <v>3759</v>
      </c>
      <c r="K1023" s="9" t="s">
        <v>3760</v>
      </c>
      <c r="L1023" s="9" t="s">
        <v>3761</v>
      </c>
      <c r="M1023" s="9" t="s">
        <v>3762</v>
      </c>
    </row>
    <row r="1024" spans="1:13" ht="15" customHeight="1" x14ac:dyDescent="0.25">
      <c r="A1024" s="43"/>
      <c r="C1024" s="38"/>
      <c r="D1024" s="39"/>
      <c r="E1024" s="39">
        <v>22</v>
      </c>
      <c r="F1024" s="40"/>
      <c r="G1024" s="39" t="s">
        <v>1926</v>
      </c>
      <c r="H1024" s="39">
        <v>5</v>
      </c>
      <c r="I1024" s="39">
        <v>5</v>
      </c>
      <c r="J1024" s="9" t="s">
        <v>3764</v>
      </c>
      <c r="K1024" s="9" t="s">
        <v>3765</v>
      </c>
      <c r="L1024" s="9" t="s">
        <v>3766</v>
      </c>
      <c r="M1024" s="9" t="s">
        <v>3767</v>
      </c>
    </row>
    <row r="1025" spans="1:13" ht="15" customHeight="1" x14ac:dyDescent="0.25">
      <c r="A1025" s="43"/>
      <c r="C1025" s="38"/>
      <c r="D1025" s="39"/>
      <c r="E1025" s="39">
        <v>23</v>
      </c>
      <c r="F1025" s="40"/>
      <c r="G1025" s="39" t="s">
        <v>1927</v>
      </c>
      <c r="H1025" s="39">
        <v>5</v>
      </c>
      <c r="I1025" s="39">
        <v>5</v>
      </c>
      <c r="J1025" s="9" t="s">
        <v>3769</v>
      </c>
      <c r="K1025" s="9" t="s">
        <v>3770</v>
      </c>
      <c r="L1025" s="9" t="s">
        <v>3771</v>
      </c>
      <c r="M1025" s="9" t="s">
        <v>3772</v>
      </c>
    </row>
    <row r="1026" spans="1:13" ht="15" customHeight="1" x14ac:dyDescent="0.25">
      <c r="A1026" s="43"/>
      <c r="C1026" s="38"/>
      <c r="D1026" s="41"/>
      <c r="E1026" s="39">
        <v>24</v>
      </c>
      <c r="F1026" s="40"/>
      <c r="G1026" s="39" t="s">
        <v>1928</v>
      </c>
      <c r="H1026" s="39">
        <v>5</v>
      </c>
      <c r="I1026" s="39">
        <v>5</v>
      </c>
      <c r="J1026" s="9" t="s">
        <v>3774</v>
      </c>
      <c r="K1026" s="9" t="s">
        <v>3775</v>
      </c>
      <c r="L1026" s="9" t="s">
        <v>3776</v>
      </c>
      <c r="M1026" s="9" t="s">
        <v>3777</v>
      </c>
    </row>
    <row r="1027" spans="1:13" ht="15" customHeight="1" x14ac:dyDescent="0.25">
      <c r="A1027" s="43"/>
      <c r="C1027" s="38"/>
      <c r="D1027" s="41"/>
      <c r="E1027" s="39">
        <v>25</v>
      </c>
      <c r="F1027" s="40"/>
      <c r="G1027" s="39" t="s">
        <v>1929</v>
      </c>
      <c r="H1027" s="39">
        <v>5</v>
      </c>
      <c r="I1027" s="39">
        <v>5</v>
      </c>
      <c r="J1027" s="9" t="s">
        <v>3779</v>
      </c>
      <c r="K1027" s="9" t="s">
        <v>3780</v>
      </c>
      <c r="L1027" s="9" t="s">
        <v>3781</v>
      </c>
      <c r="M1027" s="9" t="s">
        <v>3782</v>
      </c>
    </row>
    <row r="1028" spans="1:13" ht="15" customHeight="1" x14ac:dyDescent="0.25">
      <c r="A1028" s="43"/>
      <c r="C1028" s="38"/>
      <c r="D1028" s="41"/>
      <c r="E1028" s="39">
        <v>26</v>
      </c>
      <c r="F1028" s="40"/>
      <c r="G1028" s="39" t="s">
        <v>1930</v>
      </c>
      <c r="H1028" s="39">
        <v>5</v>
      </c>
      <c r="I1028" s="39">
        <v>5</v>
      </c>
      <c r="J1028" s="9" t="s">
        <v>3784</v>
      </c>
      <c r="K1028" s="9" t="s">
        <v>3785</v>
      </c>
      <c r="L1028" s="9" t="s">
        <v>3786</v>
      </c>
      <c r="M1028" s="9" t="s">
        <v>3787</v>
      </c>
    </row>
    <row r="1029" spans="1:13" ht="15" customHeight="1" x14ac:dyDescent="0.25">
      <c r="A1029" s="43"/>
      <c r="C1029" s="38"/>
      <c r="D1029" s="41"/>
      <c r="E1029" s="39">
        <v>27</v>
      </c>
      <c r="F1029" s="40"/>
      <c r="G1029" s="39" t="s">
        <v>1931</v>
      </c>
      <c r="H1029" s="39">
        <v>5</v>
      </c>
      <c r="I1029" s="39">
        <v>5</v>
      </c>
      <c r="J1029" s="9" t="s">
        <v>3789</v>
      </c>
      <c r="K1029" s="9" t="s">
        <v>3790</v>
      </c>
      <c r="L1029" s="9" t="s">
        <v>3791</v>
      </c>
      <c r="M1029" s="9" t="s">
        <v>3792</v>
      </c>
    </row>
    <row r="1030" spans="1:13" ht="15" customHeight="1" x14ac:dyDescent="0.25">
      <c r="A1030" s="43"/>
      <c r="C1030" s="38"/>
      <c r="D1030" s="41"/>
      <c r="E1030" s="39">
        <v>28</v>
      </c>
      <c r="F1030" s="40"/>
      <c r="G1030" s="39" t="s">
        <v>1932</v>
      </c>
      <c r="H1030" s="39">
        <v>5</v>
      </c>
      <c r="I1030" s="39">
        <v>5</v>
      </c>
      <c r="J1030" s="9" t="s">
        <v>3794</v>
      </c>
      <c r="K1030" s="9" t="s">
        <v>3795</v>
      </c>
      <c r="L1030" s="9" t="s">
        <v>3796</v>
      </c>
      <c r="M1030" s="9" t="s">
        <v>3797</v>
      </c>
    </row>
    <row r="1031" spans="1:13" ht="15" customHeight="1" x14ac:dyDescent="0.25">
      <c r="A1031" s="43"/>
      <c r="C1031" s="38"/>
      <c r="D1031" s="41"/>
      <c r="E1031" s="39">
        <v>29</v>
      </c>
      <c r="F1031" s="40"/>
      <c r="G1031" s="39" t="s">
        <v>1933</v>
      </c>
      <c r="H1031" s="39">
        <v>5</v>
      </c>
      <c r="I1031" s="39">
        <v>5</v>
      </c>
      <c r="J1031" s="9" t="s">
        <v>3799</v>
      </c>
      <c r="K1031" s="9" t="s">
        <v>3800</v>
      </c>
      <c r="L1031" s="9" t="s">
        <v>3801</v>
      </c>
      <c r="M1031" s="9" t="s">
        <v>3802</v>
      </c>
    </row>
    <row r="1032" spans="1:13" ht="15" customHeight="1" x14ac:dyDescent="0.25">
      <c r="A1032" s="43"/>
      <c r="C1032" s="38"/>
      <c r="D1032" s="41"/>
      <c r="E1032" s="39">
        <v>30</v>
      </c>
      <c r="F1032" s="40"/>
      <c r="G1032" s="39" t="s">
        <v>1934</v>
      </c>
      <c r="H1032" s="39">
        <v>5</v>
      </c>
      <c r="I1032" s="39">
        <v>5</v>
      </c>
      <c r="J1032" s="9" t="s">
        <v>3804</v>
      </c>
      <c r="K1032" s="9" t="s">
        <v>3805</v>
      </c>
      <c r="L1032" s="9" t="s">
        <v>3806</v>
      </c>
      <c r="M1032" s="9" t="s">
        <v>3807</v>
      </c>
    </row>
    <row r="1033" spans="1:13" ht="15" customHeight="1" x14ac:dyDescent="0.25">
      <c r="A1033" s="43"/>
      <c r="C1033" s="38"/>
      <c r="D1033" s="41"/>
      <c r="E1033" s="39">
        <v>31</v>
      </c>
      <c r="F1033" s="40"/>
      <c r="G1033" s="39" t="s">
        <v>1935</v>
      </c>
      <c r="H1033" s="39">
        <v>5</v>
      </c>
      <c r="I1033" s="39">
        <v>5</v>
      </c>
      <c r="J1033" s="9" t="s">
        <v>3809</v>
      </c>
      <c r="K1033" s="9" t="s">
        <v>3810</v>
      </c>
      <c r="L1033" s="9" t="s">
        <v>3811</v>
      </c>
      <c r="M1033" s="9" t="s">
        <v>3812</v>
      </c>
    </row>
    <row r="1034" spans="1:13" ht="15" customHeight="1" x14ac:dyDescent="0.25">
      <c r="A1034" s="43"/>
      <c r="C1034" s="38"/>
      <c r="D1034" s="41"/>
      <c r="E1034" s="39">
        <v>32</v>
      </c>
      <c r="F1034" s="40"/>
      <c r="G1034" s="39" t="s">
        <v>1936</v>
      </c>
      <c r="H1034" s="39">
        <v>5</v>
      </c>
      <c r="I1034" s="39">
        <v>5</v>
      </c>
      <c r="J1034" s="9" t="s">
        <v>3814</v>
      </c>
      <c r="K1034" s="9" t="s">
        <v>3815</v>
      </c>
      <c r="L1034" s="9" t="s">
        <v>3816</v>
      </c>
      <c r="M1034" s="9" t="s">
        <v>3817</v>
      </c>
    </row>
    <row r="1035" spans="1:13" ht="15" customHeight="1" x14ac:dyDescent="0.25">
      <c r="A1035" s="43"/>
      <c r="C1035" s="38"/>
      <c r="D1035" s="41"/>
      <c r="E1035" s="39">
        <v>33</v>
      </c>
      <c r="F1035" s="40"/>
      <c r="G1035" s="39" t="s">
        <v>1937</v>
      </c>
      <c r="H1035" s="39">
        <v>5</v>
      </c>
      <c r="I1035" s="39">
        <v>5</v>
      </c>
      <c r="J1035" s="9" t="s">
        <v>3819</v>
      </c>
      <c r="K1035" s="9" t="s">
        <v>3820</v>
      </c>
      <c r="L1035" s="9" t="s">
        <v>3821</v>
      </c>
      <c r="M1035" s="9" t="s">
        <v>3822</v>
      </c>
    </row>
    <row r="1036" spans="1:13" ht="15" customHeight="1" x14ac:dyDescent="0.25">
      <c r="A1036" s="43"/>
      <c r="C1036" s="38"/>
      <c r="D1036" s="41"/>
      <c r="E1036" s="39">
        <v>34</v>
      </c>
      <c r="F1036" s="40"/>
      <c r="G1036" s="39" t="s">
        <v>1938</v>
      </c>
      <c r="H1036" s="39">
        <v>5</v>
      </c>
      <c r="I1036" s="39">
        <v>5</v>
      </c>
      <c r="J1036" s="9" t="s">
        <v>3824</v>
      </c>
      <c r="K1036" s="9" t="s">
        <v>3825</v>
      </c>
      <c r="L1036" s="9" t="s">
        <v>3826</v>
      </c>
      <c r="M1036" s="9" t="s">
        <v>3827</v>
      </c>
    </row>
    <row r="1037" spans="1:13" ht="15" customHeight="1" x14ac:dyDescent="0.25">
      <c r="A1037" s="43"/>
      <c r="C1037" s="38"/>
      <c r="D1037" s="41"/>
      <c r="E1037" s="39">
        <v>35</v>
      </c>
      <c r="F1037" s="40"/>
      <c r="G1037" s="39" t="s">
        <v>1939</v>
      </c>
      <c r="H1037" s="39">
        <v>5</v>
      </c>
      <c r="I1037" s="39">
        <v>5</v>
      </c>
      <c r="J1037" s="9" t="s">
        <v>3829</v>
      </c>
      <c r="K1037" s="9" t="s">
        <v>3830</v>
      </c>
      <c r="L1037" s="9" t="s">
        <v>3831</v>
      </c>
      <c r="M1037" s="9" t="s">
        <v>3832</v>
      </c>
    </row>
    <row r="1038" spans="1:13" ht="15" customHeight="1" x14ac:dyDescent="0.25">
      <c r="A1038" s="43"/>
      <c r="C1038" s="38"/>
      <c r="D1038" s="41"/>
      <c r="E1038" s="39">
        <v>36</v>
      </c>
      <c r="F1038" s="40"/>
      <c r="G1038" s="39" t="s">
        <v>1940</v>
      </c>
      <c r="H1038" s="39">
        <v>5</v>
      </c>
      <c r="I1038" s="39">
        <v>5</v>
      </c>
      <c r="J1038" s="9" t="s">
        <v>3834</v>
      </c>
      <c r="K1038" s="9" t="s">
        <v>3835</v>
      </c>
      <c r="L1038" s="9" t="s">
        <v>3836</v>
      </c>
      <c r="M1038" s="9" t="s">
        <v>3837</v>
      </c>
    </row>
    <row r="1039" spans="1:13" ht="15" customHeight="1" x14ac:dyDescent="0.25">
      <c r="A1039" s="43"/>
      <c r="C1039" s="38"/>
      <c r="D1039" s="41"/>
      <c r="E1039" s="39">
        <v>37</v>
      </c>
      <c r="F1039" s="40"/>
      <c r="G1039" s="39" t="s">
        <v>1941</v>
      </c>
      <c r="H1039" s="39">
        <v>5</v>
      </c>
      <c r="I1039" s="39">
        <v>5</v>
      </c>
      <c r="J1039" s="9" t="s">
        <v>3839</v>
      </c>
      <c r="K1039" s="9" t="s">
        <v>3840</v>
      </c>
      <c r="L1039" s="9" t="s">
        <v>3841</v>
      </c>
      <c r="M1039" s="9" t="s">
        <v>3842</v>
      </c>
    </row>
    <row r="1040" spans="1:13" ht="15" customHeight="1" x14ac:dyDescent="0.25">
      <c r="A1040" s="43"/>
      <c r="C1040" s="38"/>
      <c r="D1040" s="41"/>
      <c r="E1040" s="39">
        <v>38</v>
      </c>
      <c r="F1040" s="40"/>
      <c r="G1040" s="39" t="s">
        <v>1942</v>
      </c>
      <c r="H1040" s="39">
        <v>5</v>
      </c>
      <c r="I1040" s="39">
        <v>5</v>
      </c>
      <c r="J1040" s="9" t="s">
        <v>3844</v>
      </c>
      <c r="K1040" s="9" t="s">
        <v>3845</v>
      </c>
      <c r="L1040" s="9" t="s">
        <v>3846</v>
      </c>
      <c r="M1040" s="9" t="s">
        <v>3847</v>
      </c>
    </row>
    <row r="1041" spans="1:13" ht="15" customHeight="1" x14ac:dyDescent="0.25">
      <c r="A1041" s="43"/>
      <c r="C1041" s="38"/>
      <c r="D1041" s="41"/>
      <c r="E1041" s="39">
        <v>39</v>
      </c>
      <c r="F1041" s="40"/>
      <c r="G1041" s="39" t="s">
        <v>1943</v>
      </c>
      <c r="H1041" s="39">
        <v>5</v>
      </c>
      <c r="I1041" s="39">
        <v>5</v>
      </c>
      <c r="J1041" s="9" t="s">
        <v>3849</v>
      </c>
      <c r="K1041" s="9" t="s">
        <v>3850</v>
      </c>
      <c r="L1041" s="9" t="s">
        <v>3851</v>
      </c>
      <c r="M1041" s="9" t="s">
        <v>3852</v>
      </c>
    </row>
    <row r="1042" spans="1:13" ht="15" customHeight="1" x14ac:dyDescent="0.25">
      <c r="C1042" s="38"/>
      <c r="D1042" s="41"/>
      <c r="E1042" s="39">
        <v>40</v>
      </c>
      <c r="F1042" s="40"/>
      <c r="G1042" s="39" t="s">
        <v>1944</v>
      </c>
      <c r="H1042" s="39">
        <v>5</v>
      </c>
      <c r="I1042" s="39">
        <v>5</v>
      </c>
      <c r="J1042" s="9" t="s">
        <v>3854</v>
      </c>
      <c r="K1042" s="9" t="s">
        <v>3855</v>
      </c>
      <c r="L1042" s="9" t="s">
        <v>3856</v>
      </c>
      <c r="M1042" s="9" t="s">
        <v>3857</v>
      </c>
    </row>
    <row r="1043" spans="1:13" ht="15" customHeight="1" x14ac:dyDescent="0.25">
      <c r="A1043" s="9"/>
      <c r="B1043" s="9"/>
      <c r="C1043" s="9">
        <v>1001</v>
      </c>
      <c r="D1043" s="9" t="s">
        <v>3657</v>
      </c>
      <c r="E1043" s="9">
        <v>1</v>
      </c>
      <c r="F1043" s="9" t="s">
        <v>4483</v>
      </c>
      <c r="G1043" s="9" t="s">
        <v>3658</v>
      </c>
      <c r="H1043" s="9">
        <v>1</v>
      </c>
      <c r="I1043" s="9">
        <v>20</v>
      </c>
      <c r="J1043" s="51" t="s">
        <v>4524</v>
      </c>
      <c r="K1043" s="51" t="s">
        <v>4525</v>
      </c>
      <c r="L1043" s="51" t="s">
        <v>4526</v>
      </c>
      <c r="M1043" s="51" t="s">
        <v>4527</v>
      </c>
    </row>
    <row r="1044" spans="1:13" ht="15" customHeight="1" x14ac:dyDescent="0.25">
      <c r="A1044" s="9"/>
      <c r="B1044" s="9"/>
      <c r="C1044" s="9"/>
      <c r="D1044" s="9"/>
      <c r="E1044" s="9">
        <v>2</v>
      </c>
      <c r="F1044" s="9" t="s">
        <v>4484</v>
      </c>
      <c r="G1044" s="9" t="s">
        <v>3663</v>
      </c>
      <c r="H1044" s="9">
        <v>1</v>
      </c>
      <c r="I1044" s="9">
        <v>20</v>
      </c>
      <c r="J1044" s="51" t="s">
        <v>4529</v>
      </c>
      <c r="K1044" s="51" t="s">
        <v>4530</v>
      </c>
      <c r="L1044" s="51" t="s">
        <v>4531</v>
      </c>
      <c r="M1044" s="51" t="s">
        <v>4532</v>
      </c>
    </row>
    <row r="1045" spans="1:13" ht="15" customHeight="1" x14ac:dyDescent="0.25">
      <c r="A1045" s="9"/>
      <c r="B1045" s="9"/>
      <c r="C1045" s="9"/>
      <c r="D1045" s="9" t="s">
        <v>16</v>
      </c>
      <c r="E1045" s="9">
        <v>3</v>
      </c>
      <c r="F1045" s="9" t="s">
        <v>4485</v>
      </c>
      <c r="G1045" s="9" t="s">
        <v>3668</v>
      </c>
      <c r="H1045" s="9">
        <v>1</v>
      </c>
      <c r="I1045" s="9">
        <v>20</v>
      </c>
      <c r="J1045" s="51" t="s">
        <v>4534</v>
      </c>
      <c r="K1045" s="51" t="s">
        <v>4535</v>
      </c>
      <c r="L1045" s="51" t="s">
        <v>4536</v>
      </c>
      <c r="M1045" s="51" t="s">
        <v>4537</v>
      </c>
    </row>
    <row r="1046" spans="1:13" ht="15" customHeight="1" x14ac:dyDescent="0.25">
      <c r="A1046" s="9"/>
      <c r="B1046" s="9"/>
      <c r="C1046" s="9"/>
      <c r="D1046" s="9"/>
      <c r="E1046" s="9">
        <v>4</v>
      </c>
      <c r="F1046" s="9" t="s">
        <v>4486</v>
      </c>
      <c r="G1046" s="9" t="s">
        <v>3673</v>
      </c>
      <c r="H1046" s="9">
        <v>1</v>
      </c>
      <c r="I1046" s="9">
        <v>20</v>
      </c>
      <c r="J1046" s="51" t="s">
        <v>4539</v>
      </c>
      <c r="K1046" s="51" t="s">
        <v>4540</v>
      </c>
      <c r="L1046" s="51" t="s">
        <v>4541</v>
      </c>
      <c r="M1046" s="51" t="s">
        <v>4542</v>
      </c>
    </row>
    <row r="1047" spans="1:13" ht="15" customHeight="1" x14ac:dyDescent="0.25">
      <c r="A1047" s="9"/>
      <c r="B1047" s="9"/>
      <c r="C1047" s="9"/>
      <c r="D1047" s="9"/>
      <c r="E1047" s="9">
        <v>5</v>
      </c>
      <c r="F1047" s="9" t="s">
        <v>4487</v>
      </c>
      <c r="G1047" s="9" t="s">
        <v>3678</v>
      </c>
      <c r="H1047" s="9">
        <v>1</v>
      </c>
      <c r="I1047" s="9">
        <v>20</v>
      </c>
      <c r="J1047" s="51" t="s">
        <v>4544</v>
      </c>
      <c r="K1047" s="51" t="s">
        <v>4545</v>
      </c>
      <c r="L1047" s="51" t="s">
        <v>4546</v>
      </c>
      <c r="M1047" s="51" t="s">
        <v>4547</v>
      </c>
    </row>
    <row r="1048" spans="1:13" ht="15" customHeight="1" x14ac:dyDescent="0.25">
      <c r="A1048" s="9"/>
      <c r="B1048" s="9"/>
      <c r="C1048" s="9"/>
      <c r="D1048" s="9"/>
      <c r="E1048" s="9">
        <v>6</v>
      </c>
      <c r="F1048" s="9" t="s">
        <v>4488</v>
      </c>
      <c r="G1048" s="9" t="s">
        <v>3683</v>
      </c>
      <c r="H1048" s="9">
        <v>1</v>
      </c>
      <c r="I1048" s="9">
        <v>20</v>
      </c>
      <c r="J1048" s="51" t="s">
        <v>4549</v>
      </c>
      <c r="K1048" s="51" t="s">
        <v>4550</v>
      </c>
      <c r="L1048" s="51" t="s">
        <v>4551</v>
      </c>
      <c r="M1048" s="51" t="s">
        <v>4552</v>
      </c>
    </row>
    <row r="1049" spans="1:13" ht="15" customHeight="1" x14ac:dyDescent="0.25">
      <c r="A1049" s="9"/>
      <c r="B1049" s="9"/>
      <c r="C1049" s="9"/>
      <c r="D1049" s="9"/>
      <c r="E1049" s="9">
        <v>7</v>
      </c>
      <c r="F1049" s="9" t="s">
        <v>4489</v>
      </c>
      <c r="G1049" s="9" t="s">
        <v>3688</v>
      </c>
      <c r="H1049" s="9">
        <v>1</v>
      </c>
      <c r="I1049" s="9">
        <v>20</v>
      </c>
      <c r="J1049" s="51" t="s">
        <v>4554</v>
      </c>
      <c r="K1049" s="51" t="s">
        <v>4555</v>
      </c>
      <c r="L1049" s="51" t="s">
        <v>4556</v>
      </c>
      <c r="M1049" s="51" t="s">
        <v>4557</v>
      </c>
    </row>
    <row r="1050" spans="1:13" ht="15" customHeight="1" x14ac:dyDescent="0.25">
      <c r="A1050" s="9"/>
      <c r="B1050" s="9"/>
      <c r="C1050" s="9"/>
      <c r="D1050" s="9"/>
      <c r="E1050" s="9">
        <v>8</v>
      </c>
      <c r="F1050" s="9" t="s">
        <v>4490</v>
      </c>
      <c r="G1050" s="9" t="s">
        <v>3693</v>
      </c>
      <c r="H1050" s="9">
        <v>1</v>
      </c>
      <c r="I1050" s="9">
        <v>20</v>
      </c>
      <c r="J1050" s="51" t="s">
        <v>4559</v>
      </c>
      <c r="K1050" s="51" t="s">
        <v>4560</v>
      </c>
      <c r="L1050" s="51" t="s">
        <v>4561</v>
      </c>
      <c r="M1050" s="51" t="s">
        <v>4562</v>
      </c>
    </row>
    <row r="1051" spans="1:13" ht="15" customHeight="1" x14ac:dyDescent="0.25">
      <c r="A1051" s="9"/>
      <c r="B1051" s="9"/>
      <c r="C1051" s="9"/>
      <c r="D1051" s="9"/>
      <c r="E1051" s="9">
        <v>9</v>
      </c>
      <c r="F1051" s="9" t="s">
        <v>4491</v>
      </c>
      <c r="G1051" s="9" t="s">
        <v>3698</v>
      </c>
      <c r="H1051" s="9">
        <v>1</v>
      </c>
      <c r="I1051" s="9">
        <v>20</v>
      </c>
      <c r="J1051" s="51" t="s">
        <v>4564</v>
      </c>
      <c r="K1051" s="51" t="s">
        <v>4565</v>
      </c>
      <c r="L1051" s="51" t="s">
        <v>4566</v>
      </c>
      <c r="M1051" s="51" t="s">
        <v>4567</v>
      </c>
    </row>
    <row r="1052" spans="1:13" ht="15" customHeight="1" x14ac:dyDescent="0.25">
      <c r="A1052" s="9"/>
      <c r="B1052" s="9"/>
      <c r="C1052" s="9"/>
      <c r="D1052" s="9"/>
      <c r="E1052" s="9">
        <v>10</v>
      </c>
      <c r="F1052" s="9" t="s">
        <v>4492</v>
      </c>
      <c r="G1052" s="9" t="s">
        <v>3703</v>
      </c>
      <c r="H1052" s="9">
        <v>1</v>
      </c>
      <c r="I1052" s="9">
        <v>20</v>
      </c>
      <c r="J1052" s="51" t="s">
        <v>4569</v>
      </c>
      <c r="K1052" s="51" t="s">
        <v>4570</v>
      </c>
      <c r="L1052" s="51" t="s">
        <v>4571</v>
      </c>
      <c r="M1052" s="51" t="s">
        <v>4572</v>
      </c>
    </row>
    <row r="1053" spans="1:13" ht="15" customHeight="1" x14ac:dyDescent="0.25">
      <c r="A1053" s="9"/>
      <c r="B1053" s="9"/>
      <c r="C1053" s="9"/>
      <c r="D1053" s="9"/>
      <c r="E1053" s="9">
        <v>11</v>
      </c>
      <c r="F1053" s="9" t="s">
        <v>4493</v>
      </c>
      <c r="G1053" s="9" t="s">
        <v>3708</v>
      </c>
      <c r="H1053" s="9">
        <v>1</v>
      </c>
      <c r="I1053" s="9">
        <v>20</v>
      </c>
      <c r="J1053" s="51" t="s">
        <v>4574</v>
      </c>
      <c r="K1053" s="51" t="s">
        <v>4575</v>
      </c>
      <c r="L1053" s="51" t="s">
        <v>4576</v>
      </c>
      <c r="M1053" s="51" t="s">
        <v>4577</v>
      </c>
    </row>
    <row r="1054" spans="1:13" ht="15" customHeight="1" x14ac:dyDescent="0.25">
      <c r="A1054" s="9"/>
      <c r="B1054" s="9"/>
      <c r="C1054" s="9"/>
      <c r="D1054" s="9"/>
      <c r="E1054" s="9">
        <v>12</v>
      </c>
      <c r="F1054" s="9" t="s">
        <v>4494</v>
      </c>
      <c r="G1054" s="9" t="s">
        <v>3713</v>
      </c>
      <c r="H1054" s="9">
        <v>1</v>
      </c>
      <c r="I1054" s="9">
        <v>20</v>
      </c>
      <c r="J1054" s="51" t="s">
        <v>4579</v>
      </c>
      <c r="K1054" s="51" t="s">
        <v>4580</v>
      </c>
      <c r="L1054" s="51" t="s">
        <v>4581</v>
      </c>
      <c r="M1054" s="51" t="s">
        <v>4582</v>
      </c>
    </row>
    <row r="1055" spans="1:13" ht="15" customHeight="1" x14ac:dyDescent="0.25">
      <c r="A1055" s="9"/>
      <c r="B1055" s="9"/>
      <c r="C1055" s="9"/>
      <c r="D1055" s="9"/>
      <c r="E1055" s="9">
        <v>13</v>
      </c>
      <c r="F1055" s="9" t="s">
        <v>4495</v>
      </c>
      <c r="G1055" s="9" t="s">
        <v>3718</v>
      </c>
      <c r="H1055" s="9">
        <v>1</v>
      </c>
      <c r="I1055" s="9">
        <v>20</v>
      </c>
      <c r="J1055" s="51" t="s">
        <v>4584</v>
      </c>
      <c r="K1055" s="51" t="s">
        <v>4585</v>
      </c>
      <c r="L1055" s="51" t="s">
        <v>4586</v>
      </c>
      <c r="M1055" s="51" t="s">
        <v>4587</v>
      </c>
    </row>
    <row r="1056" spans="1:13" ht="15" customHeight="1" x14ac:dyDescent="0.25">
      <c r="A1056" s="9"/>
      <c r="B1056" s="9"/>
      <c r="C1056" s="9"/>
      <c r="D1056" s="9"/>
      <c r="E1056" s="9">
        <v>14</v>
      </c>
      <c r="F1056" s="9" t="s">
        <v>4496</v>
      </c>
      <c r="G1056" s="9" t="s">
        <v>3723</v>
      </c>
      <c r="H1056" s="9">
        <v>1</v>
      </c>
      <c r="I1056" s="9">
        <v>20</v>
      </c>
      <c r="J1056" s="51" t="s">
        <v>4589</v>
      </c>
      <c r="K1056" s="51" t="s">
        <v>4590</v>
      </c>
      <c r="L1056" s="51" t="s">
        <v>4591</v>
      </c>
      <c r="M1056" s="51" t="s">
        <v>4592</v>
      </c>
    </row>
    <row r="1057" spans="1:13" ht="15" customHeight="1" x14ac:dyDescent="0.25">
      <c r="A1057" s="9"/>
      <c r="B1057" s="9"/>
      <c r="C1057" s="9"/>
      <c r="D1057" s="9"/>
      <c r="E1057" s="9">
        <v>15</v>
      </c>
      <c r="F1057" s="9" t="s">
        <v>4497</v>
      </c>
      <c r="G1057" s="9" t="s">
        <v>3728</v>
      </c>
      <c r="H1057" s="9">
        <v>1</v>
      </c>
      <c r="I1057" s="9">
        <v>20</v>
      </c>
      <c r="J1057" s="51" t="s">
        <v>4594</v>
      </c>
      <c r="K1057" s="51" t="s">
        <v>4595</v>
      </c>
      <c r="L1057" s="51" t="s">
        <v>4596</v>
      </c>
      <c r="M1057" s="51" t="s">
        <v>4597</v>
      </c>
    </row>
    <row r="1058" spans="1:13" ht="15" customHeight="1" x14ac:dyDescent="0.25">
      <c r="A1058" s="9"/>
      <c r="B1058" s="9"/>
      <c r="C1058" s="9"/>
      <c r="D1058" s="9"/>
      <c r="E1058" s="9">
        <v>16</v>
      </c>
      <c r="F1058" s="9" t="s">
        <v>4498</v>
      </c>
      <c r="G1058" s="9" t="s">
        <v>3733</v>
      </c>
      <c r="H1058" s="9">
        <v>1</v>
      </c>
      <c r="I1058" s="9">
        <v>20</v>
      </c>
      <c r="J1058" s="51" t="s">
        <v>4599</v>
      </c>
      <c r="K1058" s="51" t="s">
        <v>4600</v>
      </c>
      <c r="L1058" s="51" t="s">
        <v>4601</v>
      </c>
      <c r="M1058" s="51" t="s">
        <v>4602</v>
      </c>
    </row>
    <row r="1059" spans="1:13" ht="15" customHeight="1" x14ac:dyDescent="0.25">
      <c r="A1059" s="9"/>
      <c r="B1059" s="9"/>
      <c r="C1059" s="9"/>
      <c r="D1059" s="9"/>
      <c r="E1059" s="9">
        <v>17</v>
      </c>
      <c r="F1059" s="9" t="s">
        <v>4499</v>
      </c>
      <c r="G1059" s="9" t="s">
        <v>3738</v>
      </c>
      <c r="H1059" s="9">
        <v>1</v>
      </c>
      <c r="I1059" s="9">
        <v>20</v>
      </c>
      <c r="J1059" s="51" t="s">
        <v>4604</v>
      </c>
      <c r="K1059" s="51" t="s">
        <v>4605</v>
      </c>
      <c r="L1059" s="51" t="s">
        <v>4606</v>
      </c>
      <c r="M1059" s="51" t="s">
        <v>4607</v>
      </c>
    </row>
    <row r="1060" spans="1:13" ht="15" customHeight="1" x14ac:dyDescent="0.25">
      <c r="A1060" s="9"/>
      <c r="B1060" s="9"/>
      <c r="C1060" s="9"/>
      <c r="D1060" s="9"/>
      <c r="E1060" s="9">
        <v>18</v>
      </c>
      <c r="F1060" s="9" t="s">
        <v>4500</v>
      </c>
      <c r="G1060" s="9" t="s">
        <v>3743</v>
      </c>
      <c r="H1060" s="9">
        <v>1</v>
      </c>
      <c r="I1060" s="9">
        <v>20</v>
      </c>
      <c r="J1060" s="51" t="s">
        <v>4609</v>
      </c>
      <c r="K1060" s="51" t="s">
        <v>4610</v>
      </c>
      <c r="L1060" s="51" t="s">
        <v>4611</v>
      </c>
      <c r="M1060" s="51" t="s">
        <v>4612</v>
      </c>
    </row>
    <row r="1061" spans="1:13" ht="15" customHeight="1" x14ac:dyDescent="0.25">
      <c r="A1061" s="9"/>
      <c r="B1061" s="9"/>
      <c r="C1061" s="9"/>
      <c r="D1061" s="9"/>
      <c r="E1061" s="9">
        <v>19</v>
      </c>
      <c r="F1061" s="9" t="s">
        <v>4501</v>
      </c>
      <c r="G1061" s="9" t="s">
        <v>3748</v>
      </c>
      <c r="H1061" s="9">
        <v>1</v>
      </c>
      <c r="I1061" s="9">
        <v>20</v>
      </c>
      <c r="J1061" s="93" t="s">
        <v>4614</v>
      </c>
      <c r="K1061" s="93" t="s">
        <v>4615</v>
      </c>
      <c r="L1061" s="93" t="s">
        <v>4616</v>
      </c>
      <c r="M1061" s="93" t="s">
        <v>4617</v>
      </c>
    </row>
    <row r="1062" spans="1:13" ht="15" customHeight="1" x14ac:dyDescent="0.25">
      <c r="A1062" s="9"/>
      <c r="B1062" s="9"/>
      <c r="C1062" s="9"/>
      <c r="D1062" s="9"/>
      <c r="E1062" s="9">
        <v>20</v>
      </c>
      <c r="F1062" s="9" t="s">
        <v>4502</v>
      </c>
      <c r="G1062" s="9" t="s">
        <v>3753</v>
      </c>
      <c r="H1062" s="9">
        <v>1</v>
      </c>
      <c r="I1062" s="9">
        <v>20</v>
      </c>
      <c r="J1062" s="93" t="s">
        <v>4619</v>
      </c>
      <c r="K1062" s="93" t="s">
        <v>4620</v>
      </c>
      <c r="L1062" s="93" t="s">
        <v>4621</v>
      </c>
      <c r="M1062" s="94" t="s">
        <v>4622</v>
      </c>
    </row>
    <row r="1063" spans="1:13" ht="15" customHeight="1" x14ac:dyDescent="0.25">
      <c r="A1063" s="9"/>
      <c r="B1063" s="9"/>
      <c r="C1063" s="9"/>
      <c r="D1063" s="9"/>
      <c r="E1063" s="9">
        <v>21</v>
      </c>
      <c r="F1063" s="9" t="s">
        <v>4503</v>
      </c>
      <c r="G1063" s="9" t="s">
        <v>3758</v>
      </c>
      <c r="H1063" s="9">
        <v>1</v>
      </c>
      <c r="I1063" s="9">
        <v>20</v>
      </c>
      <c r="J1063" s="48"/>
      <c r="K1063" s="48"/>
      <c r="L1063" s="48"/>
      <c r="M1063" s="48"/>
    </row>
    <row r="1064" spans="1:13" ht="15" customHeight="1" x14ac:dyDescent="0.25">
      <c r="A1064" s="9"/>
      <c r="B1064" s="9"/>
      <c r="C1064" s="9"/>
      <c r="D1064" s="9"/>
      <c r="E1064" s="9">
        <v>22</v>
      </c>
      <c r="F1064" s="9" t="s">
        <v>4504</v>
      </c>
      <c r="G1064" s="9" t="s">
        <v>3763</v>
      </c>
      <c r="H1064" s="9">
        <v>1</v>
      </c>
      <c r="I1064" s="9">
        <v>20</v>
      </c>
      <c r="J1064" s="48"/>
      <c r="K1064" s="48"/>
      <c r="L1064" s="48"/>
      <c r="M1064" s="48"/>
    </row>
    <row r="1065" spans="1:13" ht="15" customHeight="1" x14ac:dyDescent="0.25">
      <c r="A1065" s="9"/>
      <c r="B1065" s="9"/>
      <c r="C1065" s="9"/>
      <c r="D1065" s="9"/>
      <c r="E1065" s="9">
        <v>23</v>
      </c>
      <c r="F1065" s="9" t="s">
        <v>4505</v>
      </c>
      <c r="G1065" s="9" t="s">
        <v>3768</v>
      </c>
      <c r="H1065" s="9">
        <v>1</v>
      </c>
      <c r="I1065" s="9">
        <v>20</v>
      </c>
      <c r="J1065" s="48"/>
      <c r="K1065" s="48"/>
      <c r="L1065" s="48"/>
      <c r="M1065" s="48"/>
    </row>
    <row r="1066" spans="1:13" ht="15" customHeight="1" x14ac:dyDescent="0.25">
      <c r="A1066" s="9"/>
      <c r="B1066" s="9"/>
      <c r="C1066" s="9"/>
      <c r="D1066" s="9"/>
      <c r="E1066" s="9">
        <v>24</v>
      </c>
      <c r="F1066" s="10" t="s">
        <v>4506</v>
      </c>
      <c r="G1066" s="9" t="s">
        <v>3773</v>
      </c>
      <c r="H1066" s="9">
        <v>1</v>
      </c>
      <c r="I1066" s="9">
        <v>20</v>
      </c>
      <c r="J1066" s="48"/>
      <c r="K1066" s="48"/>
      <c r="L1066" s="48"/>
      <c r="M1066" s="48"/>
    </row>
    <row r="1067" spans="1:13" ht="15" customHeight="1" x14ac:dyDescent="0.25">
      <c r="A1067" s="9"/>
      <c r="B1067" s="9"/>
      <c r="C1067" s="9"/>
      <c r="D1067" s="9"/>
      <c r="E1067" s="9">
        <v>25</v>
      </c>
      <c r="F1067" s="9" t="s">
        <v>4507</v>
      </c>
      <c r="G1067" s="9" t="s">
        <v>3778</v>
      </c>
      <c r="H1067" s="9">
        <v>1</v>
      </c>
      <c r="I1067" s="9">
        <v>20</v>
      </c>
      <c r="J1067" s="48"/>
      <c r="K1067" s="48"/>
      <c r="L1067" s="48"/>
      <c r="M1067" s="48"/>
    </row>
    <row r="1068" spans="1:13" ht="15" customHeight="1" x14ac:dyDescent="0.25">
      <c r="A1068" s="9"/>
      <c r="B1068" s="9"/>
      <c r="C1068" s="9"/>
      <c r="D1068" s="9"/>
      <c r="E1068" s="9">
        <v>26</v>
      </c>
      <c r="F1068" s="9" t="s">
        <v>4508</v>
      </c>
      <c r="G1068" s="9" t="s">
        <v>3783</v>
      </c>
      <c r="H1068" s="9">
        <v>1</v>
      </c>
      <c r="I1068" s="9">
        <v>20</v>
      </c>
      <c r="J1068" s="48"/>
      <c r="K1068" s="48"/>
      <c r="L1068" s="48"/>
      <c r="M1068" s="48"/>
    </row>
    <row r="1069" spans="1:13" ht="15" customHeight="1" x14ac:dyDescent="0.25">
      <c r="A1069" s="9"/>
      <c r="B1069" s="9"/>
      <c r="C1069" s="9"/>
      <c r="D1069" s="9"/>
      <c r="E1069" s="9">
        <v>27</v>
      </c>
      <c r="F1069" s="9" t="s">
        <v>4509</v>
      </c>
      <c r="G1069" s="9" t="s">
        <v>3788</v>
      </c>
      <c r="H1069" s="9">
        <v>1</v>
      </c>
      <c r="I1069" s="9">
        <v>20</v>
      </c>
      <c r="J1069" s="48"/>
      <c r="K1069" s="48"/>
      <c r="L1069" s="48"/>
      <c r="M1069" s="48"/>
    </row>
    <row r="1070" spans="1:13" ht="15" customHeight="1" x14ac:dyDescent="0.25">
      <c r="A1070" s="9"/>
      <c r="B1070" s="9"/>
      <c r="C1070" s="9"/>
      <c r="D1070" s="9"/>
      <c r="E1070" s="9">
        <v>28</v>
      </c>
      <c r="F1070" s="9" t="s">
        <v>4510</v>
      </c>
      <c r="G1070" s="9" t="s">
        <v>3793</v>
      </c>
      <c r="H1070" s="9">
        <v>1</v>
      </c>
      <c r="I1070" s="9">
        <v>20</v>
      </c>
      <c r="J1070" s="48"/>
      <c r="K1070" s="48"/>
      <c r="L1070" s="48"/>
      <c r="M1070" s="48"/>
    </row>
    <row r="1071" spans="1:13" ht="15" customHeight="1" x14ac:dyDescent="0.25">
      <c r="A1071" s="9"/>
      <c r="B1071" s="9"/>
      <c r="C1071" s="9"/>
      <c r="D1071" s="9"/>
      <c r="E1071" s="9">
        <v>29</v>
      </c>
      <c r="F1071" s="9" t="s">
        <v>4511</v>
      </c>
      <c r="G1071" s="9" t="s">
        <v>3798</v>
      </c>
      <c r="H1071" s="9">
        <v>1</v>
      </c>
      <c r="I1071" s="9">
        <v>20</v>
      </c>
      <c r="J1071" s="48"/>
      <c r="K1071" s="48"/>
      <c r="L1071" s="48"/>
      <c r="M1071" s="48"/>
    </row>
    <row r="1072" spans="1:13" ht="15" customHeight="1" x14ac:dyDescent="0.25">
      <c r="A1072" s="9"/>
      <c r="B1072" s="9"/>
      <c r="C1072" s="9"/>
      <c r="D1072" s="9"/>
      <c r="E1072" s="9">
        <v>30</v>
      </c>
      <c r="F1072" s="9" t="s">
        <v>4512</v>
      </c>
      <c r="G1072" s="9" t="s">
        <v>3803</v>
      </c>
      <c r="H1072" s="9">
        <v>1</v>
      </c>
      <c r="I1072" s="9">
        <v>20</v>
      </c>
      <c r="J1072" s="48"/>
      <c r="K1072" s="48"/>
      <c r="L1072" s="48"/>
      <c r="M1072" s="48"/>
    </row>
    <row r="1073" spans="1:13" ht="15" customHeight="1" x14ac:dyDescent="0.25">
      <c r="A1073" s="9"/>
      <c r="B1073" s="9"/>
      <c r="C1073" s="9"/>
      <c r="D1073" s="9"/>
      <c r="E1073" s="9">
        <v>31</v>
      </c>
      <c r="F1073" s="9" t="s">
        <v>4513</v>
      </c>
      <c r="G1073" s="9" t="s">
        <v>3808</v>
      </c>
      <c r="H1073" s="9">
        <v>1</v>
      </c>
      <c r="I1073" s="9">
        <v>20</v>
      </c>
      <c r="J1073" s="48"/>
      <c r="K1073" s="48"/>
      <c r="L1073" s="48"/>
      <c r="M1073" s="48"/>
    </row>
    <row r="1074" spans="1:13" ht="15" customHeight="1" x14ac:dyDescent="0.25">
      <c r="A1074" s="9"/>
      <c r="B1074" s="9"/>
      <c r="C1074" s="9"/>
      <c r="D1074" s="9"/>
      <c r="E1074" s="9">
        <v>32</v>
      </c>
      <c r="F1074" s="9" t="s">
        <v>4514</v>
      </c>
      <c r="G1074" s="9" t="s">
        <v>3813</v>
      </c>
      <c r="H1074" s="9">
        <v>1</v>
      </c>
      <c r="I1074" s="9">
        <v>20</v>
      </c>
      <c r="J1074" s="48"/>
      <c r="K1074" s="48"/>
      <c r="L1074" s="48"/>
      <c r="M1074" s="48"/>
    </row>
    <row r="1075" spans="1:13" ht="15" customHeight="1" x14ac:dyDescent="0.25">
      <c r="A1075" s="9"/>
      <c r="B1075" s="9"/>
      <c r="C1075" s="9"/>
      <c r="D1075" s="9"/>
      <c r="E1075" s="9">
        <v>33</v>
      </c>
      <c r="F1075" s="9" t="s">
        <v>4515</v>
      </c>
      <c r="G1075" s="9" t="s">
        <v>3818</v>
      </c>
      <c r="H1075" s="9">
        <v>1</v>
      </c>
      <c r="I1075" s="9">
        <v>20</v>
      </c>
      <c r="J1075" s="48"/>
      <c r="K1075" s="48"/>
      <c r="L1075" s="48"/>
      <c r="M1075" s="48"/>
    </row>
    <row r="1076" spans="1:13" ht="15" customHeight="1" x14ac:dyDescent="0.25">
      <c r="A1076" s="9"/>
      <c r="B1076" s="9"/>
      <c r="C1076" s="10"/>
      <c r="D1076" s="10"/>
      <c r="E1076" s="10">
        <v>34</v>
      </c>
      <c r="F1076" s="10" t="s">
        <v>4516</v>
      </c>
      <c r="G1076" s="10" t="s">
        <v>3823</v>
      </c>
      <c r="H1076" s="10">
        <v>1</v>
      </c>
      <c r="I1076" s="9">
        <v>20</v>
      </c>
      <c r="J1076" s="48"/>
      <c r="K1076" s="48"/>
      <c r="L1076" s="48"/>
      <c r="M1076" s="48"/>
    </row>
    <row r="1077" spans="1:13" ht="15" customHeight="1" x14ac:dyDescent="0.25">
      <c r="A1077" s="9"/>
      <c r="B1077" s="9"/>
      <c r="C1077" s="10"/>
      <c r="D1077" s="10"/>
      <c r="E1077" s="10">
        <v>35</v>
      </c>
      <c r="F1077" s="10" t="s">
        <v>4517</v>
      </c>
      <c r="G1077" s="10" t="s">
        <v>3828</v>
      </c>
      <c r="H1077" s="10">
        <v>1</v>
      </c>
      <c r="I1077" s="9">
        <v>20</v>
      </c>
      <c r="J1077" s="48"/>
      <c r="K1077" s="48"/>
      <c r="L1077" s="48"/>
      <c r="M1077" s="48"/>
    </row>
    <row r="1078" spans="1:13" ht="15" customHeight="1" x14ac:dyDescent="0.25">
      <c r="A1078" s="9"/>
      <c r="B1078" s="9"/>
      <c r="C1078" s="10"/>
      <c r="D1078" s="10"/>
      <c r="E1078" s="10">
        <v>36</v>
      </c>
      <c r="F1078" s="10" t="s">
        <v>4518</v>
      </c>
      <c r="G1078" s="10" t="s">
        <v>3833</v>
      </c>
      <c r="H1078" s="10">
        <v>1</v>
      </c>
      <c r="I1078" s="9">
        <v>20</v>
      </c>
      <c r="J1078" s="48"/>
      <c r="K1078" s="48"/>
      <c r="L1078" s="48"/>
      <c r="M1078" s="48"/>
    </row>
    <row r="1079" spans="1:13" ht="15" customHeight="1" x14ac:dyDescent="0.25">
      <c r="A1079" s="9"/>
      <c r="B1079" s="9"/>
      <c r="C1079" s="10"/>
      <c r="D1079" s="10"/>
      <c r="E1079" s="10">
        <v>37</v>
      </c>
      <c r="F1079" s="10" t="s">
        <v>4519</v>
      </c>
      <c r="G1079" s="10" t="s">
        <v>3838</v>
      </c>
      <c r="H1079" s="10">
        <v>1</v>
      </c>
      <c r="I1079" s="9">
        <v>20</v>
      </c>
      <c r="J1079" s="48"/>
      <c r="K1079" s="48"/>
      <c r="L1079" s="48"/>
      <c r="M1079" s="48"/>
    </row>
    <row r="1080" spans="1:13" ht="15" customHeight="1" x14ac:dyDescent="0.25">
      <c r="A1080" s="9"/>
      <c r="B1080" s="9"/>
      <c r="C1080" s="10"/>
      <c r="D1080" s="10"/>
      <c r="E1080" s="10">
        <v>38</v>
      </c>
      <c r="F1080" s="10" t="s">
        <v>4520</v>
      </c>
      <c r="G1080" s="10" t="s">
        <v>3843</v>
      </c>
      <c r="H1080" s="10">
        <v>1</v>
      </c>
      <c r="I1080" s="9">
        <v>20</v>
      </c>
      <c r="J1080" s="48"/>
      <c r="K1080" s="48"/>
      <c r="L1080" s="48"/>
      <c r="M1080" s="48"/>
    </row>
    <row r="1081" spans="1:13" ht="15" customHeight="1" x14ac:dyDescent="0.25">
      <c r="A1081" s="9"/>
      <c r="B1081" s="9"/>
      <c r="C1081" s="10"/>
      <c r="D1081" s="10"/>
      <c r="E1081" s="10">
        <v>39</v>
      </c>
      <c r="F1081" s="10" t="s">
        <v>4521</v>
      </c>
      <c r="G1081" s="10" t="s">
        <v>3848</v>
      </c>
      <c r="H1081" s="10">
        <v>1</v>
      </c>
      <c r="I1081" s="9">
        <v>20</v>
      </c>
      <c r="J1081" s="48"/>
      <c r="K1081" s="48"/>
      <c r="L1081" s="48"/>
      <c r="M1081" s="48"/>
    </row>
    <row r="1082" spans="1:13" ht="15" customHeight="1" x14ac:dyDescent="0.25">
      <c r="A1082" s="9"/>
      <c r="B1082" s="9"/>
      <c r="C1082" s="10"/>
      <c r="D1082" s="10"/>
      <c r="E1082" s="10">
        <v>40</v>
      </c>
      <c r="F1082" s="10" t="s">
        <v>4522</v>
      </c>
      <c r="G1082" s="10" t="s">
        <v>3853</v>
      </c>
      <c r="H1082" s="10">
        <v>1</v>
      </c>
      <c r="I1082" s="9">
        <v>20</v>
      </c>
      <c r="J1082" s="48"/>
      <c r="K1082" s="48"/>
      <c r="L1082" s="48"/>
      <c r="M1082" s="48"/>
    </row>
    <row r="1083" spans="1:13" ht="15" customHeight="1" x14ac:dyDescent="0.25">
      <c r="A1083" s="48"/>
      <c r="B1083" s="48"/>
      <c r="C1083" s="48">
        <v>2001</v>
      </c>
      <c r="D1083" s="48" t="s">
        <v>3858</v>
      </c>
      <c r="E1083" s="48">
        <v>1</v>
      </c>
      <c r="F1083" s="51" t="s">
        <v>4523</v>
      </c>
      <c r="G1083" s="48" t="s">
        <v>3859</v>
      </c>
      <c r="H1083" s="48">
        <v>1</v>
      </c>
      <c r="I1083" s="48">
        <v>20</v>
      </c>
      <c r="J1083" s="9"/>
      <c r="K1083" s="9"/>
      <c r="L1083" s="9"/>
      <c r="M1083" s="9"/>
    </row>
    <row r="1084" spans="1:13" ht="15" customHeight="1" x14ac:dyDescent="0.25">
      <c r="A1084" s="48"/>
      <c r="B1084" s="48"/>
      <c r="C1084" s="48"/>
      <c r="D1084" s="48"/>
      <c r="E1084" s="48">
        <v>2</v>
      </c>
      <c r="F1084" s="51" t="s">
        <v>4528</v>
      </c>
      <c r="G1084" s="48" t="s">
        <v>3860</v>
      </c>
      <c r="H1084" s="48">
        <v>1</v>
      </c>
      <c r="I1084" s="48">
        <v>20</v>
      </c>
      <c r="J1084" s="9"/>
      <c r="K1084" s="9"/>
      <c r="L1084" s="9"/>
      <c r="M1084" s="9"/>
    </row>
    <row r="1085" spans="1:13" ht="15" customHeight="1" x14ac:dyDescent="0.25">
      <c r="A1085" s="48"/>
      <c r="B1085" s="48"/>
      <c r="C1085" s="48"/>
      <c r="D1085" s="48" t="s">
        <v>16</v>
      </c>
      <c r="E1085" s="48">
        <v>3</v>
      </c>
      <c r="F1085" s="51" t="s">
        <v>4533</v>
      </c>
      <c r="G1085" s="48" t="s">
        <v>3861</v>
      </c>
      <c r="H1085" s="48">
        <v>1</v>
      </c>
      <c r="I1085" s="48">
        <v>20</v>
      </c>
      <c r="J1085" s="9"/>
      <c r="K1085" s="9"/>
      <c r="L1085" s="9"/>
      <c r="M1085" s="9"/>
    </row>
    <row r="1086" spans="1:13" ht="15" customHeight="1" x14ac:dyDescent="0.25">
      <c r="A1086" s="48"/>
      <c r="B1086" s="48"/>
      <c r="C1086" s="48"/>
      <c r="D1086" s="48"/>
      <c r="E1086" s="48">
        <v>4</v>
      </c>
      <c r="F1086" s="51" t="s">
        <v>4538</v>
      </c>
      <c r="G1086" s="48" t="s">
        <v>3862</v>
      </c>
      <c r="H1086" s="48">
        <v>1</v>
      </c>
      <c r="I1086" s="48">
        <v>20</v>
      </c>
      <c r="J1086" s="9"/>
      <c r="K1086" s="9"/>
      <c r="L1086" s="9"/>
      <c r="M1086" s="9"/>
    </row>
    <row r="1087" spans="1:13" ht="15" customHeight="1" x14ac:dyDescent="0.25">
      <c r="A1087" s="48"/>
      <c r="B1087" s="48"/>
      <c r="C1087" s="48"/>
      <c r="D1087" s="48"/>
      <c r="E1087" s="48">
        <v>5</v>
      </c>
      <c r="F1087" s="51" t="s">
        <v>4543</v>
      </c>
      <c r="G1087" s="48" t="s">
        <v>3863</v>
      </c>
      <c r="H1087" s="48">
        <v>1</v>
      </c>
      <c r="I1087" s="48">
        <v>20</v>
      </c>
      <c r="J1087" s="9"/>
      <c r="K1087" s="9"/>
      <c r="L1087" s="9"/>
      <c r="M1087" s="9"/>
    </row>
    <row r="1088" spans="1:13" ht="15" customHeight="1" x14ac:dyDescent="0.25">
      <c r="A1088" s="48"/>
      <c r="B1088" s="48"/>
      <c r="C1088" s="48"/>
      <c r="D1088" s="48"/>
      <c r="E1088" s="48">
        <v>6</v>
      </c>
      <c r="F1088" s="51" t="s">
        <v>4548</v>
      </c>
      <c r="G1088" s="48" t="s">
        <v>3864</v>
      </c>
      <c r="H1088" s="48">
        <v>1</v>
      </c>
      <c r="I1088" s="48">
        <v>20</v>
      </c>
      <c r="J1088" s="9"/>
      <c r="K1088" s="9"/>
      <c r="L1088" s="9"/>
      <c r="M1088" s="9"/>
    </row>
    <row r="1089" spans="1:13" ht="15" customHeight="1" x14ac:dyDescent="0.25">
      <c r="A1089" s="48"/>
      <c r="B1089" s="48"/>
      <c r="C1089" s="48"/>
      <c r="D1089" s="48"/>
      <c r="E1089" s="48">
        <v>7</v>
      </c>
      <c r="F1089" s="51" t="s">
        <v>4553</v>
      </c>
      <c r="G1089" s="48" t="s">
        <v>3865</v>
      </c>
      <c r="H1089" s="48">
        <v>1</v>
      </c>
      <c r="I1089" s="48">
        <v>20</v>
      </c>
      <c r="J1089" s="9"/>
      <c r="K1089" s="9"/>
      <c r="L1089" s="9"/>
      <c r="M1089" s="9"/>
    </row>
    <row r="1090" spans="1:13" ht="15" customHeight="1" x14ac:dyDescent="0.25">
      <c r="A1090" s="48"/>
      <c r="B1090" s="48"/>
      <c r="C1090" s="48"/>
      <c r="D1090" s="48"/>
      <c r="E1090" s="48">
        <v>8</v>
      </c>
      <c r="F1090" s="51" t="s">
        <v>4558</v>
      </c>
      <c r="G1090" s="48" t="s">
        <v>3866</v>
      </c>
      <c r="H1090" s="48">
        <v>1</v>
      </c>
      <c r="I1090" s="48">
        <v>20</v>
      </c>
      <c r="J1090" s="9"/>
      <c r="K1090" s="9"/>
      <c r="L1090" s="9"/>
      <c r="M1090" s="9"/>
    </row>
    <row r="1091" spans="1:13" ht="15" customHeight="1" x14ac:dyDescent="0.25">
      <c r="A1091" s="48"/>
      <c r="B1091" s="48"/>
      <c r="C1091" s="48"/>
      <c r="D1091" s="48"/>
      <c r="E1091" s="48">
        <v>9</v>
      </c>
      <c r="F1091" s="51" t="s">
        <v>4563</v>
      </c>
      <c r="G1091" s="48" t="s">
        <v>3867</v>
      </c>
      <c r="H1091" s="48">
        <v>1</v>
      </c>
      <c r="I1091" s="48">
        <v>20</v>
      </c>
      <c r="J1091" s="9"/>
      <c r="K1091" s="9"/>
      <c r="L1091" s="9"/>
      <c r="M1091" s="9"/>
    </row>
    <row r="1092" spans="1:13" ht="15" customHeight="1" x14ac:dyDescent="0.25">
      <c r="A1092" s="48"/>
      <c r="B1092" s="48"/>
      <c r="C1092" s="48"/>
      <c r="D1092" s="48"/>
      <c r="E1092" s="48">
        <v>10</v>
      </c>
      <c r="F1092" s="51" t="s">
        <v>4568</v>
      </c>
      <c r="G1092" s="48" t="s">
        <v>3868</v>
      </c>
      <c r="H1092" s="48">
        <v>1</v>
      </c>
      <c r="I1092" s="48">
        <v>20</v>
      </c>
      <c r="J1092" s="9"/>
      <c r="K1092" s="9"/>
      <c r="L1092" s="9"/>
      <c r="M1092" s="9"/>
    </row>
    <row r="1093" spans="1:13" ht="15" customHeight="1" x14ac:dyDescent="0.25">
      <c r="A1093" s="48"/>
      <c r="B1093" s="48"/>
      <c r="C1093" s="48"/>
      <c r="D1093" s="48"/>
      <c r="E1093" s="48">
        <v>11</v>
      </c>
      <c r="F1093" s="51" t="s">
        <v>4573</v>
      </c>
      <c r="G1093" s="48" t="s">
        <v>3869</v>
      </c>
      <c r="H1093" s="48">
        <v>1</v>
      </c>
      <c r="I1093" s="48">
        <v>20</v>
      </c>
      <c r="J1093" s="9"/>
      <c r="K1093" s="9"/>
      <c r="L1093" s="9"/>
      <c r="M1093" s="9"/>
    </row>
    <row r="1094" spans="1:13" ht="15" customHeight="1" x14ac:dyDescent="0.25">
      <c r="A1094" s="48"/>
      <c r="B1094" s="48"/>
      <c r="C1094" s="48"/>
      <c r="D1094" s="48"/>
      <c r="E1094" s="48">
        <v>12</v>
      </c>
      <c r="F1094" s="51" t="s">
        <v>4578</v>
      </c>
      <c r="G1094" s="48" t="s">
        <v>3870</v>
      </c>
      <c r="H1094" s="48">
        <v>1</v>
      </c>
      <c r="I1094" s="48">
        <v>20</v>
      </c>
      <c r="J1094" s="9"/>
      <c r="K1094" s="9"/>
      <c r="L1094" s="9"/>
      <c r="M1094" s="9"/>
    </row>
    <row r="1095" spans="1:13" ht="15" customHeight="1" x14ac:dyDescent="0.25">
      <c r="A1095" s="48"/>
      <c r="B1095" s="48"/>
      <c r="C1095" s="48"/>
      <c r="D1095" s="48"/>
      <c r="E1095" s="48">
        <v>13</v>
      </c>
      <c r="F1095" s="51" t="s">
        <v>4583</v>
      </c>
      <c r="G1095" s="48" t="s">
        <v>3871</v>
      </c>
      <c r="H1095" s="48">
        <v>1</v>
      </c>
      <c r="I1095" s="48">
        <v>20</v>
      </c>
      <c r="J1095" s="9"/>
      <c r="K1095" s="9"/>
      <c r="L1095" s="9"/>
      <c r="M1095" s="9"/>
    </row>
    <row r="1096" spans="1:13" ht="15" customHeight="1" x14ac:dyDescent="0.25">
      <c r="A1096" s="48"/>
      <c r="B1096" s="48"/>
      <c r="C1096" s="48"/>
      <c r="D1096" s="48"/>
      <c r="E1096" s="48">
        <v>14</v>
      </c>
      <c r="F1096" s="51" t="s">
        <v>4588</v>
      </c>
      <c r="G1096" s="48" t="s">
        <v>3872</v>
      </c>
      <c r="H1096" s="48">
        <v>1</v>
      </c>
      <c r="I1096" s="48">
        <v>20</v>
      </c>
      <c r="J1096" s="9"/>
      <c r="K1096" s="9"/>
      <c r="L1096" s="9"/>
      <c r="M1096" s="9"/>
    </row>
    <row r="1097" spans="1:13" ht="15" customHeight="1" x14ac:dyDescent="0.25">
      <c r="A1097" s="48"/>
      <c r="B1097" s="48"/>
      <c r="C1097" s="48"/>
      <c r="D1097" s="48"/>
      <c r="E1097" s="48">
        <v>15</v>
      </c>
      <c r="F1097" s="51" t="s">
        <v>4593</v>
      </c>
      <c r="G1097" s="48" t="s">
        <v>3873</v>
      </c>
      <c r="H1097" s="48">
        <v>1</v>
      </c>
      <c r="I1097" s="48">
        <v>20</v>
      </c>
      <c r="J1097" s="9"/>
      <c r="K1097" s="9"/>
      <c r="L1097" s="9"/>
      <c r="M1097" s="9"/>
    </row>
    <row r="1098" spans="1:13" ht="15" customHeight="1" x14ac:dyDescent="0.25">
      <c r="A1098" s="48"/>
      <c r="B1098" s="48"/>
      <c r="C1098" s="48"/>
      <c r="D1098" s="48"/>
      <c r="E1098" s="48">
        <v>16</v>
      </c>
      <c r="F1098" s="51" t="s">
        <v>4598</v>
      </c>
      <c r="G1098" s="48" t="s">
        <v>3874</v>
      </c>
      <c r="H1098" s="48">
        <v>1</v>
      </c>
      <c r="I1098" s="48">
        <v>20</v>
      </c>
      <c r="J1098" s="9"/>
      <c r="K1098" s="9"/>
      <c r="L1098" s="9"/>
      <c r="M1098" s="9"/>
    </row>
    <row r="1099" spans="1:13" ht="15" customHeight="1" x14ac:dyDescent="0.25">
      <c r="A1099" s="48"/>
      <c r="B1099" s="48"/>
      <c r="C1099" s="48"/>
      <c r="D1099" s="48"/>
      <c r="E1099" s="48">
        <v>17</v>
      </c>
      <c r="F1099" s="51" t="s">
        <v>4603</v>
      </c>
      <c r="G1099" s="48" t="s">
        <v>3875</v>
      </c>
      <c r="H1099" s="48">
        <v>1</v>
      </c>
      <c r="I1099" s="48">
        <v>20</v>
      </c>
      <c r="J1099" s="9"/>
      <c r="K1099" s="9"/>
      <c r="L1099" s="9"/>
      <c r="M1099" s="9"/>
    </row>
    <row r="1100" spans="1:13" ht="15" customHeight="1" x14ac:dyDescent="0.25">
      <c r="A1100" s="48"/>
      <c r="B1100" s="48"/>
      <c r="C1100" s="48"/>
      <c r="D1100" s="48"/>
      <c r="E1100" s="48">
        <v>18</v>
      </c>
      <c r="F1100" s="51" t="s">
        <v>4608</v>
      </c>
      <c r="G1100" s="48" t="s">
        <v>3876</v>
      </c>
      <c r="H1100" s="48">
        <v>1</v>
      </c>
      <c r="I1100" s="48">
        <v>20</v>
      </c>
      <c r="J1100" s="9"/>
      <c r="K1100" s="9"/>
      <c r="L1100" s="9"/>
      <c r="M1100" s="9"/>
    </row>
    <row r="1101" spans="1:13" ht="15" customHeight="1" x14ac:dyDescent="0.25">
      <c r="A1101" s="48"/>
      <c r="B1101" s="48"/>
      <c r="C1101" s="48"/>
      <c r="D1101" s="48"/>
      <c r="E1101" s="48">
        <v>19</v>
      </c>
      <c r="F1101" s="51" t="s">
        <v>4613</v>
      </c>
      <c r="G1101" s="48" t="s">
        <v>3877</v>
      </c>
      <c r="H1101" s="48">
        <v>1</v>
      </c>
      <c r="I1101" s="48">
        <v>20</v>
      </c>
      <c r="J1101" s="9"/>
      <c r="K1101" s="9"/>
      <c r="L1101" s="9"/>
      <c r="M1101" s="9"/>
    </row>
    <row r="1102" spans="1:13" ht="15" customHeight="1" x14ac:dyDescent="0.25">
      <c r="A1102" s="48"/>
      <c r="B1102" s="48"/>
      <c r="C1102" s="48"/>
      <c r="D1102" s="48"/>
      <c r="E1102" s="48">
        <v>20</v>
      </c>
      <c r="F1102" s="93" t="s">
        <v>4618</v>
      </c>
      <c r="G1102" s="48" t="s">
        <v>3878</v>
      </c>
      <c r="H1102" s="48">
        <v>1</v>
      </c>
      <c r="I1102" s="48">
        <v>20</v>
      </c>
      <c r="J1102" s="9"/>
      <c r="K1102" s="9"/>
      <c r="L1102" s="9"/>
      <c r="M1102" s="9"/>
    </row>
    <row r="1103" spans="1:13" ht="15" customHeight="1" x14ac:dyDescent="0.25">
      <c r="A1103" s="48"/>
      <c r="B1103" s="48"/>
      <c r="C1103" s="48"/>
      <c r="D1103" s="48"/>
      <c r="E1103" s="48">
        <v>21</v>
      </c>
      <c r="F1103" s="48"/>
      <c r="G1103" s="48" t="s">
        <v>3879</v>
      </c>
      <c r="H1103" s="48">
        <v>1</v>
      </c>
      <c r="I1103" s="48">
        <v>20</v>
      </c>
      <c r="J1103" s="9"/>
      <c r="K1103" s="9"/>
      <c r="L1103" s="9"/>
      <c r="M1103" s="9"/>
    </row>
    <row r="1104" spans="1:13" ht="15" customHeight="1" x14ac:dyDescent="0.25">
      <c r="A1104" s="48"/>
      <c r="B1104" s="48"/>
      <c r="C1104" s="48"/>
      <c r="D1104" s="48"/>
      <c r="E1104" s="48">
        <v>22</v>
      </c>
      <c r="F1104" s="48"/>
      <c r="G1104" s="48" t="s">
        <v>3880</v>
      </c>
      <c r="H1104" s="48">
        <v>1</v>
      </c>
      <c r="I1104" s="48">
        <v>20</v>
      </c>
      <c r="J1104" s="9"/>
      <c r="K1104" s="9"/>
      <c r="L1104" s="9"/>
      <c r="M1104" s="9"/>
    </row>
    <row r="1105" spans="1:13" ht="15" customHeight="1" x14ac:dyDescent="0.25">
      <c r="A1105" s="48"/>
      <c r="B1105" s="48"/>
      <c r="C1105" s="48"/>
      <c r="D1105" s="48"/>
      <c r="E1105" s="48">
        <v>23</v>
      </c>
      <c r="F1105" s="48"/>
      <c r="G1105" s="48" t="s">
        <v>3881</v>
      </c>
      <c r="H1105" s="48">
        <v>1</v>
      </c>
      <c r="I1105" s="48">
        <v>20</v>
      </c>
      <c r="J1105" s="9"/>
      <c r="K1105" s="9"/>
      <c r="L1105" s="9"/>
      <c r="M1105" s="9"/>
    </row>
    <row r="1106" spans="1:13" ht="15" customHeight="1" x14ac:dyDescent="0.25">
      <c r="A1106" s="48"/>
      <c r="B1106" s="48"/>
      <c r="C1106" s="48"/>
      <c r="D1106" s="48"/>
      <c r="E1106" s="48">
        <v>24</v>
      </c>
      <c r="F1106" s="51"/>
      <c r="G1106" s="48" t="s">
        <v>3882</v>
      </c>
      <c r="H1106" s="48">
        <v>1</v>
      </c>
      <c r="I1106" s="48">
        <v>20</v>
      </c>
      <c r="J1106" s="9"/>
      <c r="K1106" s="9"/>
      <c r="L1106" s="9"/>
      <c r="M1106" s="9"/>
    </row>
    <row r="1107" spans="1:13" ht="15" customHeight="1" x14ac:dyDescent="0.25">
      <c r="A1107" s="48"/>
      <c r="B1107" s="48"/>
      <c r="C1107" s="48"/>
      <c r="D1107" s="48"/>
      <c r="E1107" s="48">
        <v>25</v>
      </c>
      <c r="F1107" s="48"/>
      <c r="G1107" s="48" t="s">
        <v>3883</v>
      </c>
      <c r="H1107" s="48">
        <v>1</v>
      </c>
      <c r="I1107" s="48">
        <v>20</v>
      </c>
      <c r="J1107" s="9"/>
      <c r="K1107" s="9"/>
      <c r="L1107" s="9"/>
      <c r="M1107" s="9"/>
    </row>
    <row r="1108" spans="1:13" ht="15" customHeight="1" x14ac:dyDescent="0.25">
      <c r="A1108" s="48"/>
      <c r="B1108" s="48"/>
      <c r="C1108" s="48"/>
      <c r="D1108" s="48"/>
      <c r="E1108" s="48">
        <v>26</v>
      </c>
      <c r="F1108" s="48"/>
      <c r="G1108" s="48" t="s">
        <v>3884</v>
      </c>
      <c r="H1108" s="48">
        <v>1</v>
      </c>
      <c r="I1108" s="48">
        <v>20</v>
      </c>
      <c r="J1108" s="9"/>
      <c r="K1108" s="9"/>
      <c r="L1108" s="9"/>
      <c r="M1108" s="9"/>
    </row>
    <row r="1109" spans="1:13" ht="15" customHeight="1" x14ac:dyDescent="0.25">
      <c r="A1109" s="48"/>
      <c r="B1109" s="48"/>
      <c r="C1109" s="48"/>
      <c r="D1109" s="48"/>
      <c r="E1109" s="48">
        <v>27</v>
      </c>
      <c r="F1109" s="48"/>
      <c r="G1109" s="48" t="s">
        <v>3885</v>
      </c>
      <c r="H1109" s="48">
        <v>1</v>
      </c>
      <c r="I1109" s="48">
        <v>20</v>
      </c>
      <c r="J1109" s="9"/>
      <c r="K1109" s="9"/>
      <c r="L1109" s="9"/>
      <c r="M1109" s="9"/>
    </row>
    <row r="1110" spans="1:13" ht="15" customHeight="1" x14ac:dyDescent="0.25">
      <c r="A1110" s="48"/>
      <c r="B1110" s="48"/>
      <c r="C1110" s="48"/>
      <c r="D1110" s="48"/>
      <c r="E1110" s="48">
        <v>28</v>
      </c>
      <c r="F1110" s="48"/>
      <c r="G1110" s="48" t="s">
        <v>3886</v>
      </c>
      <c r="H1110" s="48">
        <v>1</v>
      </c>
      <c r="I1110" s="48">
        <v>20</v>
      </c>
      <c r="J1110" s="9"/>
      <c r="K1110" s="9"/>
      <c r="L1110" s="9"/>
      <c r="M1110" s="9"/>
    </row>
    <row r="1111" spans="1:13" ht="15" customHeight="1" x14ac:dyDescent="0.25">
      <c r="A1111" s="48"/>
      <c r="B1111" s="48"/>
      <c r="C1111" s="48"/>
      <c r="D1111" s="48"/>
      <c r="E1111" s="48">
        <v>29</v>
      </c>
      <c r="F1111" s="48"/>
      <c r="G1111" s="48" t="s">
        <v>3887</v>
      </c>
      <c r="H1111" s="48">
        <v>1</v>
      </c>
      <c r="I1111" s="48">
        <v>20</v>
      </c>
      <c r="J1111" s="9"/>
      <c r="K1111" s="9"/>
      <c r="L1111" s="9"/>
      <c r="M1111" s="9"/>
    </row>
    <row r="1112" spans="1:13" ht="15" customHeight="1" x14ac:dyDescent="0.25">
      <c r="A1112" s="48"/>
      <c r="B1112" s="48"/>
      <c r="C1112" s="48"/>
      <c r="D1112" s="48"/>
      <c r="E1112" s="48">
        <v>30</v>
      </c>
      <c r="F1112" s="48"/>
      <c r="G1112" s="48" t="s">
        <v>3888</v>
      </c>
      <c r="H1112" s="48">
        <v>1</v>
      </c>
      <c r="I1112" s="48">
        <v>20</v>
      </c>
      <c r="J1112" s="9"/>
      <c r="K1112" s="9"/>
      <c r="L1112" s="9"/>
      <c r="M1112" s="9"/>
    </row>
    <row r="1113" spans="1:13" ht="15" customHeight="1" x14ac:dyDescent="0.25">
      <c r="A1113" s="48"/>
      <c r="B1113" s="48"/>
      <c r="C1113" s="48"/>
      <c r="D1113" s="48"/>
      <c r="E1113" s="48">
        <v>31</v>
      </c>
      <c r="F1113" s="48"/>
      <c r="G1113" s="48" t="s">
        <v>3889</v>
      </c>
      <c r="H1113" s="48">
        <v>1</v>
      </c>
      <c r="I1113" s="48">
        <v>20</v>
      </c>
      <c r="J1113" s="9"/>
      <c r="K1113" s="9"/>
      <c r="L1113" s="9"/>
      <c r="M1113" s="9"/>
    </row>
    <row r="1114" spans="1:13" ht="15" customHeight="1" x14ac:dyDescent="0.25">
      <c r="A1114" s="48"/>
      <c r="B1114" s="48"/>
      <c r="C1114" s="48"/>
      <c r="D1114" s="48"/>
      <c r="E1114" s="48">
        <v>32</v>
      </c>
      <c r="F1114" s="48"/>
      <c r="G1114" s="48" t="s">
        <v>3890</v>
      </c>
      <c r="H1114" s="48">
        <v>1</v>
      </c>
      <c r="I1114" s="48">
        <v>20</v>
      </c>
      <c r="J1114" s="9"/>
      <c r="K1114" s="9"/>
      <c r="L1114" s="9"/>
      <c r="M1114" s="9"/>
    </row>
    <row r="1115" spans="1:13" ht="15" customHeight="1" x14ac:dyDescent="0.25">
      <c r="A1115" s="48"/>
      <c r="B1115" s="48"/>
      <c r="C1115" s="48"/>
      <c r="D1115" s="48"/>
      <c r="E1115" s="48">
        <v>33</v>
      </c>
      <c r="F1115" s="48"/>
      <c r="G1115" s="48" t="s">
        <v>3891</v>
      </c>
      <c r="H1115" s="48">
        <v>1</v>
      </c>
      <c r="I1115" s="48">
        <v>20</v>
      </c>
      <c r="J1115" s="9"/>
      <c r="K1115" s="9"/>
      <c r="L1115" s="9"/>
      <c r="M1115" s="9"/>
    </row>
    <row r="1116" spans="1:13" ht="15" customHeight="1" x14ac:dyDescent="0.25">
      <c r="A1116" s="48"/>
      <c r="B1116" s="48"/>
      <c r="C1116" s="51"/>
      <c r="D1116" s="51"/>
      <c r="E1116" s="51">
        <v>34</v>
      </c>
      <c r="F1116" s="51"/>
      <c r="G1116" s="51" t="s">
        <v>3892</v>
      </c>
      <c r="H1116" s="51">
        <v>1</v>
      </c>
      <c r="I1116" s="48">
        <v>20</v>
      </c>
      <c r="J1116" s="9"/>
      <c r="K1116" s="9"/>
      <c r="L1116" s="9"/>
      <c r="M1116" s="9"/>
    </row>
    <row r="1117" spans="1:13" ht="15" customHeight="1" x14ac:dyDescent="0.25">
      <c r="A1117" s="48"/>
      <c r="B1117" s="48"/>
      <c r="C1117" s="51"/>
      <c r="D1117" s="51"/>
      <c r="E1117" s="51">
        <v>35</v>
      </c>
      <c r="F1117" s="51"/>
      <c r="G1117" s="51" t="s">
        <v>3893</v>
      </c>
      <c r="H1117" s="51">
        <v>1</v>
      </c>
      <c r="I1117" s="48">
        <v>20</v>
      </c>
      <c r="J1117" s="9"/>
      <c r="K1117" s="9"/>
      <c r="L1117" s="9"/>
      <c r="M1117" s="9"/>
    </row>
    <row r="1118" spans="1:13" ht="15" customHeight="1" x14ac:dyDescent="0.25">
      <c r="A1118" s="48"/>
      <c r="B1118" s="48"/>
      <c r="C1118" s="51"/>
      <c r="D1118" s="51"/>
      <c r="E1118" s="51">
        <v>36</v>
      </c>
      <c r="F1118" s="51"/>
      <c r="G1118" s="51" t="s">
        <v>3894</v>
      </c>
      <c r="H1118" s="51">
        <v>1</v>
      </c>
      <c r="I1118" s="48">
        <v>20</v>
      </c>
      <c r="J1118" s="9"/>
      <c r="K1118" s="9"/>
      <c r="L1118" s="9"/>
      <c r="M1118" s="9"/>
    </row>
    <row r="1119" spans="1:13" ht="15" customHeight="1" x14ac:dyDescent="0.25">
      <c r="A1119" s="48"/>
      <c r="B1119" s="48"/>
      <c r="C1119" s="51"/>
      <c r="D1119" s="51"/>
      <c r="E1119" s="51">
        <v>37</v>
      </c>
      <c r="F1119" s="51"/>
      <c r="G1119" s="51" t="s">
        <v>3895</v>
      </c>
      <c r="H1119" s="51">
        <v>1</v>
      </c>
      <c r="I1119" s="48">
        <v>20</v>
      </c>
      <c r="J1119" s="9"/>
      <c r="K1119" s="9"/>
      <c r="L1119" s="9"/>
      <c r="M1119" s="9"/>
    </row>
    <row r="1120" spans="1:13" ht="15" customHeight="1" x14ac:dyDescent="0.25">
      <c r="A1120" s="48"/>
      <c r="B1120" s="48"/>
      <c r="C1120" s="51"/>
      <c r="D1120" s="51"/>
      <c r="E1120" s="51">
        <v>38</v>
      </c>
      <c r="F1120" s="51"/>
      <c r="G1120" s="51" t="s">
        <v>3896</v>
      </c>
      <c r="H1120" s="51">
        <v>1</v>
      </c>
      <c r="I1120" s="48">
        <v>20</v>
      </c>
      <c r="J1120" s="9"/>
      <c r="K1120" s="9"/>
      <c r="L1120" s="9"/>
      <c r="M1120" s="9"/>
    </row>
    <row r="1121" spans="1:13" ht="15" customHeight="1" x14ac:dyDescent="0.25">
      <c r="A1121" s="48"/>
      <c r="B1121" s="48"/>
      <c r="C1121" s="51"/>
      <c r="D1121" s="51"/>
      <c r="E1121" s="51">
        <v>39</v>
      </c>
      <c r="F1121" s="51"/>
      <c r="G1121" s="51" t="s">
        <v>3897</v>
      </c>
      <c r="H1121" s="51">
        <v>1</v>
      </c>
      <c r="I1121" s="48">
        <v>20</v>
      </c>
      <c r="J1121" s="9"/>
      <c r="K1121" s="9"/>
      <c r="L1121" s="9"/>
      <c r="M1121" s="9"/>
    </row>
    <row r="1122" spans="1:13" ht="15" customHeight="1" x14ac:dyDescent="0.25">
      <c r="A1122" s="48"/>
      <c r="B1122" s="48"/>
      <c r="C1122" s="51"/>
      <c r="D1122" s="51"/>
      <c r="E1122" s="51">
        <v>40</v>
      </c>
      <c r="F1122" s="51"/>
      <c r="G1122" s="51" t="s">
        <v>3898</v>
      </c>
      <c r="H1122" s="51">
        <v>1</v>
      </c>
      <c r="I1122" s="48">
        <v>20</v>
      </c>
    </row>
    <row r="1123" spans="1:13" ht="15" customHeight="1" x14ac:dyDescent="0.25">
      <c r="A1123" s="9"/>
      <c r="B1123" s="9"/>
      <c r="C1123" s="9"/>
      <c r="D1123" s="9"/>
      <c r="E1123" s="9"/>
      <c r="F1123" s="9"/>
      <c r="G1123" s="9"/>
      <c r="H1123" s="9"/>
      <c r="I1123" s="9"/>
    </row>
    <row r="1124" spans="1:13" ht="15" customHeight="1" x14ac:dyDescent="0.25">
      <c r="A1124" s="9"/>
      <c r="B1124" s="9"/>
      <c r="C1124" s="9"/>
      <c r="D1124" s="9"/>
      <c r="E1124" s="9"/>
      <c r="F1124" s="9"/>
      <c r="G1124" s="9"/>
      <c r="H1124" s="9"/>
      <c r="I1124" s="9"/>
    </row>
    <row r="1125" spans="1:13" ht="15" customHeight="1" x14ac:dyDescent="0.25">
      <c r="A1125" s="9"/>
      <c r="B1125" s="9"/>
      <c r="C1125" s="9"/>
      <c r="D1125" s="9"/>
      <c r="E1125" s="9"/>
      <c r="F1125" s="9"/>
      <c r="G1125" s="9"/>
      <c r="H1125" s="9"/>
      <c r="I1125" s="9"/>
    </row>
    <row r="1126" spans="1:13" ht="15" customHeight="1" x14ac:dyDescent="0.25">
      <c r="A1126" s="9"/>
      <c r="B1126" s="9"/>
      <c r="C1126" s="9"/>
      <c r="D1126" s="9"/>
      <c r="E1126" s="9"/>
      <c r="F1126" s="9"/>
      <c r="G1126" s="9"/>
      <c r="H1126" s="9"/>
      <c r="I1126" s="9"/>
    </row>
    <row r="1127" spans="1:13" ht="15" customHeight="1" x14ac:dyDescent="0.25">
      <c r="A1127" s="9"/>
      <c r="B1127" s="9"/>
      <c r="C1127" s="9"/>
      <c r="D1127" s="9"/>
      <c r="E1127" s="9"/>
      <c r="F1127" s="9"/>
      <c r="G1127" s="9"/>
      <c r="H1127" s="9"/>
      <c r="I1127" s="9"/>
    </row>
    <row r="1128" spans="1:13" ht="15" customHeight="1" x14ac:dyDescent="0.25">
      <c r="A1128" s="9"/>
      <c r="B1128" s="9"/>
      <c r="C1128" s="9"/>
      <c r="D1128" s="9"/>
      <c r="E1128" s="9"/>
      <c r="F1128" s="9"/>
      <c r="G1128" s="9"/>
      <c r="H1128" s="9"/>
      <c r="I1128" s="9"/>
    </row>
    <row r="1129" spans="1:13" ht="15" customHeight="1" x14ac:dyDescent="0.25">
      <c r="A1129" s="9"/>
      <c r="B1129" s="9"/>
      <c r="C1129" s="9"/>
      <c r="D1129" s="9"/>
      <c r="E1129" s="9"/>
      <c r="F1129" s="9"/>
      <c r="G1129" s="9"/>
      <c r="H1129" s="9"/>
      <c r="I1129" s="9"/>
    </row>
    <row r="1130" spans="1:13" ht="15" customHeight="1" x14ac:dyDescent="0.25">
      <c r="A1130" s="9"/>
      <c r="B1130" s="9"/>
      <c r="C1130" s="9"/>
      <c r="D1130" s="9"/>
      <c r="E1130" s="9"/>
      <c r="F1130" s="9"/>
      <c r="G1130" s="9"/>
      <c r="H1130" s="9"/>
      <c r="I1130" s="9"/>
    </row>
    <row r="1131" spans="1:13" ht="15" customHeight="1" x14ac:dyDescent="0.25">
      <c r="A1131" s="9"/>
      <c r="B1131" s="9"/>
      <c r="C1131" s="9"/>
      <c r="D1131" s="9"/>
      <c r="E1131" s="9"/>
      <c r="F1131" s="9"/>
      <c r="G1131" s="9"/>
      <c r="H1131" s="9"/>
      <c r="I1131" s="9"/>
    </row>
    <row r="1132" spans="1:13" ht="15" customHeight="1" x14ac:dyDescent="0.25">
      <c r="A1132" s="9"/>
      <c r="B1132" s="9"/>
      <c r="C1132" s="9"/>
      <c r="D1132" s="9"/>
      <c r="E1132" s="9"/>
      <c r="F1132" s="9"/>
      <c r="G1132" s="9"/>
      <c r="H1132" s="9"/>
      <c r="I1132" s="9"/>
    </row>
    <row r="1133" spans="1:13" ht="15" customHeight="1" x14ac:dyDescent="0.25">
      <c r="A1133" s="9"/>
      <c r="B1133" s="9"/>
      <c r="C1133" s="9"/>
      <c r="D1133" s="9"/>
      <c r="E1133" s="9"/>
      <c r="F1133" s="9"/>
      <c r="G1133" s="9"/>
      <c r="H1133" s="9"/>
      <c r="I1133" s="9"/>
    </row>
    <row r="1134" spans="1:13" ht="15" customHeight="1" x14ac:dyDescent="0.25">
      <c r="A1134" s="9"/>
      <c r="B1134" s="9"/>
      <c r="C1134" s="9"/>
      <c r="D1134" s="9"/>
      <c r="E1134" s="9"/>
      <c r="F1134" s="9"/>
      <c r="G1134" s="9"/>
      <c r="H1134" s="9"/>
      <c r="I1134" s="9"/>
    </row>
    <row r="1135" spans="1:13" ht="15" customHeight="1" x14ac:dyDescent="0.25">
      <c r="A1135" s="9"/>
      <c r="B1135" s="9"/>
      <c r="C1135" s="9"/>
      <c r="D1135" s="9"/>
      <c r="E1135" s="9"/>
      <c r="F1135" s="9"/>
      <c r="G1135" s="9"/>
      <c r="H1135" s="9"/>
      <c r="I1135" s="9"/>
    </row>
    <row r="1136" spans="1:13" ht="15" customHeight="1" x14ac:dyDescent="0.25">
      <c r="A1136" s="9"/>
      <c r="B1136" s="9"/>
      <c r="C1136" s="9"/>
      <c r="D1136" s="9"/>
      <c r="E1136" s="9"/>
      <c r="F1136" s="9"/>
      <c r="G1136" s="9"/>
      <c r="H1136" s="9"/>
      <c r="I1136" s="9"/>
    </row>
    <row r="1137" spans="1:9" ht="15" customHeight="1" x14ac:dyDescent="0.25">
      <c r="A1137" s="9"/>
      <c r="B1137" s="9"/>
      <c r="C1137" s="9"/>
      <c r="D1137" s="9"/>
      <c r="E1137" s="9"/>
      <c r="F1137" s="9"/>
      <c r="G1137" s="9"/>
      <c r="H1137" s="9"/>
      <c r="I1137" s="9"/>
    </row>
    <row r="1138" spans="1:9" ht="15" customHeight="1" x14ac:dyDescent="0.25">
      <c r="A1138" s="9"/>
      <c r="B1138" s="9"/>
      <c r="C1138" s="9"/>
      <c r="D1138" s="9"/>
      <c r="E1138" s="9"/>
      <c r="F1138" s="9"/>
      <c r="G1138" s="9"/>
      <c r="H1138" s="9"/>
      <c r="I1138" s="9"/>
    </row>
    <row r="1139" spans="1:9" ht="15" customHeight="1" x14ac:dyDescent="0.25">
      <c r="A1139" s="9"/>
      <c r="B1139" s="9"/>
      <c r="C1139" s="9"/>
      <c r="D1139" s="9"/>
      <c r="E1139" s="9"/>
      <c r="F1139" s="9"/>
      <c r="G1139" s="9"/>
      <c r="H1139" s="9"/>
      <c r="I1139" s="9"/>
    </row>
    <row r="1140" spans="1:9" ht="15" customHeight="1" x14ac:dyDescent="0.25">
      <c r="A1140" s="9"/>
      <c r="B1140" s="9"/>
      <c r="C1140" s="9"/>
      <c r="D1140" s="9"/>
      <c r="E1140" s="9"/>
      <c r="F1140" s="9"/>
      <c r="G1140" s="9"/>
      <c r="H1140" s="9"/>
      <c r="I1140" s="9"/>
    </row>
    <row r="1141" spans="1:9" ht="15" customHeight="1" x14ac:dyDescent="0.25">
      <c r="A1141" s="9"/>
      <c r="B1141" s="9"/>
      <c r="C1141" s="9"/>
      <c r="D1141" s="9"/>
      <c r="E1141" s="9"/>
      <c r="F1141" s="9"/>
      <c r="G1141" s="9"/>
      <c r="H1141" s="9"/>
      <c r="I1141" s="9"/>
    </row>
    <row r="1142" spans="1:9" ht="15" customHeight="1" x14ac:dyDescent="0.25">
      <c r="A1142" s="9"/>
      <c r="B1142" s="9"/>
      <c r="C1142" s="9"/>
      <c r="D1142" s="9"/>
      <c r="E1142" s="9"/>
      <c r="F1142" s="9"/>
      <c r="G1142" s="9"/>
      <c r="H1142" s="9"/>
      <c r="I1142" s="9"/>
    </row>
    <row r="1143" spans="1:9" ht="15" customHeight="1" x14ac:dyDescent="0.25">
      <c r="A1143" s="9"/>
      <c r="B1143" s="9"/>
      <c r="C1143" s="9"/>
      <c r="D1143" s="9"/>
      <c r="E1143" s="9"/>
      <c r="F1143" s="9"/>
      <c r="G1143" s="9"/>
      <c r="H1143" s="9"/>
      <c r="I1143" s="9"/>
    </row>
    <row r="1144" spans="1:9" ht="15" customHeight="1" x14ac:dyDescent="0.25">
      <c r="A1144" s="9"/>
      <c r="B1144" s="9"/>
      <c r="C1144" s="9"/>
      <c r="D1144" s="9"/>
      <c r="E1144" s="9"/>
      <c r="F1144" s="9"/>
      <c r="G1144" s="9"/>
      <c r="H1144" s="9"/>
      <c r="I1144" s="9"/>
    </row>
    <row r="1145" spans="1:9" ht="15" customHeight="1" x14ac:dyDescent="0.25">
      <c r="A1145" s="9"/>
      <c r="B1145" s="9"/>
      <c r="C1145" s="9"/>
      <c r="D1145" s="9"/>
      <c r="E1145" s="9"/>
      <c r="F1145" s="9"/>
      <c r="G1145" s="9"/>
      <c r="H1145" s="9"/>
      <c r="I1145" s="9"/>
    </row>
    <row r="1146" spans="1:9" ht="15" customHeight="1" x14ac:dyDescent="0.25">
      <c r="A1146" s="9"/>
      <c r="B1146" s="9"/>
      <c r="C1146" s="9"/>
      <c r="D1146" s="9"/>
      <c r="E1146" s="9"/>
      <c r="F1146" s="9"/>
      <c r="G1146" s="9"/>
      <c r="H1146" s="9"/>
      <c r="I1146" s="9"/>
    </row>
    <row r="1147" spans="1:9" ht="15" customHeight="1" x14ac:dyDescent="0.25">
      <c r="A1147" s="9"/>
      <c r="B1147" s="9"/>
      <c r="C1147" s="9"/>
      <c r="D1147" s="9"/>
      <c r="E1147" s="9"/>
      <c r="F1147" s="9"/>
      <c r="G1147" s="9"/>
      <c r="H1147" s="9"/>
      <c r="I1147" s="9"/>
    </row>
    <row r="1148" spans="1:9" ht="15" customHeight="1" x14ac:dyDescent="0.25">
      <c r="A1148" s="9"/>
      <c r="B1148" s="9"/>
      <c r="C1148" s="9"/>
      <c r="D1148" s="9"/>
      <c r="E1148" s="9"/>
      <c r="F1148" s="9"/>
      <c r="G1148" s="9"/>
      <c r="H1148" s="9"/>
      <c r="I1148" s="9"/>
    </row>
    <row r="1149" spans="1:9" ht="15" customHeight="1" x14ac:dyDescent="0.25">
      <c r="A1149" s="9"/>
      <c r="B1149" s="9"/>
      <c r="C1149" s="9"/>
      <c r="D1149" s="9"/>
      <c r="E1149" s="9"/>
      <c r="F1149" s="9"/>
      <c r="G1149" s="9"/>
      <c r="H1149" s="9"/>
      <c r="I1149" s="9"/>
    </row>
    <row r="1150" spans="1:9" ht="15" customHeight="1" x14ac:dyDescent="0.25">
      <c r="A1150" s="9"/>
      <c r="B1150" s="9"/>
      <c r="C1150" s="9"/>
      <c r="D1150" s="9"/>
      <c r="E1150" s="9"/>
      <c r="F1150" s="9"/>
      <c r="G1150" s="9"/>
      <c r="H1150" s="9"/>
      <c r="I1150" s="9"/>
    </row>
    <row r="1151" spans="1:9" ht="15" customHeight="1" x14ac:dyDescent="0.25">
      <c r="A1151" s="9"/>
      <c r="B1151" s="9"/>
      <c r="C1151" s="9"/>
      <c r="D1151" s="9"/>
      <c r="E1151" s="9"/>
      <c r="F1151" s="9"/>
      <c r="G1151" s="9"/>
      <c r="H1151" s="9"/>
      <c r="I1151" s="9"/>
    </row>
    <row r="1152" spans="1:9" ht="15" customHeight="1" x14ac:dyDescent="0.25">
      <c r="A1152" s="9"/>
      <c r="B1152" s="9"/>
      <c r="C1152" s="9"/>
      <c r="D1152" s="9"/>
      <c r="E1152" s="9"/>
      <c r="F1152" s="9"/>
      <c r="G1152" s="9"/>
      <c r="H1152" s="9"/>
      <c r="I1152" s="9"/>
    </row>
    <row r="1153" spans="1:9" ht="15" customHeight="1" x14ac:dyDescent="0.25">
      <c r="A1153" s="9"/>
      <c r="B1153" s="9"/>
      <c r="C1153" s="9"/>
      <c r="D1153" s="9"/>
      <c r="E1153" s="9"/>
      <c r="F1153" s="9"/>
      <c r="G1153" s="9"/>
      <c r="H1153" s="9"/>
      <c r="I1153" s="9"/>
    </row>
    <row r="1154" spans="1:9" ht="15" customHeight="1" x14ac:dyDescent="0.25">
      <c r="A1154" s="9"/>
      <c r="B1154" s="9"/>
      <c r="C1154" s="9"/>
      <c r="D1154" s="9"/>
      <c r="E1154" s="9"/>
      <c r="F1154" s="9"/>
      <c r="G1154" s="9"/>
      <c r="H1154" s="9"/>
      <c r="I1154" s="9"/>
    </row>
    <row r="1155" spans="1:9" ht="15" customHeight="1" x14ac:dyDescent="0.25">
      <c r="A1155" s="9"/>
      <c r="B1155" s="9"/>
      <c r="C1155" s="10"/>
      <c r="D1155" s="10"/>
      <c r="E1155" s="10"/>
      <c r="F1155" s="10"/>
      <c r="G1155" s="10"/>
      <c r="H1155" s="10"/>
      <c r="I1155" s="9"/>
    </row>
    <row r="1156" spans="1:9" ht="15" customHeight="1" x14ac:dyDescent="0.25">
      <c r="A1156" s="9"/>
      <c r="B1156" s="9"/>
      <c r="C1156" s="10"/>
      <c r="D1156" s="10"/>
      <c r="E1156" s="10"/>
      <c r="F1156" s="10"/>
      <c r="G1156" s="10"/>
      <c r="H1156" s="10"/>
      <c r="I1156" s="9"/>
    </row>
    <row r="1157" spans="1:9" ht="15" customHeight="1" x14ac:dyDescent="0.25">
      <c r="A1157" s="9"/>
      <c r="B1157" s="9"/>
      <c r="C1157" s="10"/>
      <c r="D1157" s="10"/>
      <c r="E1157" s="10"/>
      <c r="F1157" s="10"/>
      <c r="G1157" s="10"/>
      <c r="H1157" s="10"/>
      <c r="I1157" s="9"/>
    </row>
    <row r="1158" spans="1:9" ht="15" customHeight="1" x14ac:dyDescent="0.25">
      <c r="A1158" s="9"/>
      <c r="B1158" s="9"/>
      <c r="C1158" s="10"/>
      <c r="D1158" s="10"/>
      <c r="E1158" s="10"/>
      <c r="F1158" s="10"/>
      <c r="G1158" s="10"/>
      <c r="H1158" s="10"/>
      <c r="I1158" s="9"/>
    </row>
    <row r="1159" spans="1:9" ht="15" customHeight="1" x14ac:dyDescent="0.25">
      <c r="A1159" s="9"/>
      <c r="B1159" s="9"/>
      <c r="C1159" s="10"/>
      <c r="D1159" s="10"/>
      <c r="E1159" s="10"/>
      <c r="F1159" s="10"/>
      <c r="G1159" s="10"/>
      <c r="H1159" s="10"/>
      <c r="I1159" s="9"/>
    </row>
    <row r="1160" spans="1:9" ht="15" customHeight="1" x14ac:dyDescent="0.25">
      <c r="A1160" s="9"/>
      <c r="B1160" s="9"/>
      <c r="C1160" s="10"/>
      <c r="D1160" s="10"/>
      <c r="E1160" s="10"/>
      <c r="F1160" s="10"/>
      <c r="G1160" s="10"/>
      <c r="H1160" s="10"/>
      <c r="I1160" s="9"/>
    </row>
    <row r="1161" spans="1:9" ht="15" customHeight="1" x14ac:dyDescent="0.25">
      <c r="A1161" s="9"/>
      <c r="B1161" s="9"/>
      <c r="C1161" s="10"/>
      <c r="D1161" s="10"/>
      <c r="E1161" s="10"/>
      <c r="F1161" s="10"/>
      <c r="G1161" s="10"/>
      <c r="H1161" s="10"/>
      <c r="I1161" s="9"/>
    </row>
    <row r="1162" spans="1:9" ht="15" customHeight="1" x14ac:dyDescent="0.25"/>
    <row r="1163" spans="1:9" ht="15" customHeight="1" x14ac:dyDescent="0.25"/>
    <row r="1164" spans="1:9" ht="15" customHeight="1" x14ac:dyDescent="0.25"/>
    <row r="1165" spans="1:9" ht="15" customHeight="1" x14ac:dyDescent="0.25"/>
    <row r="1166" spans="1:9" ht="15" customHeight="1" x14ac:dyDescent="0.25"/>
    <row r="1167" spans="1:9" ht="15" customHeight="1" x14ac:dyDescent="0.25"/>
    <row r="1168" spans="1:9" ht="15" customHeight="1" x14ac:dyDescent="0.25"/>
    <row r="1169" ht="15" customHeight="1" x14ac:dyDescent="0.25"/>
    <row r="1170" ht="15" customHeight="1" x14ac:dyDescent="0.25"/>
    <row r="1171" ht="15" customHeight="1" x14ac:dyDescent="0.25"/>
    <row r="1172" ht="15" customHeight="1" x14ac:dyDescent="0.25"/>
    <row r="1173" ht="15" customHeight="1" x14ac:dyDescent="0.25"/>
    <row r="1174" ht="15" customHeight="1" x14ac:dyDescent="0.25"/>
    <row r="1175" ht="15" customHeight="1" x14ac:dyDescent="0.25"/>
    <row r="1176" ht="15" customHeight="1" x14ac:dyDescent="0.25"/>
    <row r="1177" ht="15" customHeight="1" x14ac:dyDescent="0.25"/>
    <row r="1178" ht="15" customHeight="1" x14ac:dyDescent="0.25"/>
    <row r="1179" ht="15" customHeight="1" x14ac:dyDescent="0.25"/>
    <row r="1180" ht="15" customHeight="1" x14ac:dyDescent="0.25"/>
    <row r="1181" ht="15" customHeight="1" x14ac:dyDescent="0.25"/>
    <row r="1182" ht="15" customHeight="1" x14ac:dyDescent="0.25"/>
    <row r="1183" ht="15" customHeight="1" x14ac:dyDescent="0.25"/>
    <row r="1184" ht="15" customHeight="1" x14ac:dyDescent="0.25"/>
    <row r="1185" ht="15" customHeight="1" x14ac:dyDescent="0.25"/>
    <row r="1186" ht="15" customHeight="1" x14ac:dyDescent="0.25"/>
    <row r="1187" ht="15" customHeight="1" x14ac:dyDescent="0.25"/>
    <row r="1188" ht="15" customHeight="1" x14ac:dyDescent="0.25"/>
    <row r="1189" ht="15" customHeight="1" x14ac:dyDescent="0.25"/>
    <row r="1190" ht="15" customHeight="1" x14ac:dyDescent="0.25"/>
    <row r="1191" ht="15" customHeight="1" x14ac:dyDescent="0.25"/>
    <row r="1192" ht="15" customHeight="1" x14ac:dyDescent="0.25"/>
    <row r="1193" ht="15" customHeight="1" x14ac:dyDescent="0.25"/>
    <row r="1194" ht="15" customHeight="1" x14ac:dyDescent="0.25"/>
    <row r="1195" ht="15" customHeight="1" x14ac:dyDescent="0.25"/>
    <row r="1196" ht="15" customHeight="1" x14ac:dyDescent="0.25"/>
    <row r="1197" ht="15" customHeight="1" x14ac:dyDescent="0.25"/>
    <row r="1198" ht="15" customHeight="1" x14ac:dyDescent="0.25"/>
    <row r="1199" ht="15" customHeight="1" x14ac:dyDescent="0.25"/>
    <row r="1200" ht="15" customHeight="1" x14ac:dyDescent="0.25"/>
    <row r="1201" ht="15" customHeight="1" x14ac:dyDescent="0.25"/>
    <row r="1202" ht="15" customHeight="1" x14ac:dyDescent="0.25"/>
    <row r="1203" ht="15" customHeight="1" x14ac:dyDescent="0.25"/>
    <row r="1204" ht="15" customHeight="1" x14ac:dyDescent="0.25"/>
    <row r="1205" ht="15" customHeight="1" x14ac:dyDescent="0.25"/>
    <row r="1206" ht="15" customHeight="1" x14ac:dyDescent="0.25"/>
    <row r="1207" ht="15" customHeight="1" x14ac:dyDescent="0.25"/>
    <row r="1208" ht="15" customHeight="1" x14ac:dyDescent="0.25"/>
    <row r="1209" ht="15" customHeight="1" x14ac:dyDescent="0.25"/>
    <row r="1210" ht="15" customHeight="1" x14ac:dyDescent="0.25"/>
    <row r="1211" ht="15" customHeight="1" x14ac:dyDescent="0.25"/>
    <row r="1212" ht="15" customHeight="1" x14ac:dyDescent="0.25"/>
    <row r="1213" ht="15" customHeight="1" x14ac:dyDescent="0.25"/>
    <row r="1214" ht="15" customHeight="1" x14ac:dyDescent="0.25"/>
    <row r="1215" ht="15" customHeight="1" x14ac:dyDescent="0.25"/>
    <row r="1216" ht="15" customHeight="1" x14ac:dyDescent="0.25"/>
    <row r="1217" ht="15" customHeight="1" x14ac:dyDescent="0.25"/>
    <row r="1218" ht="15" customHeight="1" x14ac:dyDescent="0.25"/>
    <row r="1219" ht="15" customHeight="1" x14ac:dyDescent="0.25"/>
    <row r="1220" ht="15" customHeight="1" x14ac:dyDescent="0.25"/>
    <row r="1221" ht="15" customHeight="1" x14ac:dyDescent="0.25"/>
    <row r="1222" ht="15" customHeight="1" x14ac:dyDescent="0.25"/>
    <row r="1223" ht="15" customHeight="1" x14ac:dyDescent="0.25"/>
    <row r="1224" ht="15" customHeight="1" x14ac:dyDescent="0.25"/>
    <row r="1225" ht="15" customHeight="1" x14ac:dyDescent="0.25"/>
    <row r="1226" ht="15" customHeight="1" x14ac:dyDescent="0.25"/>
    <row r="1227" ht="15" customHeight="1" x14ac:dyDescent="0.25"/>
    <row r="1228" ht="15" customHeight="1" x14ac:dyDescent="0.25"/>
  </sheetData>
  <pageMargins left="0.7" right="0.7" top="0.75" bottom="0.75" header="0.3" footer="0.3"/>
  <pageSetup paperSize="9" orientation="portrait" horizontalDpi="200" verticalDpi="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Y778"/>
  <sheetViews>
    <sheetView zoomScale="70" zoomScaleNormal="70" workbookViewId="0">
      <pane ySplit="1" topLeftCell="A677" activePane="bottomLeft" state="frozen"/>
      <selection pane="bottomLeft" activeCell="A452" sqref="A452:K691"/>
    </sheetView>
  </sheetViews>
  <sheetFormatPr baseColWidth="10" defaultRowHeight="15" x14ac:dyDescent="0.25"/>
  <cols>
    <col min="1" max="1" width="6.42578125" style="1" customWidth="1"/>
    <col min="2" max="2" width="6.7109375" style="1" customWidth="1"/>
    <col min="3" max="3" width="24.7109375" style="1" customWidth="1"/>
    <col min="4" max="4" width="31.42578125" style="1" customWidth="1"/>
    <col min="5" max="5" width="8.140625" style="1" customWidth="1"/>
    <col min="6" max="6" width="96" style="1" customWidth="1"/>
    <col min="7" max="7" width="23.42578125" style="1" customWidth="1"/>
    <col min="8" max="8" width="22.7109375" style="1" customWidth="1"/>
    <col min="9" max="9" width="27.85546875" style="1" customWidth="1"/>
    <col min="10" max="10" width="24.140625" style="1" customWidth="1"/>
    <col min="11" max="11" width="29.5703125" style="1" customWidth="1"/>
    <col min="12" max="12" width="23.28515625" style="1" customWidth="1"/>
    <col min="13" max="13" width="21.5703125" style="1" customWidth="1"/>
    <col min="14" max="14" width="22.5703125" style="1" customWidth="1"/>
    <col min="15" max="15" width="23" style="1" customWidth="1"/>
    <col min="16" max="16" width="25.7109375" style="1" customWidth="1"/>
    <col min="17" max="17" width="15.140625" style="1" bestFit="1" customWidth="1"/>
    <col min="18" max="16384" width="11.42578125" style="1"/>
  </cols>
  <sheetData>
    <row r="1" spans="1:18" x14ac:dyDescent="0.25">
      <c r="A1" s="1" t="s">
        <v>0</v>
      </c>
      <c r="B1" s="1" t="s">
        <v>1</v>
      </c>
      <c r="C1" s="1" t="s">
        <v>8</v>
      </c>
      <c r="D1" s="1" t="s">
        <v>15</v>
      </c>
      <c r="E1" s="1" t="s">
        <v>10</v>
      </c>
      <c r="F1" s="1" t="s">
        <v>19</v>
      </c>
      <c r="G1" s="1" t="s">
        <v>17</v>
      </c>
      <c r="H1" s="1" t="s">
        <v>3</v>
      </c>
      <c r="I1" s="1" t="s">
        <v>4</v>
      </c>
      <c r="J1" s="1" t="s">
        <v>6</v>
      </c>
      <c r="K1" s="1" t="s">
        <v>7</v>
      </c>
      <c r="L1" s="1" t="s">
        <v>18</v>
      </c>
      <c r="M1" s="1" t="s">
        <v>3</v>
      </c>
      <c r="N1" s="1" t="s">
        <v>4</v>
      </c>
      <c r="O1" s="1" t="s">
        <v>6</v>
      </c>
      <c r="P1" s="1" t="s">
        <v>7</v>
      </c>
    </row>
    <row r="2" spans="1:18" s="2" customFormat="1" x14ac:dyDescent="0.25">
      <c r="A2" s="14"/>
      <c r="B2" s="14"/>
      <c r="C2" s="14"/>
      <c r="D2" s="14"/>
      <c r="E2" s="14"/>
      <c r="F2" s="14"/>
      <c r="G2" s="14"/>
      <c r="H2" s="14"/>
      <c r="I2" s="14"/>
      <c r="J2" s="14"/>
      <c r="K2" s="14"/>
      <c r="L2" s="14"/>
      <c r="M2" s="14"/>
      <c r="N2" s="14"/>
      <c r="O2" s="14"/>
      <c r="P2" s="14"/>
    </row>
    <row r="3" spans="1:18" ht="65.25" customHeight="1" x14ac:dyDescent="0.25">
      <c r="A3" s="16"/>
      <c r="B3" s="16"/>
      <c r="C3" s="16">
        <v>1</v>
      </c>
      <c r="D3" s="16" t="s">
        <v>54</v>
      </c>
      <c r="E3" s="16">
        <v>1</v>
      </c>
      <c r="F3" s="16" t="s">
        <v>1369</v>
      </c>
      <c r="G3" s="16" t="s">
        <v>1387</v>
      </c>
      <c r="H3" s="16" t="s">
        <v>1417</v>
      </c>
      <c r="I3" s="16" t="s">
        <v>1435</v>
      </c>
      <c r="J3" s="16" t="s">
        <v>1463</v>
      </c>
      <c r="K3" s="16" t="s">
        <v>1491</v>
      </c>
      <c r="L3" s="16"/>
      <c r="M3" s="16"/>
      <c r="N3" s="16"/>
      <c r="O3" s="16"/>
      <c r="P3" s="16"/>
      <c r="Q3" s="1" t="str">
        <f>CONCATENATE("d) ",(P3))</f>
        <v xml:space="preserve">d) </v>
      </c>
      <c r="R3" s="1" t="str">
        <f>CONCATENATE("b) ",I3)</f>
        <v>b) b) Most of the comics featuring Kinshasa are done by Belgium artists.</v>
      </c>
    </row>
    <row r="4" spans="1:18" ht="65.25" customHeight="1" x14ac:dyDescent="0.25">
      <c r="A4" s="16"/>
      <c r="B4" s="16"/>
      <c r="C4" s="16"/>
      <c r="D4" s="16" t="s">
        <v>2068</v>
      </c>
      <c r="E4" s="16">
        <v>2</v>
      </c>
      <c r="F4" s="16" t="s">
        <v>1370</v>
      </c>
      <c r="G4" s="16" t="s">
        <v>1395</v>
      </c>
      <c r="H4" s="16" t="s">
        <v>1418</v>
      </c>
      <c r="I4" s="16" t="s">
        <v>1436</v>
      </c>
      <c r="J4" s="16" t="s">
        <v>1464</v>
      </c>
      <c r="K4" s="16" t="s">
        <v>1492</v>
      </c>
      <c r="L4" s="16"/>
      <c r="M4" s="16"/>
      <c r="N4" s="16"/>
      <c r="O4" s="16"/>
      <c r="P4" s="16"/>
      <c r="Q4" s="1" t="str">
        <f t="shared" ref="Q4:Q7" si="0">CONCATENATE("d) ",(P4))</f>
        <v xml:space="preserve">d) </v>
      </c>
    </row>
    <row r="5" spans="1:18" ht="65.25" customHeight="1" x14ac:dyDescent="0.25">
      <c r="A5" s="16"/>
      <c r="B5" s="16"/>
      <c r="C5" s="16"/>
      <c r="D5" s="16" t="s">
        <v>359</v>
      </c>
      <c r="E5" s="16">
        <v>3</v>
      </c>
      <c r="F5" s="16" t="s">
        <v>1371</v>
      </c>
      <c r="G5" s="16" t="s">
        <v>1396</v>
      </c>
      <c r="H5" s="16" t="s">
        <v>1419</v>
      </c>
      <c r="I5" s="16" t="s">
        <v>1437</v>
      </c>
      <c r="J5" s="16" t="s">
        <v>1465</v>
      </c>
      <c r="K5" s="16" t="s">
        <v>1493</v>
      </c>
      <c r="L5" s="16"/>
      <c r="M5" s="16"/>
      <c r="N5" s="16"/>
      <c r="O5" s="16"/>
      <c r="P5" s="16"/>
      <c r="Q5" s="1" t="str">
        <f t="shared" si="0"/>
        <v xml:space="preserve">d) </v>
      </c>
    </row>
    <row r="6" spans="1:18" ht="65.25" customHeight="1" x14ac:dyDescent="0.25">
      <c r="A6" s="16"/>
      <c r="B6" s="16"/>
      <c r="C6" s="16"/>
      <c r="D6" s="16"/>
      <c r="E6" s="16">
        <v>4</v>
      </c>
      <c r="F6" s="16" t="s">
        <v>1372</v>
      </c>
      <c r="G6" s="16" t="s">
        <v>1397</v>
      </c>
      <c r="H6" s="16" t="s">
        <v>1420</v>
      </c>
      <c r="I6" s="16" t="s">
        <v>1438</v>
      </c>
      <c r="J6" s="16" t="s">
        <v>1466</v>
      </c>
      <c r="K6" s="16" t="s">
        <v>1494</v>
      </c>
      <c r="L6" s="16"/>
      <c r="M6" s="16"/>
      <c r="N6" s="16"/>
      <c r="O6" s="16"/>
      <c r="P6" s="16"/>
      <c r="Q6" s="1" t="str">
        <f t="shared" si="0"/>
        <v xml:space="preserve">d) </v>
      </c>
    </row>
    <row r="7" spans="1:18" ht="65.25" customHeight="1" x14ac:dyDescent="0.25">
      <c r="A7" s="16"/>
      <c r="B7" s="16"/>
      <c r="C7" s="16"/>
      <c r="D7" s="16"/>
      <c r="E7" s="16">
        <v>5</v>
      </c>
      <c r="F7" s="16" t="s">
        <v>1373</v>
      </c>
      <c r="G7" s="16" t="s">
        <v>1398</v>
      </c>
      <c r="H7" s="16" t="s">
        <v>1421</v>
      </c>
      <c r="I7" s="16" t="s">
        <v>1439</v>
      </c>
      <c r="J7" s="16" t="s">
        <v>1467</v>
      </c>
      <c r="K7" s="16" t="s">
        <v>1495</v>
      </c>
      <c r="L7" s="16"/>
      <c r="M7" s="16"/>
      <c r="N7" s="16"/>
      <c r="O7" s="16"/>
      <c r="P7" s="16"/>
      <c r="Q7" s="1" t="str">
        <f t="shared" si="0"/>
        <v xml:space="preserve">d) </v>
      </c>
    </row>
    <row r="8" spans="1:18" ht="65.25" customHeight="1" x14ac:dyDescent="0.25">
      <c r="A8" s="16"/>
      <c r="B8" s="16"/>
      <c r="C8" s="16"/>
      <c r="D8" s="16"/>
      <c r="E8" s="16">
        <v>6</v>
      </c>
      <c r="F8" s="16" t="s">
        <v>1374</v>
      </c>
      <c r="G8" s="16" t="s">
        <v>1399</v>
      </c>
      <c r="H8" s="16" t="s">
        <v>1422</v>
      </c>
      <c r="I8" s="16" t="s">
        <v>1440</v>
      </c>
      <c r="J8" s="16" t="s">
        <v>1468</v>
      </c>
      <c r="K8" s="16" t="s">
        <v>1496</v>
      </c>
      <c r="L8" s="16" t="s">
        <v>1388</v>
      </c>
      <c r="M8" s="16" t="s">
        <v>1522</v>
      </c>
      <c r="N8" s="16" t="s">
        <v>1453</v>
      </c>
      <c r="O8" s="16" t="s">
        <v>1480</v>
      </c>
      <c r="P8" s="16" t="s">
        <v>1509</v>
      </c>
      <c r="Q8" s="1" t="str">
        <f>CONCATENATE("a) ",M8)</f>
        <v>a) a) The main division is between the ‘old’ and ‘new’ Europe.</v>
      </c>
    </row>
    <row r="9" spans="1:18" ht="65.25" customHeight="1" x14ac:dyDescent="0.25">
      <c r="A9" s="16"/>
      <c r="B9" s="16"/>
      <c r="C9" s="16"/>
      <c r="D9" s="16"/>
      <c r="E9" s="16">
        <v>7</v>
      </c>
      <c r="F9" s="16" t="s">
        <v>1375</v>
      </c>
      <c r="G9" s="16" t="s">
        <v>1400</v>
      </c>
      <c r="H9" s="16" t="s">
        <v>1423</v>
      </c>
      <c r="I9" s="16" t="s">
        <v>1441</v>
      </c>
      <c r="J9" s="16" t="s">
        <v>1469</v>
      </c>
      <c r="K9" s="16" t="s">
        <v>1497</v>
      </c>
      <c r="L9" s="16" t="s">
        <v>1389</v>
      </c>
      <c r="M9" s="16" t="s">
        <v>1523</v>
      </c>
      <c r="N9" s="16" t="s">
        <v>1454</v>
      </c>
      <c r="O9" s="16" t="s">
        <v>1481</v>
      </c>
      <c r="P9" s="16" t="s">
        <v>1510</v>
      </c>
      <c r="Q9" s="1" t="str">
        <f t="shared" ref="Q9:Q20" si="1">CONCATENATE("a) ",M9)</f>
        <v>a) a) The use of MP3 players is limited</v>
      </c>
    </row>
    <row r="10" spans="1:18" ht="65.25" customHeight="1" x14ac:dyDescent="0.25">
      <c r="A10" s="16"/>
      <c r="B10" s="16"/>
      <c r="C10" s="16"/>
      <c r="D10" s="16"/>
      <c r="E10" s="16">
        <v>8</v>
      </c>
      <c r="F10" s="16" t="s">
        <v>1376</v>
      </c>
      <c r="G10" s="16" t="s">
        <v>1401</v>
      </c>
      <c r="H10" s="16" t="s">
        <v>1424</v>
      </c>
      <c r="I10" s="16" t="s">
        <v>1442</v>
      </c>
      <c r="J10" s="16" t="s">
        <v>1470</v>
      </c>
      <c r="K10" s="16" t="s">
        <v>1498</v>
      </c>
      <c r="L10" s="16" t="s">
        <v>1390</v>
      </c>
      <c r="M10" s="16" t="s">
        <v>1524</v>
      </c>
      <c r="N10" s="16" t="s">
        <v>1455</v>
      </c>
      <c r="O10" s="16" t="s">
        <v>1482</v>
      </c>
      <c r="P10" s="16" t="s">
        <v>1511</v>
      </c>
      <c r="Q10" s="1" t="str">
        <f t="shared" si="1"/>
        <v>a) a) A stronger military force</v>
      </c>
    </row>
    <row r="11" spans="1:18" ht="65.25" customHeight="1" x14ac:dyDescent="0.25">
      <c r="A11" s="16"/>
      <c r="B11" s="16"/>
      <c r="C11" s="16"/>
      <c r="D11" s="16"/>
      <c r="E11" s="16">
        <v>9</v>
      </c>
      <c r="F11" s="16" t="s">
        <v>1377</v>
      </c>
      <c r="G11" s="16" t="s">
        <v>1402</v>
      </c>
      <c r="H11" s="16" t="s">
        <v>1425</v>
      </c>
      <c r="I11" s="16" t="s">
        <v>1443</v>
      </c>
      <c r="J11" s="16" t="s">
        <v>1471</v>
      </c>
      <c r="K11" s="16" t="s">
        <v>1499</v>
      </c>
      <c r="L11" s="16" t="s">
        <v>1391</v>
      </c>
      <c r="M11" s="16" t="s">
        <v>20</v>
      </c>
      <c r="N11" s="16" t="s">
        <v>21</v>
      </c>
      <c r="O11" s="16" t="s">
        <v>22</v>
      </c>
      <c r="P11" s="16" t="s">
        <v>23</v>
      </c>
      <c r="Q11" s="1" t="str">
        <f t="shared" si="1"/>
        <v xml:space="preserve">a) a) be completely negative.                                                                                                                 </v>
      </c>
      <c r="R11" s="21"/>
    </row>
    <row r="12" spans="1:18" ht="65.25" customHeight="1" x14ac:dyDescent="0.25">
      <c r="A12" s="16"/>
      <c r="B12" s="16"/>
      <c r="C12" s="16"/>
      <c r="D12" s="16"/>
      <c r="E12" s="16">
        <v>10</v>
      </c>
      <c r="F12" s="16" t="s">
        <v>1378</v>
      </c>
      <c r="G12" s="16" t="s">
        <v>1403</v>
      </c>
      <c r="H12" s="16" t="s">
        <v>1426</v>
      </c>
      <c r="I12" s="16" t="s">
        <v>1444</v>
      </c>
      <c r="J12" s="16" t="s">
        <v>1472</v>
      </c>
      <c r="K12" s="16" t="s">
        <v>1500</v>
      </c>
      <c r="L12" s="16" t="s">
        <v>1392</v>
      </c>
      <c r="M12" s="16" t="s">
        <v>1525</v>
      </c>
      <c r="N12" s="16" t="s">
        <v>1456</v>
      </c>
      <c r="O12" s="16" t="s">
        <v>1483</v>
      </c>
      <c r="P12" s="16" t="s">
        <v>1512</v>
      </c>
      <c r="Q12" s="1" t="str">
        <f t="shared" si="1"/>
        <v>a) a) Be completely negative</v>
      </c>
      <c r="R12" s="21"/>
    </row>
    <row r="13" spans="1:18" ht="65.25" customHeight="1" x14ac:dyDescent="0.25">
      <c r="A13" s="16"/>
      <c r="B13" s="16"/>
      <c r="C13" s="16"/>
      <c r="D13" s="16"/>
      <c r="E13" s="16">
        <v>11</v>
      </c>
      <c r="F13" s="16" t="s">
        <v>1379</v>
      </c>
      <c r="G13" s="16" t="s">
        <v>1404</v>
      </c>
      <c r="H13" s="16" t="s">
        <v>1427</v>
      </c>
      <c r="I13" s="16" t="s">
        <v>1445</v>
      </c>
      <c r="J13" s="16" t="s">
        <v>1473</v>
      </c>
      <c r="K13" s="16" t="s">
        <v>1501</v>
      </c>
      <c r="L13" s="16" t="s">
        <v>1393</v>
      </c>
      <c r="M13" s="16" t="s">
        <v>1526</v>
      </c>
      <c r="N13" s="16" t="s">
        <v>1457</v>
      </c>
      <c r="O13" s="16" t="s">
        <v>1484</v>
      </c>
      <c r="P13" s="16" t="s">
        <v>1513</v>
      </c>
      <c r="Q13" s="1" t="str">
        <f t="shared" si="1"/>
        <v>a) a) High-speed electric trains are being developed</v>
      </c>
      <c r="R13" s="21"/>
    </row>
    <row r="14" spans="1:18" ht="65.25" customHeight="1" x14ac:dyDescent="0.25">
      <c r="A14" s="16"/>
      <c r="B14" s="16"/>
      <c r="C14" s="16"/>
      <c r="D14" s="16"/>
      <c r="E14" s="16">
        <v>12</v>
      </c>
      <c r="F14" s="16" t="s">
        <v>1380</v>
      </c>
      <c r="G14" s="16" t="s">
        <v>1405</v>
      </c>
      <c r="H14" s="16" t="s">
        <v>1428</v>
      </c>
      <c r="I14" s="16" t="s">
        <v>1446</v>
      </c>
      <c r="J14" s="16" t="s">
        <v>1520</v>
      </c>
      <c r="K14" s="16" t="s">
        <v>1502</v>
      </c>
      <c r="L14" s="16" t="s">
        <v>1394</v>
      </c>
      <c r="M14" s="16" t="s">
        <v>1527</v>
      </c>
      <c r="N14" s="16" t="s">
        <v>1521</v>
      </c>
      <c r="O14" s="16" t="s">
        <v>1485</v>
      </c>
      <c r="P14" s="16" t="s">
        <v>1514</v>
      </c>
      <c r="Q14" s="1" t="str">
        <f t="shared" si="1"/>
        <v>a) a)   The Tories would approve of French aims.</v>
      </c>
      <c r="R14" s="21"/>
    </row>
    <row r="15" spans="1:18" ht="65.25" customHeight="1" x14ac:dyDescent="0.25">
      <c r="A15" s="16"/>
      <c r="B15" s="16"/>
      <c r="C15" s="16"/>
      <c r="D15" s="16"/>
      <c r="E15" s="16">
        <v>13</v>
      </c>
      <c r="F15" s="16" t="s">
        <v>1381</v>
      </c>
      <c r="G15" s="16" t="s">
        <v>1406</v>
      </c>
      <c r="H15" s="16" t="s">
        <v>1429</v>
      </c>
      <c r="I15" s="16" t="s">
        <v>1447</v>
      </c>
      <c r="J15" s="16" t="s">
        <v>1474</v>
      </c>
      <c r="K15" s="16" t="s">
        <v>1503</v>
      </c>
      <c r="L15" s="16" t="s">
        <v>1407</v>
      </c>
      <c r="M15" s="16" t="s">
        <v>1528</v>
      </c>
      <c r="N15" s="16" t="s">
        <v>1458</v>
      </c>
      <c r="O15" s="16" t="s">
        <v>1486</v>
      </c>
      <c r="P15" s="16" t="s">
        <v>1515</v>
      </c>
      <c r="Q15" s="1" t="str">
        <f t="shared" si="1"/>
        <v>a) a) The remittances sent by the émigrés will ensure the survival of the Jewish community</v>
      </c>
      <c r="R15" s="21"/>
    </row>
    <row r="16" spans="1:18" ht="65.25" customHeight="1" x14ac:dyDescent="0.25">
      <c r="A16" s="16"/>
      <c r="B16" s="16"/>
      <c r="C16" s="16"/>
      <c r="D16" s="16"/>
      <c r="E16" s="16">
        <v>14</v>
      </c>
      <c r="F16" s="16" t="s">
        <v>1382</v>
      </c>
      <c r="G16" s="16" t="s">
        <v>1408</v>
      </c>
      <c r="H16" s="16" t="s">
        <v>1430</v>
      </c>
      <c r="I16" s="16" t="s">
        <v>1448</v>
      </c>
      <c r="J16" s="16" t="s">
        <v>1475</v>
      </c>
      <c r="K16" s="16" t="s">
        <v>1504</v>
      </c>
      <c r="L16" s="16" t="s">
        <v>1410</v>
      </c>
      <c r="M16" s="16" t="s">
        <v>1529</v>
      </c>
      <c r="N16" s="16" t="s">
        <v>1459</v>
      </c>
      <c r="O16" s="16" t="s">
        <v>1487</v>
      </c>
      <c r="P16" s="16" t="s">
        <v>1516</v>
      </c>
      <c r="Q16" s="1" t="str">
        <f t="shared" si="1"/>
        <v>a) a) Some of the executions are politically motivated.</v>
      </c>
      <c r="R16" s="21"/>
    </row>
    <row r="17" spans="1:24" ht="65.25" customHeight="1" x14ac:dyDescent="0.25">
      <c r="A17" s="16"/>
      <c r="B17" s="16"/>
      <c r="C17" s="16"/>
      <c r="D17" s="16"/>
      <c r="E17" s="16">
        <v>15</v>
      </c>
      <c r="F17" s="16" t="s">
        <v>1383</v>
      </c>
      <c r="G17" s="16" t="s">
        <v>1409</v>
      </c>
      <c r="H17" s="16" t="s">
        <v>1431</v>
      </c>
      <c r="I17" s="16" t="s">
        <v>1449</v>
      </c>
      <c r="J17" s="16" t="s">
        <v>1476</v>
      </c>
      <c r="K17" s="16" t="s">
        <v>1505</v>
      </c>
      <c r="L17" s="16" t="s">
        <v>1411</v>
      </c>
      <c r="M17" s="16" t="s">
        <v>1530</v>
      </c>
      <c r="N17" s="16" t="s">
        <v>1460</v>
      </c>
      <c r="O17" s="16" t="s">
        <v>1488</v>
      </c>
      <c r="P17" s="16" t="s">
        <v>1517</v>
      </c>
      <c r="Q17" s="1" t="str">
        <f t="shared" si="1"/>
        <v>a) a) The behavior of Russian officials is inconsistent</v>
      </c>
      <c r="R17" s="21"/>
    </row>
    <row r="18" spans="1:24" ht="65.25" customHeight="1" x14ac:dyDescent="0.25">
      <c r="A18" s="16"/>
      <c r="B18" s="16"/>
      <c r="C18" s="16"/>
      <c r="D18" s="16"/>
      <c r="E18" s="16">
        <v>16</v>
      </c>
      <c r="F18" s="16" t="s">
        <v>1384</v>
      </c>
      <c r="G18" s="16" t="s">
        <v>1412</v>
      </c>
      <c r="H18" s="16" t="s">
        <v>1432</v>
      </c>
      <c r="I18" s="16" t="s">
        <v>1450</v>
      </c>
      <c r="J18" s="16" t="s">
        <v>1477</v>
      </c>
      <c r="K18" s="16" t="s">
        <v>1506</v>
      </c>
      <c r="L18" s="16"/>
      <c r="M18" s="16"/>
      <c r="N18" s="16"/>
      <c r="O18" s="16"/>
      <c r="P18" s="16"/>
      <c r="Q18" s="1" t="str">
        <f t="shared" si="1"/>
        <v xml:space="preserve">a) </v>
      </c>
      <c r="R18" s="21"/>
    </row>
    <row r="19" spans="1:24" ht="65.25" customHeight="1" x14ac:dyDescent="0.25">
      <c r="A19" s="16"/>
      <c r="B19" s="16"/>
      <c r="C19" s="16"/>
      <c r="D19" s="16"/>
      <c r="E19" s="16">
        <v>17</v>
      </c>
      <c r="F19" s="16" t="s">
        <v>1385</v>
      </c>
      <c r="G19" s="16" t="s">
        <v>1413</v>
      </c>
      <c r="H19" s="16" t="s">
        <v>1434</v>
      </c>
      <c r="I19" s="16" t="s">
        <v>1451</v>
      </c>
      <c r="J19" s="16" t="s">
        <v>1478</v>
      </c>
      <c r="K19" s="16" t="s">
        <v>1507</v>
      </c>
      <c r="L19" s="16" t="s">
        <v>1415</v>
      </c>
      <c r="M19" s="16" t="s">
        <v>1531</v>
      </c>
      <c r="N19" s="16" t="s">
        <v>1461</v>
      </c>
      <c r="O19" s="16" t="s">
        <v>1489</v>
      </c>
      <c r="P19" s="16" t="s">
        <v>1518</v>
      </c>
      <c r="Q19" s="1" t="str">
        <f t="shared" si="1"/>
        <v>a) a) The attempts of monks to leave Tibet</v>
      </c>
      <c r="R19" s="21"/>
    </row>
    <row r="20" spans="1:24" ht="65.25" customHeight="1" x14ac:dyDescent="0.25">
      <c r="A20" s="16"/>
      <c r="B20" s="16"/>
      <c r="C20" s="16"/>
      <c r="D20" s="16"/>
      <c r="E20" s="16">
        <v>18</v>
      </c>
      <c r="F20" s="16" t="s">
        <v>1386</v>
      </c>
      <c r="G20" s="16" t="s">
        <v>1414</v>
      </c>
      <c r="H20" s="16" t="s">
        <v>1433</v>
      </c>
      <c r="I20" s="16" t="s">
        <v>1452</v>
      </c>
      <c r="J20" s="16" t="s">
        <v>1479</v>
      </c>
      <c r="K20" s="16" t="s">
        <v>1508</v>
      </c>
      <c r="L20" s="16" t="s">
        <v>1416</v>
      </c>
      <c r="M20" s="16" t="s">
        <v>1532</v>
      </c>
      <c r="N20" s="16" t="s">
        <v>1462</v>
      </c>
      <c r="O20" s="16" t="s">
        <v>1490</v>
      </c>
      <c r="P20" s="16" t="s">
        <v>1519</v>
      </c>
      <c r="Q20" s="1" t="str">
        <f t="shared" si="1"/>
        <v>a) a) Was found to have disrupted utility companies’ computer systems.</v>
      </c>
      <c r="R20" s="21"/>
    </row>
    <row r="21" spans="1:24" ht="65.25" customHeight="1" x14ac:dyDescent="0.25">
      <c r="A21" s="16"/>
      <c r="B21" s="16"/>
      <c r="C21" s="16"/>
      <c r="D21" s="16"/>
      <c r="E21" s="16"/>
      <c r="F21" s="16"/>
      <c r="G21" s="16"/>
      <c r="H21" s="16"/>
      <c r="I21" s="16"/>
      <c r="J21" s="16"/>
      <c r="K21" s="16"/>
      <c r="L21" s="16"/>
      <c r="M21" s="16"/>
      <c r="N21" s="16"/>
      <c r="O21" s="16"/>
      <c r="P21" s="16"/>
      <c r="R21" s="21"/>
    </row>
    <row r="22" spans="1:24" ht="65.25" customHeight="1" x14ac:dyDescent="0.25">
      <c r="A22" s="17"/>
      <c r="B22" s="17"/>
      <c r="C22" s="17">
        <v>2</v>
      </c>
      <c r="D22" s="17" t="s">
        <v>35</v>
      </c>
      <c r="E22" s="17">
        <v>1</v>
      </c>
      <c r="F22" s="17" t="s">
        <v>1760</v>
      </c>
      <c r="G22" s="17" t="s">
        <v>276</v>
      </c>
      <c r="H22" s="17" t="s">
        <v>277</v>
      </c>
      <c r="I22" s="17" t="s">
        <v>278</v>
      </c>
      <c r="J22" s="17" t="s">
        <v>279</v>
      </c>
      <c r="K22" s="17" t="s">
        <v>36</v>
      </c>
      <c r="L22" s="17" t="s">
        <v>37</v>
      </c>
      <c r="M22" s="17" t="s">
        <v>280</v>
      </c>
      <c r="N22" s="17" t="s">
        <v>281</v>
      </c>
      <c r="O22" s="17" t="s">
        <v>282</v>
      </c>
      <c r="P22" s="17" t="s">
        <v>283</v>
      </c>
    </row>
    <row r="23" spans="1:24" ht="65.25" customHeight="1" x14ac:dyDescent="0.25">
      <c r="A23" s="17"/>
      <c r="B23" s="17"/>
      <c r="C23" s="17"/>
      <c r="D23" s="17" t="s">
        <v>2068</v>
      </c>
      <c r="E23" s="17">
        <v>2</v>
      </c>
      <c r="F23" s="17" t="s">
        <v>284</v>
      </c>
      <c r="G23" s="17" t="s">
        <v>285</v>
      </c>
      <c r="H23" s="17" t="s">
        <v>286</v>
      </c>
      <c r="I23" s="17" t="s">
        <v>287</v>
      </c>
      <c r="J23" s="17" t="s">
        <v>288</v>
      </c>
      <c r="K23" s="17" t="s">
        <v>289</v>
      </c>
      <c r="L23" s="17" t="s">
        <v>38</v>
      </c>
      <c r="M23" s="17" t="s">
        <v>290</v>
      </c>
      <c r="N23" s="17" t="s">
        <v>291</v>
      </c>
      <c r="O23" s="17" t="s">
        <v>292</v>
      </c>
      <c r="P23" s="17" t="s">
        <v>293</v>
      </c>
    </row>
    <row r="24" spans="1:24" ht="65.25" customHeight="1" x14ac:dyDescent="0.25">
      <c r="A24" s="17"/>
      <c r="B24" s="17"/>
      <c r="C24" s="17"/>
      <c r="D24" s="17" t="s">
        <v>359</v>
      </c>
      <c r="E24" s="17">
        <v>3</v>
      </c>
      <c r="F24" s="17" t="s">
        <v>1761</v>
      </c>
      <c r="G24" s="17" t="s">
        <v>39</v>
      </c>
      <c r="H24" s="17" t="s">
        <v>294</v>
      </c>
      <c r="I24" s="17" t="s">
        <v>295</v>
      </c>
      <c r="J24" s="17" t="s">
        <v>1780</v>
      </c>
      <c r="K24" s="17" t="s">
        <v>296</v>
      </c>
      <c r="L24" s="17" t="s">
        <v>40</v>
      </c>
      <c r="M24" s="17" t="s">
        <v>297</v>
      </c>
      <c r="N24" s="17" t="s">
        <v>298</v>
      </c>
      <c r="O24" s="17" t="s">
        <v>299</v>
      </c>
      <c r="P24" s="17" t="s">
        <v>300</v>
      </c>
    </row>
    <row r="25" spans="1:24" ht="65.25" customHeight="1" x14ac:dyDescent="0.25">
      <c r="A25" s="17"/>
      <c r="B25" s="17"/>
      <c r="C25" s="17"/>
      <c r="D25" s="17"/>
      <c r="E25" s="17">
        <v>4</v>
      </c>
      <c r="F25" s="17" t="s">
        <v>301</v>
      </c>
      <c r="G25" s="17" t="s">
        <v>41</v>
      </c>
      <c r="H25" s="17" t="s">
        <v>302</v>
      </c>
      <c r="I25" s="17" t="s">
        <v>303</v>
      </c>
      <c r="J25" s="17" t="s">
        <v>304</v>
      </c>
      <c r="K25" s="17" t="s">
        <v>305</v>
      </c>
      <c r="L25" s="17" t="s">
        <v>42</v>
      </c>
      <c r="M25" s="17" t="s">
        <v>306</v>
      </c>
      <c r="N25" s="17" t="s">
        <v>307</v>
      </c>
      <c r="O25" s="17" t="s">
        <v>308</v>
      </c>
      <c r="P25" s="17" t="s">
        <v>309</v>
      </c>
    </row>
    <row r="26" spans="1:24" ht="65.25" customHeight="1" x14ac:dyDescent="0.25">
      <c r="A26" s="17"/>
      <c r="B26" s="17"/>
      <c r="C26" s="17"/>
      <c r="D26" s="17"/>
      <c r="E26" s="17">
        <v>5</v>
      </c>
      <c r="F26" s="17" t="s">
        <v>310</v>
      </c>
      <c r="G26" s="17" t="s">
        <v>43</v>
      </c>
      <c r="H26" s="17" t="s">
        <v>311</v>
      </c>
      <c r="I26" s="17" t="s">
        <v>312</v>
      </c>
      <c r="J26" s="17" t="s">
        <v>313</v>
      </c>
      <c r="K26" s="17" t="s">
        <v>314</v>
      </c>
      <c r="L26" s="17" t="s">
        <v>44</v>
      </c>
      <c r="M26" s="17" t="s">
        <v>315</v>
      </c>
      <c r="N26" s="17" t="s">
        <v>316</v>
      </c>
      <c r="O26" s="17" t="s">
        <v>317</v>
      </c>
      <c r="P26" s="17" t="s">
        <v>318</v>
      </c>
    </row>
    <row r="27" spans="1:24" ht="65.25" customHeight="1" x14ac:dyDescent="0.25">
      <c r="A27" s="17"/>
      <c r="B27" s="17"/>
      <c r="C27" s="17"/>
      <c r="D27" s="17"/>
      <c r="E27" s="17">
        <v>6</v>
      </c>
      <c r="F27" s="17" t="s">
        <v>319</v>
      </c>
      <c r="G27" s="17" t="s">
        <v>45</v>
      </c>
      <c r="H27" s="17" t="s">
        <v>1781</v>
      </c>
      <c r="I27" s="17" t="s">
        <v>320</v>
      </c>
      <c r="J27" s="17" t="s">
        <v>321</v>
      </c>
      <c r="K27" s="17" t="s">
        <v>322</v>
      </c>
      <c r="L27" s="17" t="s">
        <v>46</v>
      </c>
      <c r="M27" s="17" t="s">
        <v>323</v>
      </c>
      <c r="N27" s="17" t="s">
        <v>324</v>
      </c>
      <c r="O27" s="17" t="s">
        <v>325</v>
      </c>
      <c r="P27" s="17" t="s">
        <v>326</v>
      </c>
    </row>
    <row r="28" spans="1:24" ht="65.25" customHeight="1" x14ac:dyDescent="0.25">
      <c r="A28" s="17"/>
      <c r="B28" s="17"/>
      <c r="C28" s="17"/>
      <c r="D28" s="17"/>
      <c r="E28" s="17">
        <v>7</v>
      </c>
      <c r="F28" s="17" t="s">
        <v>429</v>
      </c>
      <c r="G28" s="17" t="s">
        <v>47</v>
      </c>
      <c r="H28" s="17" t="s">
        <v>327</v>
      </c>
      <c r="I28" s="17" t="s">
        <v>328</v>
      </c>
      <c r="J28" s="17" t="s">
        <v>329</v>
      </c>
      <c r="K28" s="17" t="s">
        <v>330</v>
      </c>
      <c r="L28" s="17" t="s">
        <v>48</v>
      </c>
      <c r="M28" s="17" t="s">
        <v>331</v>
      </c>
      <c r="N28" s="17" t="s">
        <v>332</v>
      </c>
      <c r="O28" s="17" t="s">
        <v>333</v>
      </c>
      <c r="P28" s="17" t="s">
        <v>334</v>
      </c>
    </row>
    <row r="29" spans="1:24" ht="65.25" customHeight="1" x14ac:dyDescent="0.25">
      <c r="A29" s="17"/>
      <c r="B29" s="17"/>
      <c r="C29" s="17"/>
      <c r="D29" s="17"/>
      <c r="E29" s="17">
        <v>8</v>
      </c>
      <c r="F29" s="17" t="s">
        <v>1762</v>
      </c>
      <c r="G29" s="17" t="s">
        <v>1769</v>
      </c>
      <c r="H29" s="17" t="s">
        <v>335</v>
      </c>
      <c r="I29" s="17" t="s">
        <v>336</v>
      </c>
      <c r="J29" s="17" t="s">
        <v>337</v>
      </c>
      <c r="K29" s="17" t="s">
        <v>338</v>
      </c>
      <c r="L29" s="17" t="s">
        <v>49</v>
      </c>
      <c r="M29" s="17" t="s">
        <v>339</v>
      </c>
      <c r="N29" s="17" t="s">
        <v>340</v>
      </c>
      <c r="O29" s="17" t="s">
        <v>341</v>
      </c>
      <c r="P29" s="17" t="s">
        <v>342</v>
      </c>
    </row>
    <row r="30" spans="1:24" ht="65.25" customHeight="1" x14ac:dyDescent="0.25">
      <c r="A30" s="17"/>
      <c r="B30" s="17"/>
      <c r="C30" s="17"/>
      <c r="D30" s="17"/>
      <c r="E30" s="17">
        <v>9</v>
      </c>
      <c r="F30" s="17" t="s">
        <v>1763</v>
      </c>
      <c r="G30" s="17" t="s">
        <v>50</v>
      </c>
      <c r="H30" s="17" t="s">
        <v>343</v>
      </c>
      <c r="I30" s="17" t="s">
        <v>344</v>
      </c>
      <c r="J30" s="17" t="s">
        <v>345</v>
      </c>
      <c r="K30" s="17" t="s">
        <v>346</v>
      </c>
      <c r="L30" s="17" t="s">
        <v>51</v>
      </c>
      <c r="M30" s="17" t="s">
        <v>347</v>
      </c>
      <c r="N30" s="17" t="s">
        <v>348</v>
      </c>
      <c r="O30" s="17" t="s">
        <v>349</v>
      </c>
      <c r="P30" s="17" t="s">
        <v>350</v>
      </c>
    </row>
    <row r="31" spans="1:24" ht="65.25" customHeight="1" x14ac:dyDescent="0.25">
      <c r="A31" s="17"/>
      <c r="B31" s="17"/>
      <c r="C31" s="17"/>
      <c r="D31" s="17"/>
      <c r="E31" s="17">
        <v>10</v>
      </c>
      <c r="F31" s="17" t="s">
        <v>351</v>
      </c>
      <c r="G31" s="17" t="s">
        <v>52</v>
      </c>
      <c r="H31" s="17" t="s">
        <v>352</v>
      </c>
      <c r="I31" s="17" t="s">
        <v>353</v>
      </c>
      <c r="J31" s="17" t="s">
        <v>354</v>
      </c>
      <c r="K31" s="17" t="s">
        <v>355</v>
      </c>
      <c r="L31" s="17" t="s">
        <v>53</v>
      </c>
      <c r="M31" s="17" t="s">
        <v>356</v>
      </c>
      <c r="N31" s="17" t="s">
        <v>357</v>
      </c>
      <c r="O31" s="17" t="s">
        <v>1782</v>
      </c>
      <c r="P31" s="17" t="s">
        <v>358</v>
      </c>
    </row>
    <row r="32" spans="1:24" ht="65.25" customHeight="1" x14ac:dyDescent="0.25">
      <c r="A32" s="17"/>
      <c r="B32" s="17"/>
      <c r="C32" s="17"/>
      <c r="D32" s="17"/>
      <c r="E32" s="17">
        <v>11</v>
      </c>
      <c r="F32" s="17" t="s">
        <v>1764</v>
      </c>
      <c r="G32" s="17" t="s">
        <v>1770</v>
      </c>
      <c r="H32" s="17" t="s">
        <v>1783</v>
      </c>
      <c r="I32" s="17" t="s">
        <v>1784</v>
      </c>
      <c r="J32" s="17" t="s">
        <v>1785</v>
      </c>
      <c r="K32" s="17" t="s">
        <v>1786</v>
      </c>
      <c r="L32" s="17" t="s">
        <v>1775</v>
      </c>
      <c r="M32" s="17" t="s">
        <v>1803</v>
      </c>
      <c r="N32" s="17" t="s">
        <v>1804</v>
      </c>
      <c r="O32" s="17" t="s">
        <v>1805</v>
      </c>
      <c r="P32" s="17" t="s">
        <v>1806</v>
      </c>
      <c r="Q32" s="1" t="str">
        <f>CONCATENATE("a) ",H32)</f>
        <v>a) a) They were worried about losing financial support</v>
      </c>
      <c r="R32" s="1" t="str">
        <f>CONCATENATE("b) ",I32)</f>
        <v>b) b) They were worried about escalating gang violence</v>
      </c>
      <c r="S32" s="1" t="str">
        <f>CONCATENATE("c) ",J32)</f>
        <v>c) c) They are opposed to the federal government</v>
      </c>
      <c r="T32" s="1" t="str">
        <f>CONCATENATE("d) ",K32)</f>
        <v>d) d) They are active in the “war on drugs.”</v>
      </c>
      <c r="U32" s="1" t="str">
        <f>CONCATENATE("a) ",M32)</f>
        <v>a) a) The resolution that was passed called for the legalization of cannibas in the US</v>
      </c>
      <c r="V32" s="1" t="str">
        <f>CONCATENATE("b) ",N32)</f>
        <v>b) b) A presidential summit on the drug war was held</v>
      </c>
      <c r="W32" s="1" t="str">
        <f>CONCATENATE("c) ",O32)</f>
        <v>c) c) If cannibas were legalized in the US, drug dealers would lose money</v>
      </c>
      <c r="X32" s="1" t="str">
        <f>CONCATENATE("d) ",P32)</f>
        <v>d) d) If cannibas were legalized in the US, the war on drugs would become more dangerous</v>
      </c>
    </row>
    <row r="33" spans="1:24" ht="65.25" customHeight="1" x14ac:dyDescent="0.25">
      <c r="A33" s="17"/>
      <c r="B33" s="17"/>
      <c r="C33" s="17"/>
      <c r="D33" s="17"/>
      <c r="E33" s="17">
        <v>12</v>
      </c>
      <c r="F33" s="17" t="s">
        <v>1765</v>
      </c>
      <c r="G33" s="17" t="s">
        <v>1771</v>
      </c>
      <c r="H33" s="17" t="s">
        <v>1787</v>
      </c>
      <c r="I33" s="17" t="s">
        <v>1788</v>
      </c>
      <c r="J33" s="17" t="s">
        <v>1789</v>
      </c>
      <c r="K33" s="17" t="s">
        <v>1790</v>
      </c>
      <c r="L33" s="17" t="s">
        <v>1776</v>
      </c>
      <c r="M33" s="17" t="s">
        <v>1807</v>
      </c>
      <c r="N33" s="17" t="s">
        <v>1808</v>
      </c>
      <c r="O33" s="17" t="s">
        <v>1809</v>
      </c>
      <c r="P33" s="17" t="s">
        <v>1810</v>
      </c>
      <c r="Q33" s="1" t="str">
        <f t="shared" ref="Q33:Q36" si="2">CONCATENATE("a) ",H33)</f>
        <v>a) a) The audience enjoyed Rodolfo Gregorio’s version of “My Prayer.”</v>
      </c>
      <c r="R33" s="1" t="str">
        <f t="shared" ref="R33:R36" si="3">CONCATENATE("b) ",I33)</f>
        <v>b) b) No-one listened to Rodolfo Gregorio singing “My Prayer.”</v>
      </c>
      <c r="S33" s="1" t="str">
        <f t="shared" ref="S33:S36" si="4">CONCATENATE("c) ",J33)</f>
        <v>c) c) Rodolfo Gregorio is not a good singer</v>
      </c>
      <c r="T33" s="1" t="str">
        <f t="shared" ref="T33:T36" si="5">CONCATENATE("d) ",K33)</f>
        <v>d) d) There was no-one in the room when Rodolfo Gregorio sang “My Prayer.”</v>
      </c>
      <c r="U33" s="1" t="str">
        <f t="shared" ref="U33:U36" si="6">CONCATENATE("a) ",M33)</f>
        <v>a) a) Frank Sinatra is not popular in the Philippines</v>
      </c>
      <c r="V33" s="1" t="str">
        <f t="shared" ref="V33:V36" si="7">CONCATENATE("b) ",N33)</f>
        <v>b) b) Frank Sinatra has performed in the Philippines</v>
      </c>
      <c r="W33" s="1" t="str">
        <f t="shared" ref="W33:W36" si="8">CONCATENATE("c) ",O33)</f>
        <v>c) c) A lot of Filipino karaoke bars don’t feature “My Way” anymore</v>
      </c>
      <c r="X33" s="1" t="str">
        <f t="shared" ref="X33:X36" si="9">CONCATENATE("d) ",P33)</f>
        <v>d) d) A lot of Filipino Karaoke bars widely feature “My Way.”</v>
      </c>
    </row>
    <row r="34" spans="1:24" ht="65.25" customHeight="1" x14ac:dyDescent="0.25">
      <c r="A34" s="17"/>
      <c r="B34" s="17"/>
      <c r="C34" s="17"/>
      <c r="D34" s="17"/>
      <c r="E34" s="17">
        <v>13</v>
      </c>
      <c r="F34" s="17" t="s">
        <v>1766</v>
      </c>
      <c r="G34" s="17" t="s">
        <v>1772</v>
      </c>
      <c r="H34" s="17" t="s">
        <v>1791</v>
      </c>
      <c r="I34" s="17" t="s">
        <v>1792</v>
      </c>
      <c r="J34" s="17" t="s">
        <v>1793</v>
      </c>
      <c r="K34" s="17" t="s">
        <v>1794</v>
      </c>
      <c r="L34" s="17" t="s">
        <v>1777</v>
      </c>
      <c r="M34" s="17" t="s">
        <v>1811</v>
      </c>
      <c r="N34" s="17" t="s">
        <v>1812</v>
      </c>
      <c r="O34" s="17" t="s">
        <v>1813</v>
      </c>
      <c r="P34" s="17" t="s">
        <v>1814</v>
      </c>
      <c r="Q34" s="1" t="str">
        <f t="shared" si="2"/>
        <v>a) a) Can see the benefits of the satellite mapping scheme</v>
      </c>
      <c r="R34" s="1" t="str">
        <f t="shared" si="3"/>
        <v>b) b) Are worried they will have to leave their homes</v>
      </c>
      <c r="S34" s="1" t="str">
        <f t="shared" si="4"/>
        <v>c) c) All work as cleaners</v>
      </c>
      <c r="T34" s="1" t="str">
        <f t="shared" si="5"/>
        <v>d) d) Practice recycling</v>
      </c>
      <c r="U34" s="1" t="str">
        <f t="shared" si="6"/>
        <v>a) a) Sprang up spontaneously</v>
      </c>
      <c r="V34" s="1" t="str">
        <f t="shared" si="7"/>
        <v>b) b) Have managed to get the criminal element under control</v>
      </c>
      <c r="W34" s="1" t="str">
        <f t="shared" si="8"/>
        <v>c) c) Are developing basic services and facilities</v>
      </c>
      <c r="X34" s="1" t="str">
        <f t="shared" si="9"/>
        <v>d) d) Are providing new employment opportunities</v>
      </c>
    </row>
    <row r="35" spans="1:24" ht="65.25" customHeight="1" x14ac:dyDescent="0.25">
      <c r="A35" s="17"/>
      <c r="B35" s="17"/>
      <c r="C35" s="17"/>
      <c r="D35" s="17"/>
      <c r="E35" s="17">
        <v>14</v>
      </c>
      <c r="F35" s="17" t="s">
        <v>1767</v>
      </c>
      <c r="G35" s="17" t="s">
        <v>1773</v>
      </c>
      <c r="H35" s="17" t="s">
        <v>1795</v>
      </c>
      <c r="I35" s="17" t="s">
        <v>1796</v>
      </c>
      <c r="J35" s="17" t="s">
        <v>1797</v>
      </c>
      <c r="K35" s="17" t="s">
        <v>1798</v>
      </c>
      <c r="L35" s="17" t="s">
        <v>1778</v>
      </c>
      <c r="M35" s="17" t="s">
        <v>1815</v>
      </c>
      <c r="N35" s="17" t="s">
        <v>1816</v>
      </c>
      <c r="O35" s="17" t="s">
        <v>1817</v>
      </c>
      <c r="P35" s="17" t="s">
        <v>1818</v>
      </c>
      <c r="Q35" s="1" t="str">
        <f t="shared" si="2"/>
        <v>a) a) Globalization has been the solution to the world’s ills</v>
      </c>
      <c r="R35" s="1" t="str">
        <f t="shared" si="3"/>
        <v>b) b) Nationalism is disappearing</v>
      </c>
      <c r="S35" s="1" t="str">
        <f t="shared" si="4"/>
        <v>c) c) Tribalists have a tendency to be prejudiced</v>
      </c>
      <c r="T35" s="1" t="str">
        <f t="shared" si="5"/>
        <v>d) d) Democracy is due to the collapse of communism</v>
      </c>
      <c r="U35" s="1" t="str">
        <f t="shared" si="6"/>
        <v>a) a) That South Africa has become a Utopia</v>
      </c>
      <c r="V35" s="1" t="str">
        <f t="shared" si="7"/>
        <v>b) b) That South Africa has become more corrupt</v>
      </c>
      <c r="W35" s="1" t="str">
        <f t="shared" si="8"/>
        <v>c) c) That South Africa no longer has tribes</v>
      </c>
      <c r="X35" s="1" t="str">
        <f t="shared" si="9"/>
        <v>d) d) That humanity has renewed hope</v>
      </c>
    </row>
    <row r="36" spans="1:24" ht="65.25" customHeight="1" x14ac:dyDescent="0.25">
      <c r="A36" s="17"/>
      <c r="B36" s="17"/>
      <c r="C36" s="17"/>
      <c r="D36" s="17"/>
      <c r="E36" s="17">
        <v>15</v>
      </c>
      <c r="F36" s="17" t="s">
        <v>1768</v>
      </c>
      <c r="G36" s="17" t="s">
        <v>1774</v>
      </c>
      <c r="H36" s="17" t="s">
        <v>1799</v>
      </c>
      <c r="I36" s="17" t="s">
        <v>1800</v>
      </c>
      <c r="J36" s="17" t="s">
        <v>1801</v>
      </c>
      <c r="K36" s="17" t="s">
        <v>1802</v>
      </c>
      <c r="L36" s="17" t="s">
        <v>1779</v>
      </c>
      <c r="M36" s="17" t="s">
        <v>1819</v>
      </c>
      <c r="N36" s="17" t="s">
        <v>1820</v>
      </c>
      <c r="O36" s="17" t="s">
        <v>1821</v>
      </c>
      <c r="P36" s="17" t="s">
        <v>1822</v>
      </c>
      <c r="Q36" s="1" t="str">
        <f t="shared" si="2"/>
        <v>a) a) Has an emergency supply of food in her home</v>
      </c>
      <c r="R36" s="1" t="str">
        <f t="shared" si="3"/>
        <v>b) b) Believes a disaster is imminent.</v>
      </c>
      <c r="S36" s="1" t="str">
        <f t="shared" si="4"/>
        <v>c) c) Has taken up hunting</v>
      </c>
      <c r="T36" s="1" t="str">
        <f t="shared" si="5"/>
        <v>d) d) Is planning to leave her suburban home</v>
      </c>
      <c r="U36" s="1" t="str">
        <f t="shared" si="6"/>
        <v>a) a) ‘Preppers’ are usually military people</v>
      </c>
      <c r="V36" s="1" t="str">
        <f t="shared" si="7"/>
        <v>b) b) ‘Prepping’ began in response to the 9/11 terrorist attacks</v>
      </c>
      <c r="W36" s="1" t="str">
        <f t="shared" si="8"/>
        <v>c) c) ‘Preppers’ usually live in remote locations</v>
      </c>
      <c r="X36" s="1" t="str">
        <f t="shared" si="9"/>
        <v>d) d) Many Americans fear further terrorist attacks</v>
      </c>
    </row>
    <row r="37" spans="1:24" ht="65.25" customHeight="1" x14ac:dyDescent="0.25">
      <c r="A37" s="17"/>
      <c r="B37" s="17"/>
      <c r="C37" s="17"/>
      <c r="D37" s="17"/>
      <c r="E37" s="17"/>
      <c r="F37" s="17"/>
      <c r="G37" s="17"/>
      <c r="H37" s="17"/>
      <c r="I37" s="17"/>
      <c r="J37" s="17"/>
      <c r="K37" s="17"/>
      <c r="L37" s="17"/>
      <c r="M37" s="17"/>
      <c r="N37" s="17"/>
      <c r="O37" s="17"/>
      <c r="P37" s="17"/>
    </row>
    <row r="38" spans="1:24" ht="65.25" customHeight="1" x14ac:dyDescent="0.25">
      <c r="A38" s="18"/>
      <c r="B38" s="18"/>
      <c r="C38" s="18">
        <v>3</v>
      </c>
      <c r="D38" s="18" t="s">
        <v>153</v>
      </c>
      <c r="E38" s="18">
        <v>1</v>
      </c>
      <c r="F38" s="18" t="s">
        <v>1555</v>
      </c>
      <c r="G38" s="18" t="s">
        <v>1614</v>
      </c>
      <c r="H38" s="18" t="s">
        <v>1589</v>
      </c>
      <c r="I38" s="18" t="s">
        <v>2131</v>
      </c>
      <c r="J38" s="18" t="s">
        <v>2164</v>
      </c>
      <c r="K38" s="18" t="s">
        <v>1580</v>
      </c>
      <c r="L38" s="18" t="s">
        <v>1615</v>
      </c>
      <c r="M38" s="18" t="s">
        <v>2153</v>
      </c>
      <c r="N38" s="18" t="s">
        <v>521</v>
      </c>
      <c r="O38" s="18" t="s">
        <v>2147</v>
      </c>
      <c r="P38" s="18" t="s">
        <v>1571</v>
      </c>
      <c r="R38" s="1" t="str">
        <f>CONCATENATE("b) ",J38)</f>
        <v>b) c) People who are shown to be prone to illness find it difficult to obtain health insurance</v>
      </c>
      <c r="S38" s="1" t="str">
        <f>CONCATENATE("b) ",N38)</f>
        <v>b) b) Dealing with legal issues can prove costly for doctors</v>
      </c>
      <c r="T38" s="1" t="str">
        <f>CONCATENATE("c) ",O38)</f>
        <v>c) c) Medicare costs have recently dwindled</v>
      </c>
    </row>
    <row r="39" spans="1:24" ht="65.25" customHeight="1" x14ac:dyDescent="0.25">
      <c r="A39" s="18"/>
      <c r="B39" s="18"/>
      <c r="C39" s="18"/>
      <c r="D39" s="18" t="s">
        <v>2068</v>
      </c>
      <c r="E39" s="18">
        <v>2</v>
      </c>
      <c r="F39" s="18" t="s">
        <v>1556</v>
      </c>
      <c r="G39" s="18" t="s">
        <v>1616</v>
      </c>
      <c r="H39" s="18" t="s">
        <v>492</v>
      </c>
      <c r="I39" s="18" t="s">
        <v>2132</v>
      </c>
      <c r="J39" s="18" t="s">
        <v>2165</v>
      </c>
      <c r="K39" s="18" t="s">
        <v>493</v>
      </c>
      <c r="L39" s="18" t="s">
        <v>1617</v>
      </c>
      <c r="M39" s="18" t="s">
        <v>2154</v>
      </c>
      <c r="N39" s="18" t="s">
        <v>1600</v>
      </c>
      <c r="O39" s="18" t="s">
        <v>494</v>
      </c>
      <c r="P39" s="18" t="s">
        <v>495</v>
      </c>
      <c r="Q39" s="1" t="str">
        <f t="shared" ref="Q39:Q53" si="10">CONCATENATE("c) ",I39)</f>
        <v>c) b) He is influenced by an overactive imagination</v>
      </c>
      <c r="R39" s="1" t="str">
        <f t="shared" ref="R39:R53" si="11">CONCATENATE("b) ",J39)</f>
        <v>b) c) He doesn’t remember his violent dreams</v>
      </c>
      <c r="S39" s="1" t="str">
        <f t="shared" ref="S39:S53" si="12">CONCATENATE("b) ",N39)</f>
        <v>b) b) Been absolved of committing crimes while sleepwalking</v>
      </c>
      <c r="T39" s="1" t="str">
        <f t="shared" ref="T39:T53" si="13">CONCATENATE("c) ",O39)</f>
        <v>c) c) Pretended to be asleep while committing a crime</v>
      </c>
    </row>
    <row r="40" spans="1:24" ht="65.25" customHeight="1" x14ac:dyDescent="0.25">
      <c r="A40" s="18"/>
      <c r="B40" s="18"/>
      <c r="C40" s="18"/>
      <c r="D40" s="18" t="s">
        <v>359</v>
      </c>
      <c r="E40" s="18">
        <v>3</v>
      </c>
      <c r="F40" s="18" t="s">
        <v>1557</v>
      </c>
      <c r="G40" s="18" t="s">
        <v>1618</v>
      </c>
      <c r="H40" s="18" t="s">
        <v>496</v>
      </c>
      <c r="I40" s="18" t="s">
        <v>2133</v>
      </c>
      <c r="J40" s="18" t="s">
        <v>2166</v>
      </c>
      <c r="K40" s="18" t="s">
        <v>497</v>
      </c>
      <c r="L40" s="18" t="s">
        <v>1619</v>
      </c>
      <c r="M40" s="18" t="s">
        <v>2155</v>
      </c>
      <c r="N40" s="18" t="s">
        <v>498</v>
      </c>
      <c r="O40" s="18" t="s">
        <v>499</v>
      </c>
      <c r="P40" s="18" t="s">
        <v>500</v>
      </c>
      <c r="Q40" s="1" t="str">
        <f t="shared" si="10"/>
        <v>c) b) Is typically Bolivian</v>
      </c>
      <c r="R40" s="1" t="str">
        <f t="shared" si="11"/>
        <v>b) c) Differs from his fellow countrymen regarding promptness</v>
      </c>
      <c r="S40" s="1" t="str">
        <f t="shared" si="12"/>
        <v>b) b) Penalize Bolivians who arrive late for work</v>
      </c>
      <c r="T40" s="1" t="str">
        <f t="shared" si="13"/>
        <v>c) c) Change the national habit of arriving late in many different circumstances</v>
      </c>
    </row>
    <row r="41" spans="1:24" ht="65.25" customHeight="1" x14ac:dyDescent="0.25">
      <c r="A41" s="18"/>
      <c r="B41" s="18"/>
      <c r="C41" s="18"/>
      <c r="D41" s="18"/>
      <c r="E41" s="18">
        <v>4</v>
      </c>
      <c r="F41" s="18" t="s">
        <v>1558</v>
      </c>
      <c r="G41" s="18" t="s">
        <v>1620</v>
      </c>
      <c r="H41" s="18" t="s">
        <v>501</v>
      </c>
      <c r="I41" s="18" t="s">
        <v>2134</v>
      </c>
      <c r="J41" s="18" t="s">
        <v>2167</v>
      </c>
      <c r="K41" s="18" t="s">
        <v>502</v>
      </c>
      <c r="L41" s="18" t="s">
        <v>1621</v>
      </c>
      <c r="M41" s="18" t="s">
        <v>2156</v>
      </c>
      <c r="N41" s="18" t="s">
        <v>505</v>
      </c>
      <c r="O41" s="18" t="s">
        <v>503</v>
      </c>
      <c r="P41" s="18" t="s">
        <v>504</v>
      </c>
      <c r="Q41" s="1" t="str">
        <f t="shared" si="10"/>
        <v>c) b) Approve the use of proper nouns in Scrabble</v>
      </c>
      <c r="R41" s="1" t="str">
        <f t="shared" si="11"/>
        <v>b) c) Eliminate the use of proper nouns in Scrabble</v>
      </c>
      <c r="S41" s="1" t="str">
        <f t="shared" si="12"/>
        <v>b) b) Scrabble will appeal more to intellectual fans</v>
      </c>
      <c r="T41" s="1" t="str">
        <f t="shared" si="13"/>
        <v>c) c) Scrabble will become more difficult</v>
      </c>
    </row>
    <row r="42" spans="1:24" ht="65.25" customHeight="1" x14ac:dyDescent="0.25">
      <c r="A42" s="18"/>
      <c r="B42" s="18"/>
      <c r="C42" s="18"/>
      <c r="D42" s="18"/>
      <c r="E42" s="18">
        <v>5</v>
      </c>
      <c r="F42" s="18" t="s">
        <v>1559</v>
      </c>
      <c r="G42" s="18" t="s">
        <v>1622</v>
      </c>
      <c r="H42" s="18" t="s">
        <v>506</v>
      </c>
      <c r="I42" s="18" t="s">
        <v>2135</v>
      </c>
      <c r="J42" s="18" t="s">
        <v>2168</v>
      </c>
      <c r="K42" s="18" t="s">
        <v>507</v>
      </c>
      <c r="L42" s="18" t="s">
        <v>1623</v>
      </c>
      <c r="M42" s="18" t="s">
        <v>2157</v>
      </c>
      <c r="N42" s="18" t="s">
        <v>1601</v>
      </c>
      <c r="O42" s="18" t="s">
        <v>508</v>
      </c>
      <c r="P42" s="18" t="s">
        <v>1572</v>
      </c>
      <c r="Q42" s="1" t="str">
        <f t="shared" si="10"/>
        <v>c) b) Cynical</v>
      </c>
      <c r="R42" s="1" t="str">
        <f t="shared" si="11"/>
        <v>b) c) Pessimistic</v>
      </c>
      <c r="S42" s="1" t="str">
        <f t="shared" si="12"/>
        <v>b) b) Emulate the British tradition of publishing April Fools’ Day jokes in the press</v>
      </c>
      <c r="T42" s="1" t="str">
        <f t="shared" si="13"/>
        <v>c) c) Replace the mayor of Jafr</v>
      </c>
    </row>
    <row r="43" spans="1:24" ht="65.25" customHeight="1" x14ac:dyDescent="0.25">
      <c r="A43" s="18"/>
      <c r="B43" s="18"/>
      <c r="C43" s="18"/>
      <c r="D43" s="18"/>
      <c r="E43" s="18">
        <v>6</v>
      </c>
      <c r="F43" s="18" t="s">
        <v>1560</v>
      </c>
      <c r="G43" s="18" t="s">
        <v>1624</v>
      </c>
      <c r="H43" s="18" t="s">
        <v>1590</v>
      </c>
      <c r="I43" s="18" t="s">
        <v>2136</v>
      </c>
      <c r="J43" s="18" t="s">
        <v>2169</v>
      </c>
      <c r="K43" s="18" t="s">
        <v>1581</v>
      </c>
      <c r="L43" s="18" t="s">
        <v>1625</v>
      </c>
      <c r="M43" s="18" t="s">
        <v>2158</v>
      </c>
      <c r="N43" s="18" t="s">
        <v>510</v>
      </c>
      <c r="O43" s="18" t="s">
        <v>509</v>
      </c>
      <c r="P43" s="18" t="s">
        <v>1573</v>
      </c>
      <c r="Q43" s="1" t="str">
        <f t="shared" si="10"/>
        <v>c) b) Bill Gates’ ideas have fallen behind the times</v>
      </c>
      <c r="R43" s="1" t="str">
        <f t="shared" si="11"/>
        <v>b) c) The ideals of environmentalists and those of Bill Gates diverge on the nuclear issue</v>
      </c>
      <c r="S43" s="1" t="str">
        <f t="shared" si="12"/>
        <v>b) b) Is certain that the micro-reactors will begin production in 2014</v>
      </c>
      <c r="T43" s="1" t="str">
        <f t="shared" si="13"/>
        <v>c) c) Will negotiate with Toshiba in 2014</v>
      </c>
    </row>
    <row r="44" spans="1:24" ht="65.25" customHeight="1" x14ac:dyDescent="0.25">
      <c r="A44" s="18"/>
      <c r="B44" s="18"/>
      <c r="C44" s="18"/>
      <c r="D44" s="18"/>
      <c r="E44" s="18">
        <v>7</v>
      </c>
      <c r="F44" s="18" t="s">
        <v>1561</v>
      </c>
      <c r="G44" s="18" t="s">
        <v>1626</v>
      </c>
      <c r="H44" s="18" t="s">
        <v>1591</v>
      </c>
      <c r="I44" s="18" t="s">
        <v>2137</v>
      </c>
      <c r="J44" s="18" t="s">
        <v>2170</v>
      </c>
      <c r="K44" s="18" t="s">
        <v>519</v>
      </c>
      <c r="L44" s="18" t="s">
        <v>1627</v>
      </c>
      <c r="M44" s="18" t="s">
        <v>2159</v>
      </c>
      <c r="N44" s="18" t="s">
        <v>1602</v>
      </c>
      <c r="O44" s="18" t="s">
        <v>1603</v>
      </c>
      <c r="P44" s="18" t="s">
        <v>1574</v>
      </c>
      <c r="Q44" s="1" t="str">
        <f t="shared" si="10"/>
        <v>c) b) There will be a downturn in the growth rate of the U.S. population</v>
      </c>
      <c r="R44" s="1" t="str">
        <f t="shared" si="11"/>
        <v>b) c) The U.S. population will be resourceful and youthful</v>
      </c>
      <c r="S44" s="1" t="str">
        <f t="shared" si="12"/>
        <v>b) b) The U.S. is experiencing a renewed growth as a result of its past</v>
      </c>
      <c r="T44" s="1" t="str">
        <f t="shared" si="13"/>
        <v>c) c) ) The U.S. will experience a decline in economic growth</v>
      </c>
    </row>
    <row r="45" spans="1:24" ht="65.25" customHeight="1" x14ac:dyDescent="0.25">
      <c r="A45" s="18"/>
      <c r="B45" s="18"/>
      <c r="C45" s="18"/>
      <c r="D45" s="18"/>
      <c r="E45" s="18">
        <v>8</v>
      </c>
      <c r="F45" s="18" t="s">
        <v>1562</v>
      </c>
      <c r="G45" s="18" t="s">
        <v>1628</v>
      </c>
      <c r="H45" s="18" t="s">
        <v>1592</v>
      </c>
      <c r="I45" s="18" t="s">
        <v>2138</v>
      </c>
      <c r="J45" s="18" t="s">
        <v>2171</v>
      </c>
      <c r="K45" s="18" t="s">
        <v>520</v>
      </c>
      <c r="L45" s="18" t="s">
        <v>1629</v>
      </c>
      <c r="M45" s="18" t="s">
        <v>2160</v>
      </c>
      <c r="N45" s="18" t="s">
        <v>511</v>
      </c>
      <c r="O45" s="18" t="s">
        <v>512</v>
      </c>
      <c r="P45" s="18" t="s">
        <v>513</v>
      </c>
      <c r="Q45" s="1" t="str">
        <f t="shared" si="10"/>
        <v>c) b) Judges have less power than previously to decide whether a noncitizen will be deported after committing a crime</v>
      </c>
      <c r="R45" s="1" t="str">
        <f t="shared" si="11"/>
        <v>b) c) It is difficult for immigrants to obtain correct legal advice</v>
      </c>
      <c r="S45" s="1" t="str">
        <f t="shared" si="12"/>
        <v>b) b) A scrutiny of the current justice system</v>
      </c>
      <c r="T45" s="1" t="str">
        <f t="shared" si="13"/>
        <v>c) c) The appearance of a number of similar cases</v>
      </c>
    </row>
    <row r="46" spans="1:24" ht="65.25" customHeight="1" x14ac:dyDescent="0.25">
      <c r="A46" s="18"/>
      <c r="B46" s="18"/>
      <c r="C46" s="18"/>
      <c r="D46" s="18"/>
      <c r="E46" s="18">
        <v>9</v>
      </c>
      <c r="F46" s="18" t="s">
        <v>1563</v>
      </c>
      <c r="G46" s="18" t="s">
        <v>1630</v>
      </c>
      <c r="H46" s="18" t="s">
        <v>514</v>
      </c>
      <c r="I46" s="18" t="s">
        <v>2139</v>
      </c>
      <c r="J46" s="18" t="s">
        <v>2172</v>
      </c>
      <c r="K46" s="18" t="s">
        <v>515</v>
      </c>
      <c r="L46" s="18" t="s">
        <v>1631</v>
      </c>
      <c r="M46" s="18" t="s">
        <v>2161</v>
      </c>
      <c r="N46" s="18" t="s">
        <v>516</v>
      </c>
      <c r="O46" s="18" t="s">
        <v>517</v>
      </c>
      <c r="P46" s="18" t="s">
        <v>518</v>
      </c>
      <c r="Q46" s="1" t="str">
        <f t="shared" si="10"/>
        <v>c) b) Dictatorships inspire creative talent</v>
      </c>
      <c r="R46" s="1" t="str">
        <f t="shared" si="11"/>
        <v>b) c) To say that dictatorships are good for artistic life is ridiculous.</v>
      </c>
      <c r="S46" s="1" t="str">
        <f t="shared" si="12"/>
        <v>b) b) The highest ideals of literature and art came from the Soviet Union</v>
      </c>
      <c r="T46" s="1" t="str">
        <f t="shared" si="13"/>
        <v>c) c) Abstract expressionism arose during the cold war</v>
      </c>
    </row>
    <row r="47" spans="1:24" ht="65.25" customHeight="1" x14ac:dyDescent="0.25">
      <c r="A47" s="18"/>
      <c r="B47" s="18"/>
      <c r="C47" s="18"/>
      <c r="D47" s="18"/>
      <c r="E47" s="18">
        <v>10</v>
      </c>
      <c r="F47" s="18" t="s">
        <v>1564</v>
      </c>
      <c r="G47" s="18" t="s">
        <v>1632</v>
      </c>
      <c r="H47" s="18" t="s">
        <v>1593</v>
      </c>
      <c r="I47" s="18" t="s">
        <v>2140</v>
      </c>
      <c r="J47" s="18" t="s">
        <v>2173</v>
      </c>
      <c r="K47" s="18" t="s">
        <v>1582</v>
      </c>
      <c r="L47" s="18" t="s">
        <v>1633</v>
      </c>
      <c r="M47" s="18" t="s">
        <v>2148</v>
      </c>
      <c r="N47" s="18" t="s">
        <v>1604</v>
      </c>
      <c r="O47" s="18" t="s">
        <v>1605</v>
      </c>
      <c r="P47" s="18" t="s">
        <v>1575</v>
      </c>
      <c r="Q47" s="1" t="str">
        <f t="shared" si="10"/>
        <v>c) b) The obesity problem in Malaysia is entirely due to the high number of fast-food restaurants</v>
      </c>
      <c r="R47" s="1" t="str">
        <f t="shared" si="11"/>
        <v>b) c) The obesity campaign was initiated by teachers</v>
      </c>
      <c r="S47" s="1" t="str">
        <f t="shared" si="12"/>
        <v>b) b) Note statistics on the weight of pupils</v>
      </c>
      <c r="T47" s="1" t="str">
        <f t="shared" si="13"/>
        <v>c) c) Start a campaign about the dangers of sugar</v>
      </c>
    </row>
    <row r="48" spans="1:24" ht="65.25" customHeight="1" x14ac:dyDescent="0.25">
      <c r="A48" s="18"/>
      <c r="B48" s="18"/>
      <c r="C48" s="18"/>
      <c r="D48" s="18"/>
      <c r="E48" s="18">
        <v>11</v>
      </c>
      <c r="F48" s="18" t="s">
        <v>1565</v>
      </c>
      <c r="G48" s="18" t="s">
        <v>1634</v>
      </c>
      <c r="H48" s="18" t="s">
        <v>1594</v>
      </c>
      <c r="I48" s="18" t="s">
        <v>2141</v>
      </c>
      <c r="J48" s="18" t="s">
        <v>2174</v>
      </c>
      <c r="K48" s="18" t="s">
        <v>1583</v>
      </c>
      <c r="L48" s="18" t="s">
        <v>1635</v>
      </c>
      <c r="M48" s="18" t="s">
        <v>2149</v>
      </c>
      <c r="N48" s="18" t="s">
        <v>1606</v>
      </c>
      <c r="O48" s="18" t="s">
        <v>1607</v>
      </c>
      <c r="P48" s="18" t="s">
        <v>1576</v>
      </c>
      <c r="Q48" s="1" t="str">
        <f t="shared" si="10"/>
        <v>c) b) The indigenous population tried to prevent Mr. Correa from becoming president</v>
      </c>
      <c r="R48" s="1" t="str">
        <f t="shared" si="11"/>
        <v>b) c) President Correa has fulfilled earlier promises made to the indigenous population</v>
      </c>
      <c r="S48" s="1" t="str">
        <f t="shared" si="12"/>
        <v>b) b) The government of Ecuador was not invited to attend a summit on minority rights</v>
      </c>
      <c r="T48" s="1" t="str">
        <f t="shared" si="13"/>
        <v>c) c) Indigenous communities have contested a water law</v>
      </c>
    </row>
    <row r="49" spans="1:20" ht="65.25" customHeight="1" x14ac:dyDescent="0.25">
      <c r="A49" s="18"/>
      <c r="B49" s="18"/>
      <c r="C49" s="18"/>
      <c r="D49" s="18"/>
      <c r="E49" s="18">
        <v>12</v>
      </c>
      <c r="F49" s="18" t="s">
        <v>1566</v>
      </c>
      <c r="G49" s="18" t="s">
        <v>1686</v>
      </c>
      <c r="H49" s="18" t="s">
        <v>1595</v>
      </c>
      <c r="I49" s="18" t="s">
        <v>2142</v>
      </c>
      <c r="J49" s="18" t="s">
        <v>2175</v>
      </c>
      <c r="K49" s="18" t="s">
        <v>1584</v>
      </c>
      <c r="L49" s="18"/>
      <c r="M49" s="18"/>
      <c r="N49" s="18"/>
      <c r="O49" s="18"/>
      <c r="P49" s="18"/>
      <c r="Q49" s="1" t="str">
        <f t="shared" si="10"/>
        <v>c) b) The firearm experiencing the most rapid sales growth is not stocked at Wal-Mart</v>
      </c>
      <c r="R49" s="1" t="str">
        <f t="shared" si="11"/>
        <v>b) c) Wal-Mart stopped selling firearms due to customer protests</v>
      </c>
      <c r="S49" s="1" t="str">
        <f t="shared" si="12"/>
        <v xml:space="preserve">b) </v>
      </c>
      <c r="T49" s="1" t="str">
        <f t="shared" si="13"/>
        <v xml:space="preserve">c) </v>
      </c>
    </row>
    <row r="50" spans="1:20" ht="65.25" customHeight="1" x14ac:dyDescent="0.25">
      <c r="A50" s="18"/>
      <c r="B50" s="18"/>
      <c r="C50" s="18"/>
      <c r="D50" s="18"/>
      <c r="E50" s="18">
        <v>13</v>
      </c>
      <c r="F50" s="18" t="s">
        <v>1567</v>
      </c>
      <c r="G50" s="18" t="s">
        <v>1636</v>
      </c>
      <c r="H50" s="18" t="s">
        <v>1596</v>
      </c>
      <c r="I50" s="18" t="s">
        <v>2143</v>
      </c>
      <c r="J50" s="18" t="s">
        <v>2176</v>
      </c>
      <c r="K50" s="18" t="s">
        <v>1585</v>
      </c>
      <c r="L50" s="18"/>
      <c r="M50" s="18"/>
      <c r="N50" s="18"/>
      <c r="O50" s="18"/>
      <c r="P50" s="18"/>
      <c r="Q50" s="1" t="str">
        <f t="shared" si="10"/>
        <v>c) b) The French auction house admitted that the statue is not genuine</v>
      </c>
      <c r="R50" s="1" t="str">
        <f t="shared" si="11"/>
        <v>b) c) The features of the statue were inconsistent with the culture it allegedly represents</v>
      </c>
      <c r="S50" s="1" t="str">
        <f t="shared" si="12"/>
        <v xml:space="preserve">b) </v>
      </c>
      <c r="T50" s="1" t="str">
        <f t="shared" si="13"/>
        <v xml:space="preserve">c) </v>
      </c>
    </row>
    <row r="51" spans="1:20" ht="65.25" customHeight="1" x14ac:dyDescent="0.25">
      <c r="A51" s="18"/>
      <c r="B51" s="18"/>
      <c r="C51" s="18"/>
      <c r="D51" s="18"/>
      <c r="E51" s="18">
        <v>14</v>
      </c>
      <c r="F51" s="18" t="s">
        <v>1568</v>
      </c>
      <c r="G51" s="18" t="s">
        <v>1637</v>
      </c>
      <c r="H51" s="18" t="s">
        <v>1597</v>
      </c>
      <c r="I51" s="18" t="s">
        <v>2144</v>
      </c>
      <c r="J51" s="18" t="s">
        <v>2177</v>
      </c>
      <c r="K51" s="18" t="s">
        <v>1586</v>
      </c>
      <c r="L51" s="18" t="s">
        <v>1638</v>
      </c>
      <c r="M51" s="18" t="s">
        <v>2150</v>
      </c>
      <c r="N51" s="18" t="s">
        <v>1608</v>
      </c>
      <c r="O51" s="18" t="s">
        <v>1609</v>
      </c>
      <c r="P51" s="18" t="s">
        <v>1577</v>
      </c>
      <c r="Q51" s="1" t="str">
        <f t="shared" si="10"/>
        <v>c) b) 26 minutes is the ideal time for a nap</v>
      </c>
      <c r="R51" s="1" t="str">
        <f t="shared" si="11"/>
        <v>b) c) Combining coffee with a short nap will revive you</v>
      </c>
      <c r="S51" s="1" t="str">
        <f t="shared" si="12"/>
        <v>b) b) Has received union support</v>
      </c>
      <c r="T51" s="1" t="str">
        <f t="shared" si="13"/>
        <v>c) c) Is considered a danger to people involved in jobs with motoring or machinery</v>
      </c>
    </row>
    <row r="52" spans="1:20" ht="65.25" customHeight="1" x14ac:dyDescent="0.25">
      <c r="A52" s="18"/>
      <c r="B52" s="18"/>
      <c r="C52" s="18"/>
      <c r="D52" s="18"/>
      <c r="E52" s="18">
        <v>15</v>
      </c>
      <c r="F52" s="18" t="s">
        <v>1569</v>
      </c>
      <c r="G52" s="18" t="s">
        <v>1639</v>
      </c>
      <c r="H52" s="18" t="s">
        <v>1598</v>
      </c>
      <c r="I52" s="18" t="s">
        <v>2145</v>
      </c>
      <c r="J52" s="18" t="s">
        <v>2178</v>
      </c>
      <c r="K52" s="18" t="s">
        <v>1587</v>
      </c>
      <c r="L52" s="18" t="s">
        <v>1640</v>
      </c>
      <c r="M52" s="18" t="s">
        <v>2151</v>
      </c>
      <c r="N52" s="18" t="s">
        <v>1610</v>
      </c>
      <c r="O52" s="18" t="s">
        <v>1611</v>
      </c>
      <c r="P52" s="18" t="s">
        <v>1578</v>
      </c>
      <c r="Q52" s="1" t="str">
        <f t="shared" si="10"/>
        <v>c) b) It has been possible to obtain a condensed version of ‘One Hundred Years of Solitude</v>
      </c>
      <c r="R52" s="1" t="str">
        <f t="shared" si="11"/>
        <v>b) c) It has been possible to obtain a copy of ‘One Hundred Years of Solitude’ by paying an excessive amount</v>
      </c>
      <c r="S52" s="1" t="str">
        <f t="shared" si="12"/>
        <v>b) b) Book publishers in China are not subdued by the crackdowns</v>
      </c>
      <c r="T52" s="1" t="str">
        <f t="shared" si="13"/>
        <v>c) c) The publication of ‘One Hundred Years of Solitude’ is not likely to create much interest in China</v>
      </c>
    </row>
    <row r="53" spans="1:20" ht="65.25" customHeight="1" x14ac:dyDescent="0.25">
      <c r="A53" s="18"/>
      <c r="B53" s="18"/>
      <c r="C53" s="18"/>
      <c r="D53" s="18"/>
      <c r="E53" s="18">
        <v>16</v>
      </c>
      <c r="F53" s="18" t="s">
        <v>1570</v>
      </c>
      <c r="G53" s="18" t="s">
        <v>1641</v>
      </c>
      <c r="H53" s="18" t="s">
        <v>1599</v>
      </c>
      <c r="I53" s="18" t="s">
        <v>2146</v>
      </c>
      <c r="J53" s="18" t="s">
        <v>2179</v>
      </c>
      <c r="K53" s="18" t="s">
        <v>1588</v>
      </c>
      <c r="L53" s="18" t="s">
        <v>1642</v>
      </c>
      <c r="M53" s="18" t="s">
        <v>2152</v>
      </c>
      <c r="N53" s="18" t="s">
        <v>1612</v>
      </c>
      <c r="O53" s="18" t="s">
        <v>1613</v>
      </c>
      <c r="P53" s="18" t="s">
        <v>1579</v>
      </c>
      <c r="Q53" s="1" t="str">
        <f t="shared" si="10"/>
        <v>c) b) Losses for the manufacturing industry in the south</v>
      </c>
      <c r="R53" s="1" t="str">
        <f t="shared" si="11"/>
        <v>b) c) The disfiguring of the landscape with the appearance of new cables</v>
      </c>
      <c r="S53" s="1" t="str">
        <f t="shared" si="12"/>
        <v>b) b) Local organizations could make decisions involving the energy sources in their areas</v>
      </c>
      <c r="T53" s="1" t="str">
        <f t="shared" si="13"/>
        <v>c) c) Use of coal could become widespread</v>
      </c>
    </row>
    <row r="54" spans="1:20" ht="65.25" customHeight="1" x14ac:dyDescent="0.25">
      <c r="A54" s="18"/>
      <c r="B54" s="18"/>
      <c r="C54" s="18"/>
      <c r="D54" s="18"/>
      <c r="E54" s="18"/>
      <c r="F54" s="18"/>
      <c r="G54" s="18"/>
      <c r="H54" s="18"/>
      <c r="I54" s="18"/>
      <c r="J54" s="18"/>
      <c r="K54" s="18"/>
      <c r="L54" s="18"/>
      <c r="M54" s="18"/>
      <c r="N54" s="18"/>
      <c r="O54" s="18"/>
      <c r="P54" s="18"/>
    </row>
    <row r="55" spans="1:20" ht="65.25" customHeight="1" x14ac:dyDescent="0.25">
      <c r="A55" s="20"/>
      <c r="B55" s="20"/>
      <c r="C55" s="20">
        <v>4</v>
      </c>
      <c r="D55" s="20" t="s">
        <v>275</v>
      </c>
      <c r="E55" s="20">
        <v>1</v>
      </c>
      <c r="F55" s="20" t="s">
        <v>918</v>
      </c>
      <c r="G55" s="20" t="s">
        <v>921</v>
      </c>
      <c r="H55" s="20" t="s">
        <v>938</v>
      </c>
      <c r="I55" s="20" t="s">
        <v>955</v>
      </c>
      <c r="J55" s="20" t="s">
        <v>978</v>
      </c>
      <c r="K55" s="20" t="s">
        <v>1000</v>
      </c>
      <c r="L55" s="20" t="s">
        <v>930</v>
      </c>
      <c r="M55" s="20" t="s">
        <v>947</v>
      </c>
      <c r="N55" s="20" t="s">
        <v>963</v>
      </c>
      <c r="O55" s="20" t="s">
        <v>970</v>
      </c>
      <c r="P55" s="20" t="s">
        <v>990</v>
      </c>
    </row>
    <row r="56" spans="1:20" ht="65.25" customHeight="1" x14ac:dyDescent="0.25">
      <c r="A56" s="20"/>
      <c r="B56" s="20"/>
      <c r="C56" s="20"/>
      <c r="D56" s="20" t="s">
        <v>2068</v>
      </c>
      <c r="E56" s="20">
        <v>2</v>
      </c>
      <c r="F56" s="20" t="s">
        <v>1533</v>
      </c>
      <c r="G56" s="20" t="s">
        <v>922</v>
      </c>
      <c r="H56" s="20" t="s">
        <v>939</v>
      </c>
      <c r="I56" s="20" t="s">
        <v>956</v>
      </c>
      <c r="J56" s="20" t="s">
        <v>979</v>
      </c>
      <c r="K56" s="20" t="s">
        <v>1001</v>
      </c>
      <c r="L56" s="20" t="s">
        <v>931</v>
      </c>
      <c r="M56" s="20" t="s">
        <v>948</v>
      </c>
      <c r="N56" s="20" t="s">
        <v>1534</v>
      </c>
      <c r="O56" s="20" t="s">
        <v>971</v>
      </c>
      <c r="P56" s="20" t="s">
        <v>991</v>
      </c>
    </row>
    <row r="57" spans="1:20" ht="65.25" customHeight="1" x14ac:dyDescent="0.25">
      <c r="A57" s="20"/>
      <c r="B57" s="20"/>
      <c r="C57" s="20"/>
      <c r="D57" s="20" t="s">
        <v>359</v>
      </c>
      <c r="E57" s="20">
        <v>3</v>
      </c>
      <c r="F57" s="20" t="s">
        <v>919</v>
      </c>
      <c r="G57" s="20" t="s">
        <v>1535</v>
      </c>
      <c r="H57" s="20" t="s">
        <v>1536</v>
      </c>
      <c r="I57" s="20" t="s">
        <v>1537</v>
      </c>
      <c r="J57" s="20" t="s">
        <v>1538</v>
      </c>
      <c r="K57" s="20" t="s">
        <v>1539</v>
      </c>
      <c r="L57" s="20" t="s">
        <v>1540</v>
      </c>
      <c r="M57" s="20" t="s">
        <v>1541</v>
      </c>
      <c r="N57" s="20" t="s">
        <v>1542</v>
      </c>
      <c r="O57" s="20" t="s">
        <v>1543</v>
      </c>
      <c r="P57" s="20" t="s">
        <v>1544</v>
      </c>
    </row>
    <row r="58" spans="1:20" ht="65.25" customHeight="1" x14ac:dyDescent="0.25">
      <c r="A58" s="20"/>
      <c r="B58" s="20"/>
      <c r="C58" s="20"/>
      <c r="D58" s="20"/>
      <c r="E58" s="20">
        <v>4</v>
      </c>
      <c r="F58" s="20" t="s">
        <v>1545</v>
      </c>
      <c r="G58" s="20" t="s">
        <v>923</v>
      </c>
      <c r="H58" s="20" t="s">
        <v>940</v>
      </c>
      <c r="I58" s="20" t="s">
        <v>957</v>
      </c>
      <c r="J58" s="20" t="s">
        <v>980</v>
      </c>
      <c r="K58" s="20" t="s">
        <v>1002</v>
      </c>
      <c r="L58" s="20" t="s">
        <v>932</v>
      </c>
      <c r="M58" s="20" t="s">
        <v>949</v>
      </c>
      <c r="N58" s="20" t="s">
        <v>964</v>
      </c>
      <c r="O58" s="20" t="s">
        <v>972</v>
      </c>
      <c r="P58" s="20" t="s">
        <v>992</v>
      </c>
    </row>
    <row r="59" spans="1:20" ht="65.25" customHeight="1" x14ac:dyDescent="0.25">
      <c r="A59" s="20"/>
      <c r="B59" s="20"/>
      <c r="C59" s="20"/>
      <c r="D59" s="20"/>
      <c r="E59" s="20">
        <v>5</v>
      </c>
      <c r="F59" s="20" t="s">
        <v>1546</v>
      </c>
      <c r="G59" s="20" t="s">
        <v>924</v>
      </c>
      <c r="H59" s="20" t="s">
        <v>941</v>
      </c>
      <c r="I59" s="20" t="s">
        <v>1548</v>
      </c>
      <c r="J59" s="20" t="s">
        <v>981</v>
      </c>
      <c r="K59" s="20" t="s">
        <v>1547</v>
      </c>
      <c r="L59" s="20" t="s">
        <v>1549</v>
      </c>
      <c r="M59" s="20" t="s">
        <v>1550</v>
      </c>
      <c r="N59" s="20" t="s">
        <v>1551</v>
      </c>
      <c r="O59" s="20" t="s">
        <v>1552</v>
      </c>
      <c r="P59" s="20" t="s">
        <v>1553</v>
      </c>
    </row>
    <row r="60" spans="1:20" ht="65.25" customHeight="1" x14ac:dyDescent="0.25">
      <c r="A60" s="20"/>
      <c r="B60" s="20"/>
      <c r="C60" s="20"/>
      <c r="D60" s="20"/>
      <c r="E60" s="20">
        <v>6</v>
      </c>
      <c r="F60" s="20" t="s">
        <v>1554</v>
      </c>
      <c r="G60" s="20" t="s">
        <v>925</v>
      </c>
      <c r="H60" s="20" t="s">
        <v>942</v>
      </c>
      <c r="I60" s="20" t="s">
        <v>958</v>
      </c>
      <c r="J60" s="20" t="s">
        <v>982</v>
      </c>
      <c r="K60" s="20" t="s">
        <v>998</v>
      </c>
      <c r="L60" s="20" t="s">
        <v>933</v>
      </c>
      <c r="M60" s="20" t="s">
        <v>950</v>
      </c>
      <c r="N60" s="20" t="s">
        <v>965</v>
      </c>
      <c r="O60" s="20" t="s">
        <v>973</v>
      </c>
      <c r="P60" s="20" t="s">
        <v>993</v>
      </c>
    </row>
    <row r="61" spans="1:20" ht="65.25" customHeight="1" x14ac:dyDescent="0.25">
      <c r="A61" s="20"/>
      <c r="B61" s="20"/>
      <c r="C61" s="20"/>
      <c r="D61" s="20"/>
      <c r="E61" s="20">
        <v>7</v>
      </c>
      <c r="F61" s="20" t="s">
        <v>920</v>
      </c>
      <c r="G61" s="20" t="s">
        <v>926</v>
      </c>
      <c r="H61" s="20" t="s">
        <v>943</v>
      </c>
      <c r="I61" s="20" t="s">
        <v>959</v>
      </c>
      <c r="J61" s="20" t="s">
        <v>983</v>
      </c>
      <c r="K61" s="20" t="s">
        <v>999</v>
      </c>
      <c r="L61" s="20" t="s">
        <v>934</v>
      </c>
      <c r="M61" s="20" t="s">
        <v>951</v>
      </c>
      <c r="N61" s="20" t="s">
        <v>966</v>
      </c>
      <c r="O61" s="20" t="s">
        <v>974</v>
      </c>
      <c r="P61" s="20" t="s">
        <v>994</v>
      </c>
    </row>
    <row r="62" spans="1:20" ht="65.25" customHeight="1" x14ac:dyDescent="0.25">
      <c r="A62" s="20"/>
      <c r="B62" s="20"/>
      <c r="C62" s="20"/>
      <c r="D62" s="20"/>
      <c r="E62" s="20">
        <v>8</v>
      </c>
      <c r="F62" s="20" t="s">
        <v>2313</v>
      </c>
      <c r="G62" s="20" t="s">
        <v>927</v>
      </c>
      <c r="H62" s="20" t="s">
        <v>944</v>
      </c>
      <c r="I62" s="20" t="s">
        <v>960</v>
      </c>
      <c r="J62" s="20" t="s">
        <v>984</v>
      </c>
      <c r="K62" s="20" t="s">
        <v>987</v>
      </c>
      <c r="L62" s="20" t="s">
        <v>935</v>
      </c>
      <c r="M62" s="20" t="s">
        <v>952</v>
      </c>
      <c r="N62" s="20" t="s">
        <v>967</v>
      </c>
      <c r="O62" s="20" t="s">
        <v>975</v>
      </c>
      <c r="P62" s="20" t="s">
        <v>995</v>
      </c>
    </row>
    <row r="63" spans="1:20" ht="65.25" customHeight="1" x14ac:dyDescent="0.25">
      <c r="A63" s="20"/>
      <c r="B63" s="20"/>
      <c r="C63" s="20"/>
      <c r="D63" s="20"/>
      <c r="E63" s="20">
        <v>9</v>
      </c>
      <c r="F63" s="20" t="s">
        <v>2311</v>
      </c>
      <c r="G63" s="20" t="s">
        <v>928</v>
      </c>
      <c r="H63" s="20" t="s">
        <v>945</v>
      </c>
      <c r="I63" s="20" t="s">
        <v>961</v>
      </c>
      <c r="J63" s="20" t="s">
        <v>985</v>
      </c>
      <c r="K63" s="20" t="s">
        <v>988</v>
      </c>
      <c r="L63" s="20" t="s">
        <v>936</v>
      </c>
      <c r="M63" s="20" t="s">
        <v>953</v>
      </c>
      <c r="N63" s="20" t="s">
        <v>968</v>
      </c>
      <c r="O63" s="20" t="s">
        <v>976</v>
      </c>
      <c r="P63" s="20" t="s">
        <v>996</v>
      </c>
    </row>
    <row r="64" spans="1:20" ht="65.25" customHeight="1" x14ac:dyDescent="0.25">
      <c r="A64" s="20"/>
      <c r="B64" s="20"/>
      <c r="C64" s="20"/>
      <c r="D64" s="20" t="s">
        <v>359</v>
      </c>
      <c r="E64" s="20">
        <v>10</v>
      </c>
      <c r="F64" s="20" t="s">
        <v>2314</v>
      </c>
      <c r="G64" s="20" t="s">
        <v>929</v>
      </c>
      <c r="H64" s="20" t="s">
        <v>946</v>
      </c>
      <c r="I64" s="20" t="s">
        <v>962</v>
      </c>
      <c r="J64" s="20" t="s">
        <v>986</v>
      </c>
      <c r="K64" s="20" t="s">
        <v>989</v>
      </c>
      <c r="L64" s="20" t="s">
        <v>937</v>
      </c>
      <c r="M64" s="20" t="s">
        <v>954</v>
      </c>
      <c r="N64" s="20" t="s">
        <v>969</v>
      </c>
      <c r="O64" s="20" t="s">
        <v>977</v>
      </c>
      <c r="P64" s="20" t="s">
        <v>997</v>
      </c>
    </row>
    <row r="65" spans="1:17" ht="65.25" customHeight="1" x14ac:dyDescent="0.25">
      <c r="A65" s="20"/>
      <c r="B65" s="20"/>
      <c r="C65" s="20"/>
      <c r="D65" s="20"/>
      <c r="E65" s="20">
        <v>11</v>
      </c>
      <c r="F65" s="20" t="s">
        <v>2307</v>
      </c>
      <c r="G65" s="20" t="s">
        <v>2261</v>
      </c>
      <c r="H65" s="20" t="s">
        <v>2268</v>
      </c>
      <c r="I65" s="20" t="s">
        <v>2277</v>
      </c>
      <c r="J65" s="20" t="s">
        <v>2287</v>
      </c>
      <c r="K65" s="20" t="s">
        <v>2297</v>
      </c>
      <c r="L65" s="20"/>
      <c r="M65" s="20"/>
      <c r="N65" s="20"/>
      <c r="O65" s="20"/>
      <c r="P65" s="20"/>
    </row>
    <row r="66" spans="1:17" ht="65.25" customHeight="1" x14ac:dyDescent="0.25">
      <c r="A66" s="20"/>
      <c r="B66" s="20"/>
      <c r="C66" s="20"/>
      <c r="D66" s="20"/>
      <c r="E66" s="20">
        <v>12</v>
      </c>
      <c r="F66" s="20" t="s">
        <v>2308</v>
      </c>
      <c r="G66" s="20" t="s">
        <v>2262</v>
      </c>
      <c r="H66" s="20" t="s">
        <v>2257</v>
      </c>
      <c r="I66" s="20" t="s">
        <v>2278</v>
      </c>
      <c r="J66" s="20" t="s">
        <v>2288</v>
      </c>
      <c r="K66" s="20" t="s">
        <v>2298</v>
      </c>
      <c r="L66" s="20" t="s">
        <v>2263</v>
      </c>
      <c r="M66" s="20" t="s">
        <v>2274</v>
      </c>
      <c r="N66" s="20" t="s">
        <v>2284</v>
      </c>
      <c r="O66" s="20" t="s">
        <v>2294</v>
      </c>
      <c r="P66" s="20" t="s">
        <v>2304</v>
      </c>
    </row>
    <row r="67" spans="1:17" ht="65.25" customHeight="1" x14ac:dyDescent="0.25">
      <c r="A67" s="20"/>
      <c r="B67" s="20"/>
      <c r="C67" s="20"/>
      <c r="D67" s="20"/>
      <c r="E67" s="20">
        <v>13</v>
      </c>
      <c r="F67" s="20" t="s">
        <v>2255</v>
      </c>
      <c r="G67" s="20" t="s">
        <v>2264</v>
      </c>
      <c r="H67" s="20" t="s">
        <v>2269</v>
      </c>
      <c r="I67" s="20" t="s">
        <v>2279</v>
      </c>
      <c r="J67" s="20" t="s">
        <v>2289</v>
      </c>
      <c r="K67" s="20" t="s">
        <v>2299</v>
      </c>
      <c r="L67" s="20"/>
      <c r="M67" s="20"/>
      <c r="N67" s="20"/>
      <c r="O67" s="20"/>
      <c r="P67" s="20"/>
    </row>
    <row r="68" spans="1:17" ht="65.25" customHeight="1" x14ac:dyDescent="0.25">
      <c r="A68" s="20"/>
      <c r="B68" s="20"/>
      <c r="C68" s="20"/>
      <c r="D68" s="20"/>
      <c r="E68" s="20">
        <v>14</v>
      </c>
      <c r="F68" s="20" t="s">
        <v>2309</v>
      </c>
      <c r="G68" s="20" t="s">
        <v>2258</v>
      </c>
      <c r="H68" s="20" t="s">
        <v>2270</v>
      </c>
      <c r="I68" s="20" t="s">
        <v>2280</v>
      </c>
      <c r="J68" s="20" t="s">
        <v>2290</v>
      </c>
      <c r="K68" s="20" t="s">
        <v>2300</v>
      </c>
      <c r="L68" s="20" t="s">
        <v>2259</v>
      </c>
      <c r="M68" s="20" t="s">
        <v>2275</v>
      </c>
      <c r="N68" s="20" t="s">
        <v>2285</v>
      </c>
      <c r="O68" s="20" t="s">
        <v>2295</v>
      </c>
      <c r="P68" s="20" t="s">
        <v>2305</v>
      </c>
    </row>
    <row r="69" spans="1:17" ht="65.25" customHeight="1" x14ac:dyDescent="0.25">
      <c r="A69" s="20"/>
      <c r="B69" s="20"/>
      <c r="C69" s="20"/>
      <c r="D69" s="20"/>
      <c r="E69" s="20">
        <v>15</v>
      </c>
      <c r="F69" s="20" t="s">
        <v>2256</v>
      </c>
      <c r="G69" s="20" t="s">
        <v>2260</v>
      </c>
      <c r="H69" s="20" t="s">
        <v>2271</v>
      </c>
      <c r="I69" s="20" t="s">
        <v>2281</v>
      </c>
      <c r="J69" s="20" t="s">
        <v>2291</v>
      </c>
      <c r="K69" s="20" t="s">
        <v>2301</v>
      </c>
      <c r="L69" s="20"/>
      <c r="M69" s="20"/>
      <c r="N69" s="20"/>
      <c r="O69" s="20"/>
      <c r="P69" s="20"/>
    </row>
    <row r="70" spans="1:17" ht="65.25" customHeight="1" x14ac:dyDescent="0.25">
      <c r="A70" s="20"/>
      <c r="B70" s="20"/>
      <c r="C70" s="20"/>
      <c r="D70" s="20"/>
      <c r="E70" s="20">
        <v>16</v>
      </c>
      <c r="F70" s="20" t="s">
        <v>2310</v>
      </c>
      <c r="G70" s="20" t="s">
        <v>2265</v>
      </c>
      <c r="H70" s="20" t="s">
        <v>2272</v>
      </c>
      <c r="I70" s="20" t="s">
        <v>2282</v>
      </c>
      <c r="J70" s="20" t="s">
        <v>2292</v>
      </c>
      <c r="K70" s="20" t="s">
        <v>2302</v>
      </c>
      <c r="L70" s="20"/>
      <c r="M70" s="20"/>
      <c r="N70" s="20"/>
      <c r="O70" s="20"/>
      <c r="P70" s="20"/>
    </row>
    <row r="71" spans="1:17" ht="65.25" customHeight="1" x14ac:dyDescent="0.25">
      <c r="A71" s="20"/>
      <c r="B71" s="20"/>
      <c r="C71" s="20"/>
      <c r="D71" s="20"/>
      <c r="E71" s="20">
        <v>17</v>
      </c>
      <c r="F71" s="20" t="s">
        <v>2312</v>
      </c>
      <c r="G71" s="20" t="s">
        <v>2266</v>
      </c>
      <c r="H71" s="20" t="s">
        <v>2273</v>
      </c>
      <c r="I71" s="20" t="s">
        <v>2283</v>
      </c>
      <c r="J71" s="20" t="s">
        <v>2293</v>
      </c>
      <c r="K71" s="20" t="s">
        <v>2303</v>
      </c>
      <c r="L71" s="20" t="s">
        <v>2267</v>
      </c>
      <c r="M71" s="20" t="s">
        <v>2276</v>
      </c>
      <c r="N71" s="20" t="s">
        <v>2286</v>
      </c>
      <c r="O71" s="20" t="s">
        <v>2296</v>
      </c>
      <c r="P71" s="20" t="s">
        <v>2306</v>
      </c>
    </row>
    <row r="72" spans="1:17" ht="65.25" customHeight="1" x14ac:dyDescent="0.25">
      <c r="A72" s="20"/>
      <c r="B72" s="20"/>
      <c r="C72" s="20"/>
      <c r="D72" s="20"/>
      <c r="E72" s="20"/>
      <c r="F72" s="20"/>
      <c r="G72" s="20"/>
      <c r="H72" s="20"/>
      <c r="I72" s="20"/>
      <c r="J72" s="20"/>
      <c r="K72" s="20"/>
      <c r="L72" s="20"/>
      <c r="M72" s="20"/>
      <c r="N72" s="20"/>
      <c r="O72" s="20"/>
      <c r="P72" s="20"/>
    </row>
    <row r="73" spans="1:17" ht="74.25" customHeight="1" x14ac:dyDescent="0.25">
      <c r="A73" s="25"/>
      <c r="B73" s="25"/>
      <c r="C73" s="25">
        <v>5</v>
      </c>
      <c r="D73" s="25" t="s">
        <v>1030</v>
      </c>
      <c r="E73" s="25">
        <v>1</v>
      </c>
      <c r="F73" s="25" t="s">
        <v>4445</v>
      </c>
      <c r="G73" s="25" t="s">
        <v>4274</v>
      </c>
      <c r="H73" s="25" t="s">
        <v>4275</v>
      </c>
      <c r="I73" s="25" t="s">
        <v>4429</v>
      </c>
      <c r="J73" s="25" t="s">
        <v>4277</v>
      </c>
      <c r="K73" s="25" t="s">
        <v>4278</v>
      </c>
      <c r="L73" s="25"/>
      <c r="M73" s="25"/>
      <c r="N73" s="25"/>
      <c r="O73" s="25"/>
      <c r="P73" s="25"/>
      <c r="Q73" s="1">
        <f>R73</f>
        <v>0</v>
      </c>
    </row>
    <row r="74" spans="1:17" ht="80.25" customHeight="1" x14ac:dyDescent="0.25">
      <c r="A74" s="25"/>
      <c r="B74" s="25"/>
      <c r="C74" s="25"/>
      <c r="D74" s="25" t="s">
        <v>4209</v>
      </c>
      <c r="E74" s="25">
        <v>2</v>
      </c>
      <c r="F74" s="25" t="s">
        <v>4446</v>
      </c>
      <c r="G74" s="25" t="s">
        <v>4279</v>
      </c>
      <c r="H74" s="25" t="s">
        <v>4280</v>
      </c>
      <c r="I74" s="25" t="s">
        <v>4430</v>
      </c>
      <c r="J74" s="25" t="s">
        <v>4282</v>
      </c>
      <c r="K74" s="25" t="s">
        <v>4283</v>
      </c>
      <c r="L74" s="25"/>
      <c r="M74" s="25"/>
      <c r="N74" s="25"/>
      <c r="O74" s="25"/>
      <c r="P74" s="25"/>
      <c r="Q74" s="1" t="str">
        <f>Q3</f>
        <v xml:space="preserve">d) </v>
      </c>
    </row>
    <row r="75" spans="1:17" ht="90.75" customHeight="1" x14ac:dyDescent="0.25">
      <c r="A75" s="25"/>
      <c r="B75" s="25"/>
      <c r="C75" s="25"/>
      <c r="D75" s="25" t="s">
        <v>359</v>
      </c>
      <c r="E75" s="25">
        <v>3</v>
      </c>
      <c r="F75" s="25" t="s">
        <v>4447</v>
      </c>
      <c r="G75" s="25" t="s">
        <v>4284</v>
      </c>
      <c r="H75" s="25" t="s">
        <v>4285</v>
      </c>
      <c r="I75" s="25" t="s">
        <v>4286</v>
      </c>
      <c r="J75" s="25" t="s">
        <v>4287</v>
      </c>
      <c r="K75" s="25" t="s">
        <v>4431</v>
      </c>
      <c r="L75" s="25"/>
      <c r="M75" s="25"/>
      <c r="N75" s="25"/>
      <c r="O75" s="25"/>
      <c r="P75" s="25"/>
      <c r="Q75" s="1">
        <f>Normal!U76</f>
        <v>0</v>
      </c>
    </row>
    <row r="76" spans="1:17" ht="150" x14ac:dyDescent="0.25">
      <c r="A76" s="25"/>
      <c r="B76" s="25"/>
      <c r="C76" s="25"/>
      <c r="D76" s="25"/>
      <c r="E76" s="25">
        <v>4</v>
      </c>
      <c r="F76" s="25" t="s">
        <v>4448</v>
      </c>
      <c r="G76" s="25" t="s">
        <v>4289</v>
      </c>
      <c r="H76" s="25" t="s">
        <v>4290</v>
      </c>
      <c r="I76" s="25" t="s">
        <v>4432</v>
      </c>
      <c r="J76" s="25" t="s">
        <v>4292</v>
      </c>
      <c r="K76" s="25" t="s">
        <v>4293</v>
      </c>
      <c r="L76" s="25"/>
      <c r="M76" s="25"/>
      <c r="N76" s="25"/>
      <c r="O76" s="25"/>
      <c r="P76" s="25"/>
      <c r="Q76" s="1" t="e">
        <f>CONCATENATE("d) ",#REF!)</f>
        <v>#REF!</v>
      </c>
    </row>
    <row r="77" spans="1:17" ht="51" customHeight="1" x14ac:dyDescent="0.25">
      <c r="A77" s="25"/>
      <c r="B77" s="25"/>
      <c r="C77" s="25"/>
      <c r="D77" s="25"/>
      <c r="E77" s="25">
        <v>5</v>
      </c>
      <c r="F77" s="25" t="s">
        <v>4449</v>
      </c>
      <c r="G77" s="25" t="s">
        <v>4294</v>
      </c>
      <c r="H77" s="25" t="s">
        <v>4295</v>
      </c>
      <c r="I77" s="25" t="s">
        <v>4296</v>
      </c>
      <c r="J77" s="25" t="s">
        <v>4433</v>
      </c>
      <c r="K77" s="25" t="s">
        <v>4298</v>
      </c>
      <c r="L77" s="25"/>
      <c r="M77" s="25"/>
      <c r="N77" s="25"/>
      <c r="O77" s="25"/>
      <c r="P77" s="25"/>
      <c r="Q77" s="1" t="e">
        <f>CONCATENATE("d) ",#REF!)</f>
        <v>#REF!</v>
      </c>
    </row>
    <row r="78" spans="1:17" ht="56.25" customHeight="1" x14ac:dyDescent="0.25">
      <c r="A78" s="25"/>
      <c r="B78" s="25"/>
      <c r="C78" s="25"/>
      <c r="D78" s="25"/>
      <c r="E78" s="25">
        <v>6</v>
      </c>
      <c r="F78" s="25" t="s">
        <v>4450</v>
      </c>
      <c r="G78" s="25" t="s">
        <v>4299</v>
      </c>
      <c r="H78" s="25" t="s">
        <v>4434</v>
      </c>
      <c r="I78" s="25" t="s">
        <v>4301</v>
      </c>
      <c r="J78" s="25" t="s">
        <v>4302</v>
      </c>
      <c r="K78" s="25" t="s">
        <v>4303</v>
      </c>
      <c r="L78" s="25"/>
      <c r="M78" s="25"/>
      <c r="N78" s="25"/>
      <c r="O78" s="25"/>
      <c r="P78" s="25"/>
      <c r="Q78" s="1" t="e">
        <f>CONCATENATE("d) ",#REF!)</f>
        <v>#REF!</v>
      </c>
    </row>
    <row r="79" spans="1:17" ht="62.25" customHeight="1" x14ac:dyDescent="0.25">
      <c r="A79" s="25"/>
      <c r="B79" s="25"/>
      <c r="C79" s="25"/>
      <c r="D79" s="25"/>
      <c r="E79" s="25">
        <v>7</v>
      </c>
      <c r="F79" s="25" t="s">
        <v>4435</v>
      </c>
      <c r="G79" s="25" t="s">
        <v>4304</v>
      </c>
      <c r="H79" s="25" t="s">
        <v>4436</v>
      </c>
      <c r="I79" s="25" t="s">
        <v>4306</v>
      </c>
      <c r="J79" s="25" t="s">
        <v>4307</v>
      </c>
      <c r="K79" s="25" t="s">
        <v>4308</v>
      </c>
      <c r="L79" s="25"/>
      <c r="M79" s="25"/>
      <c r="N79" s="25"/>
      <c r="O79" s="25"/>
      <c r="P79" s="25"/>
      <c r="Q79" s="1" t="e">
        <f>CONCATENATE("d) ",#REF!)</f>
        <v>#REF!</v>
      </c>
    </row>
    <row r="80" spans="1:17" ht="80.25" customHeight="1" x14ac:dyDescent="0.25">
      <c r="A80" s="25"/>
      <c r="B80" s="25"/>
      <c r="C80" s="25"/>
      <c r="D80" s="25"/>
      <c r="E80" s="25">
        <v>8</v>
      </c>
      <c r="F80" s="25" t="s">
        <v>4451</v>
      </c>
      <c r="G80" s="25" t="s">
        <v>4309</v>
      </c>
      <c r="H80" s="25" t="s">
        <v>4437</v>
      </c>
      <c r="I80" s="25" t="s">
        <v>4311</v>
      </c>
      <c r="J80" s="25" t="s">
        <v>4312</v>
      </c>
      <c r="K80" s="25" t="s">
        <v>4313</v>
      </c>
      <c r="L80" s="25"/>
      <c r="M80" s="25"/>
      <c r="N80" s="25"/>
      <c r="O80" s="25"/>
      <c r="P80" s="25"/>
      <c r="Q80" s="1" t="e">
        <f>CONCATENATE("d) ",#REF!)</f>
        <v>#REF!</v>
      </c>
    </row>
    <row r="81" spans="1:25" ht="62.25" customHeight="1" x14ac:dyDescent="0.25">
      <c r="A81" s="25"/>
      <c r="B81" s="25"/>
      <c r="C81" s="25"/>
      <c r="D81" s="25"/>
      <c r="E81" s="25">
        <v>9</v>
      </c>
      <c r="F81" s="25" t="s">
        <v>4452</v>
      </c>
      <c r="G81" s="25" t="s">
        <v>4314</v>
      </c>
      <c r="H81" s="25" t="s">
        <v>4315</v>
      </c>
      <c r="I81" s="25" t="s">
        <v>4438</v>
      </c>
      <c r="J81" s="25" t="s">
        <v>1863</v>
      </c>
      <c r="K81" s="25" t="s">
        <v>4317</v>
      </c>
      <c r="L81" s="25"/>
      <c r="M81" s="25"/>
      <c r="N81" s="25"/>
      <c r="O81" s="25"/>
      <c r="P81" s="25"/>
      <c r="Q81" s="1" t="e">
        <f>CONCATENATE("d) ",#REF!)</f>
        <v>#REF!</v>
      </c>
    </row>
    <row r="82" spans="1:25" ht="66" customHeight="1" x14ac:dyDescent="0.25">
      <c r="A82" s="25"/>
      <c r="B82" s="25"/>
      <c r="C82" s="25"/>
      <c r="D82" s="25"/>
      <c r="E82" s="25">
        <v>10</v>
      </c>
      <c r="F82" s="25" t="s">
        <v>4453</v>
      </c>
      <c r="G82" s="25" t="s">
        <v>4318</v>
      </c>
      <c r="H82" s="25" t="s">
        <v>4319</v>
      </c>
      <c r="I82" s="25" t="s">
        <v>4320</v>
      </c>
      <c r="J82" s="25" t="s">
        <v>4439</v>
      </c>
      <c r="K82" s="25" t="s">
        <v>4322</v>
      </c>
      <c r="L82" s="25"/>
      <c r="M82" s="25"/>
      <c r="N82" s="25"/>
      <c r="O82" s="25"/>
      <c r="P82" s="25"/>
      <c r="Q82" s="1" t="e">
        <f>CONCATENATE("d) ",#REF!)</f>
        <v>#REF!</v>
      </c>
    </row>
    <row r="83" spans="1:25" ht="44.25" customHeight="1" x14ac:dyDescent="0.25">
      <c r="A83" s="25"/>
      <c r="B83" s="25"/>
      <c r="C83" s="25"/>
      <c r="D83" s="25"/>
      <c r="E83" s="25">
        <v>11</v>
      </c>
      <c r="F83" s="25" t="s">
        <v>4454</v>
      </c>
      <c r="G83" s="25" t="s">
        <v>4323</v>
      </c>
      <c r="H83" s="25" t="s">
        <v>4440</v>
      </c>
      <c r="I83" s="25" t="s">
        <v>4325</v>
      </c>
      <c r="J83" s="25" t="s">
        <v>4326</v>
      </c>
      <c r="K83" s="25" t="s">
        <v>4327</v>
      </c>
      <c r="L83" s="25" t="s">
        <v>4328</v>
      </c>
      <c r="M83" s="25" t="s">
        <v>4329</v>
      </c>
      <c r="N83" s="25" t="s">
        <v>4330</v>
      </c>
      <c r="O83" s="25" t="s">
        <v>4441</v>
      </c>
      <c r="P83" s="25" t="s">
        <v>4332</v>
      </c>
      <c r="Q83" s="1" t="e">
        <f>CONCATENATE("d) ",#REF!)</f>
        <v>#REF!</v>
      </c>
    </row>
    <row r="84" spans="1:25" ht="37.5" customHeight="1" x14ac:dyDescent="0.25">
      <c r="A84" s="25"/>
      <c r="B84" s="25"/>
      <c r="C84" s="25"/>
      <c r="D84" s="25"/>
      <c r="E84" s="25">
        <v>12</v>
      </c>
      <c r="F84" s="25" t="s">
        <v>4455</v>
      </c>
      <c r="G84" s="25" t="s">
        <v>4333</v>
      </c>
      <c r="H84" s="25" t="s">
        <v>4334</v>
      </c>
      <c r="I84" s="25" t="s">
        <v>4442</v>
      </c>
      <c r="J84" s="25" t="s">
        <v>4336</v>
      </c>
      <c r="K84" s="25" t="s">
        <v>4337</v>
      </c>
      <c r="L84" s="25" t="s">
        <v>4338</v>
      </c>
      <c r="M84" s="25" t="s">
        <v>4339</v>
      </c>
      <c r="N84" s="25" t="s">
        <v>4340</v>
      </c>
      <c r="O84" s="25" t="s">
        <v>4443</v>
      </c>
      <c r="P84" s="25" t="s">
        <v>4342</v>
      </c>
      <c r="Q84" s="1" t="e">
        <f>CONCATENATE("d) ",#REF!)</f>
        <v>#REF!</v>
      </c>
    </row>
    <row r="85" spans="1:25" ht="53.25" customHeight="1" x14ac:dyDescent="0.25">
      <c r="A85" s="25"/>
      <c r="B85" s="25"/>
      <c r="C85" s="25"/>
      <c r="D85" s="25"/>
      <c r="E85" s="25">
        <v>13</v>
      </c>
      <c r="F85" s="25" t="s">
        <v>4456</v>
      </c>
      <c r="G85" s="25" t="s">
        <v>4343</v>
      </c>
      <c r="H85" s="25" t="s">
        <v>1857</v>
      </c>
      <c r="I85" s="25" t="s">
        <v>1860</v>
      </c>
      <c r="J85" s="25" t="s">
        <v>1862</v>
      </c>
      <c r="K85" s="25" t="s">
        <v>4345</v>
      </c>
      <c r="L85" s="25" t="s">
        <v>4346</v>
      </c>
      <c r="M85" s="25" t="s">
        <v>4347</v>
      </c>
      <c r="N85" s="25" t="s">
        <v>1226</v>
      </c>
      <c r="O85" s="25" t="s">
        <v>4348</v>
      </c>
      <c r="P85" s="25" t="s">
        <v>4444</v>
      </c>
      <c r="Q85" s="1" t="e">
        <f>CONCATENATE("d) ",#REF!)</f>
        <v>#REF!</v>
      </c>
    </row>
    <row r="86" spans="1:25" ht="47.25" customHeight="1" x14ac:dyDescent="0.25">
      <c r="A86" s="25"/>
      <c r="B86" s="25"/>
      <c r="C86" s="25"/>
      <c r="D86" s="25"/>
      <c r="E86" s="25">
        <v>14</v>
      </c>
      <c r="F86" s="25" t="s">
        <v>4457</v>
      </c>
      <c r="G86" s="25" t="s">
        <v>4350</v>
      </c>
      <c r="H86" s="25" t="s">
        <v>4351</v>
      </c>
      <c r="I86" s="25" t="s">
        <v>4352</v>
      </c>
      <c r="J86" s="25" t="s">
        <v>4353</v>
      </c>
      <c r="K86" s="25" t="s">
        <v>4354</v>
      </c>
      <c r="L86" s="25" t="s">
        <v>4355</v>
      </c>
      <c r="M86" s="25" t="s">
        <v>4356</v>
      </c>
      <c r="N86" s="25" t="s">
        <v>4357</v>
      </c>
      <c r="O86" s="25" t="s">
        <v>4358</v>
      </c>
      <c r="P86" s="25" t="s">
        <v>4359</v>
      </c>
      <c r="Q86" s="1" t="e">
        <f>CONCATENATE("d) ",#REF!)</f>
        <v>#REF!</v>
      </c>
    </row>
    <row r="87" spans="1:25" ht="60" customHeight="1" x14ac:dyDescent="0.25">
      <c r="A87" s="25"/>
      <c r="B87" s="25"/>
      <c r="C87" s="25"/>
      <c r="D87" s="25"/>
      <c r="E87" s="25">
        <v>15</v>
      </c>
      <c r="F87" s="25" t="s">
        <v>4458</v>
      </c>
      <c r="G87" s="25" t="s">
        <v>4360</v>
      </c>
      <c r="H87" s="25" t="s">
        <v>4361</v>
      </c>
      <c r="I87" s="25" t="s">
        <v>4362</v>
      </c>
      <c r="J87" s="25" t="s">
        <v>4363</v>
      </c>
      <c r="K87" s="25" t="s">
        <v>4364</v>
      </c>
      <c r="L87" s="25" t="s">
        <v>4365</v>
      </c>
      <c r="M87" s="25" t="s">
        <v>4366</v>
      </c>
      <c r="N87" s="25" t="s">
        <v>4367</v>
      </c>
      <c r="O87" s="25" t="s">
        <v>4368</v>
      </c>
      <c r="P87" s="25" t="s">
        <v>4369</v>
      </c>
      <c r="Q87" s="1" t="e">
        <f>CONCATENATE("d) ",#REF!)</f>
        <v>#REF!</v>
      </c>
    </row>
    <row r="88" spans="1:25" ht="60" customHeight="1" x14ac:dyDescent="0.25">
      <c r="A88" s="25"/>
      <c r="B88" s="25"/>
      <c r="C88" s="25"/>
      <c r="D88" s="25"/>
      <c r="E88" s="25">
        <v>16</v>
      </c>
      <c r="F88" s="25" t="s">
        <v>4459</v>
      </c>
      <c r="G88" s="25" t="s">
        <v>4370</v>
      </c>
      <c r="H88" s="25" t="s">
        <v>4371</v>
      </c>
      <c r="I88" s="25" t="s">
        <v>4372</v>
      </c>
      <c r="J88" s="25" t="s">
        <v>4373</v>
      </c>
      <c r="K88" s="25" t="s">
        <v>4374</v>
      </c>
      <c r="L88" s="25" t="s">
        <v>4375</v>
      </c>
      <c r="M88" s="25" t="s">
        <v>4376</v>
      </c>
      <c r="N88" s="25" t="s">
        <v>4377</v>
      </c>
      <c r="O88" s="25" t="s">
        <v>4378</v>
      </c>
      <c r="P88" s="25" t="s">
        <v>4379</v>
      </c>
    </row>
    <row r="89" spans="1:25" ht="54.75" customHeight="1" x14ac:dyDescent="0.25">
      <c r="A89" s="25"/>
      <c r="B89" s="25"/>
      <c r="C89" s="25"/>
      <c r="D89" s="25"/>
      <c r="E89" s="25">
        <v>17</v>
      </c>
      <c r="F89" s="25" t="s">
        <v>4460</v>
      </c>
      <c r="G89" s="25" t="s">
        <v>4380</v>
      </c>
      <c r="H89" s="25" t="s">
        <v>1858</v>
      </c>
      <c r="I89" s="25" t="s">
        <v>4381</v>
      </c>
      <c r="J89" s="25" t="s">
        <v>1864</v>
      </c>
      <c r="K89" s="25" t="s">
        <v>4382</v>
      </c>
      <c r="L89" s="25" t="s">
        <v>4383</v>
      </c>
      <c r="M89" s="25" t="s">
        <v>1859</v>
      </c>
      <c r="N89" s="25" t="s">
        <v>1861</v>
      </c>
      <c r="O89" s="25" t="s">
        <v>1865</v>
      </c>
      <c r="P89" s="25" t="s">
        <v>4384</v>
      </c>
      <c r="Q89" s="1" t="str">
        <f>CONCATENATE("a) ",(H93))</f>
        <v>a) a) Britons find Germans to be dishonest</v>
      </c>
      <c r="R89" s="1" t="str">
        <f>CONCATENATE("b) ",(I93))</f>
        <v>b) b) Germans are more likely to enjoy chatting</v>
      </c>
      <c r="S89" s="1" t="str">
        <f>CONCATENATE("c) ",(J93))</f>
        <v>c) c) Britons are more polite than Germans</v>
      </c>
      <c r="T89" s="1" t="str">
        <f>CONCATENATE("d) ",(K93))</f>
        <v>d) d) To Britons, Germans appear to be blunt</v>
      </c>
      <c r="V89" s="1" t="str">
        <f>CONCATENATE("a) ",(M93))</f>
        <v xml:space="preserve">a) </v>
      </c>
      <c r="W89" s="1" t="str">
        <f>CONCATENATE("b) ",(N93))</f>
        <v xml:space="preserve">b) </v>
      </c>
      <c r="X89" s="1" t="str">
        <f>CONCATENATE("c) ",(O93))</f>
        <v xml:space="preserve">c) </v>
      </c>
      <c r="Y89" s="1" t="str">
        <f>CONCATENATE("d) ",(P93))</f>
        <v xml:space="preserve">d) </v>
      </c>
    </row>
    <row r="90" spans="1:25" ht="66" customHeight="1" x14ac:dyDescent="0.25">
      <c r="A90" s="25"/>
      <c r="B90" s="25"/>
      <c r="C90" s="25"/>
      <c r="D90" s="25"/>
      <c r="E90" s="25">
        <v>18</v>
      </c>
      <c r="F90" s="25" t="s">
        <v>4461</v>
      </c>
      <c r="G90" s="25" t="s">
        <v>4385</v>
      </c>
      <c r="H90" s="25" t="s">
        <v>4386</v>
      </c>
      <c r="I90" s="25" t="s">
        <v>4387</v>
      </c>
      <c r="J90" s="25" t="s">
        <v>4388</v>
      </c>
      <c r="K90" s="25" t="s">
        <v>4389</v>
      </c>
      <c r="L90" s="25" t="s">
        <v>4390</v>
      </c>
      <c r="M90" s="25" t="s">
        <v>4391</v>
      </c>
      <c r="N90" s="25" t="s">
        <v>4392</v>
      </c>
      <c r="O90" s="25" t="s">
        <v>4393</v>
      </c>
      <c r="P90" s="25" t="s">
        <v>4394</v>
      </c>
      <c r="Q90" s="1" t="str">
        <f>CONCATENATE("a) ",(H94))</f>
        <v>a) a) It was founded because there is an abundance of criminal lawyers</v>
      </c>
      <c r="R90" s="1" t="str">
        <f>CONCATENATE("b) ",(I94))</f>
        <v>b) b) It is not necessary to have a subscription to use its services</v>
      </c>
      <c r="S90" s="1" t="str">
        <f>CONCATENATE("c) ",(J94))</f>
        <v>c) c) It is still in the planning stages</v>
      </c>
      <c r="T90" s="1" t="str">
        <f>CONCATENATE("d) ",(K94))</f>
        <v>d) d) Lawyers contribute to the cost of running the company</v>
      </c>
      <c r="V90" s="1" t="str">
        <f>CONCATENATE("a) ",(M94))</f>
        <v xml:space="preserve">a) </v>
      </c>
      <c r="W90" s="1" t="str">
        <f>CONCATENATE("b) ",(N94))</f>
        <v xml:space="preserve">b) </v>
      </c>
      <c r="X90" s="1" t="str">
        <f>CONCATENATE("c) ",(O94))</f>
        <v xml:space="preserve">c) </v>
      </c>
      <c r="Y90" s="1" t="str">
        <f>CONCATENATE("d) ",(P94))</f>
        <v xml:space="preserve">d) </v>
      </c>
    </row>
    <row r="91" spans="1:25" ht="60" customHeight="1" x14ac:dyDescent="0.25">
      <c r="A91" s="25"/>
      <c r="B91" s="25"/>
      <c r="C91" s="25"/>
      <c r="D91" s="25"/>
      <c r="E91" s="25">
        <v>19</v>
      </c>
      <c r="F91" s="25" t="s">
        <v>4462</v>
      </c>
      <c r="G91" s="25" t="s">
        <v>4395</v>
      </c>
      <c r="H91" s="25" t="s">
        <v>4396</v>
      </c>
      <c r="I91" s="25" t="s">
        <v>4397</v>
      </c>
      <c r="J91" s="25" t="s">
        <v>4398</v>
      </c>
      <c r="K91" s="25" t="s">
        <v>4399</v>
      </c>
      <c r="L91" s="25" t="s">
        <v>4400</v>
      </c>
      <c r="M91" s="25" t="s">
        <v>4401</v>
      </c>
      <c r="N91" s="25" t="s">
        <v>4402</v>
      </c>
      <c r="O91" s="25" t="s">
        <v>4403</v>
      </c>
      <c r="P91" s="25" t="s">
        <v>4404</v>
      </c>
      <c r="Q91" s="1" t="str">
        <f>CONCATENATE("a) ",(H95))</f>
        <v>a) a) They are under control</v>
      </c>
      <c r="R91" s="1" t="str">
        <f>CONCATENATE("b) ",(I95))</f>
        <v>b) b) They are losing local support</v>
      </c>
      <c r="S91" s="1" t="str">
        <f>CONCATENATE("c) ",(J95))</f>
        <v>c) c) They have infiltrated the Afghan Security Force</v>
      </c>
      <c r="T91" s="1" t="str">
        <f>CONCATENATE("d) ",(K95))</f>
        <v>d) d) They have limited education</v>
      </c>
      <c r="V91" s="1" t="str">
        <f>CONCATENATE("a) ",(M95))</f>
        <v xml:space="preserve">a) </v>
      </c>
      <c r="W91" s="1" t="str">
        <f>CONCATENATE("b) ",(N95))</f>
        <v xml:space="preserve">b) </v>
      </c>
      <c r="X91" s="1" t="str">
        <f>CONCATENATE("c) ",(O95))</f>
        <v xml:space="preserve">c) </v>
      </c>
      <c r="Y91" s="1" t="str">
        <f>CONCATENATE("d) ",(P95))</f>
        <v xml:space="preserve">d) </v>
      </c>
    </row>
    <row r="92" spans="1:25" ht="33.75" customHeight="1" x14ac:dyDescent="0.25">
      <c r="A92" s="25"/>
      <c r="B92" s="25"/>
      <c r="C92" s="25"/>
      <c r="D92" s="25"/>
      <c r="E92" s="25">
        <v>20</v>
      </c>
      <c r="F92" s="25" t="s">
        <v>4463</v>
      </c>
      <c r="G92" s="25" t="s">
        <v>4405</v>
      </c>
      <c r="H92" s="25" t="s">
        <v>4406</v>
      </c>
      <c r="I92" s="25" t="s">
        <v>4407</v>
      </c>
      <c r="J92" s="25" t="s">
        <v>4408</v>
      </c>
      <c r="K92" s="25" t="s">
        <v>4409</v>
      </c>
      <c r="L92" s="25" t="s">
        <v>4410</v>
      </c>
      <c r="M92" s="25" t="s">
        <v>4411</v>
      </c>
      <c r="N92" s="25" t="s">
        <v>4412</v>
      </c>
      <c r="O92" s="25" t="s">
        <v>4413</v>
      </c>
      <c r="P92" s="25" t="s">
        <v>4414</v>
      </c>
      <c r="Q92" s="1" t="str">
        <f>CONCATENATE("a) ",(H96))</f>
        <v>a) a) Villagers are enticing the bears to come to the village</v>
      </c>
      <c r="R92" s="1" t="str">
        <f>CONCATENATE("b) ",(I96))</f>
        <v>b) b) The bears have reappeared after previous danger of eradication</v>
      </c>
      <c r="S92" s="1" t="str">
        <f>CONCATENATE("c) ",(J96))</f>
        <v>c) c) It was previously easy to encounter a European brown bear</v>
      </c>
      <c r="T92" s="1" t="str">
        <f>CONCATENATE("d) ",(K96))</f>
        <v>d) d) The bears are currently close to extinction</v>
      </c>
      <c r="V92" s="1" t="str">
        <f>CONCATENATE("a) ",(M96))</f>
        <v xml:space="preserve">a) </v>
      </c>
      <c r="W92" s="1" t="str">
        <f>CONCATENATE("b) ",(N96))</f>
        <v xml:space="preserve">b) </v>
      </c>
      <c r="X92" s="1" t="str">
        <f>CONCATENATE("c) ",(O96))</f>
        <v xml:space="preserve">c) </v>
      </c>
      <c r="Y92" s="1" t="str">
        <f>CONCATENATE("d) ",(P96))</f>
        <v xml:space="preserve">d) </v>
      </c>
    </row>
    <row r="93" spans="1:25" ht="57.75" customHeight="1" x14ac:dyDescent="0.25">
      <c r="A93" s="26"/>
      <c r="B93" s="26"/>
      <c r="C93" s="26">
        <v>6</v>
      </c>
      <c r="D93" s="26" t="s">
        <v>1249</v>
      </c>
      <c r="E93" s="26">
        <v>1</v>
      </c>
      <c r="F93" s="26" t="s">
        <v>4082</v>
      </c>
      <c r="G93" s="26" t="s">
        <v>4179</v>
      </c>
      <c r="H93" s="26" t="s">
        <v>4097</v>
      </c>
      <c r="I93" s="26" t="s">
        <v>4098</v>
      </c>
      <c r="J93" s="26" t="s">
        <v>4099</v>
      </c>
      <c r="K93" s="26" t="s">
        <v>4100</v>
      </c>
      <c r="L93" s="26"/>
      <c r="M93" s="26"/>
      <c r="N93" s="26"/>
      <c r="O93" s="26"/>
      <c r="P93" s="26"/>
      <c r="Q93" s="1" t="str">
        <f>CONCATENATE("a) ",(H113))</f>
        <v>a) a) Mandula was quite fat when she was found.</v>
      </c>
      <c r="R93" s="1" t="str">
        <f>CONCATENATE("b) ",(I113))</f>
        <v>b) b) Csilla now has 7 cats living with her.</v>
      </c>
      <c r="S93" s="1" t="str">
        <f>CONCATENATE("c) ",(J113))</f>
        <v>c) c) Mandula likes eating almonds and watching TV.</v>
      </c>
      <c r="T93" s="1" t="str">
        <f>CONCATENATE("d) ",(K113))</f>
        <v>d) d) Csilla found homes for all of Mandula’s kittens.</v>
      </c>
      <c r="V93" s="1" t="str">
        <f>CONCATENATE("a) ",(M113))</f>
        <v xml:space="preserve">a) </v>
      </c>
      <c r="W93" s="1" t="str">
        <f>CONCATENATE("b) ",(N113))</f>
        <v xml:space="preserve">b) </v>
      </c>
      <c r="X93" s="1" t="str">
        <f>CONCATENATE("c) ",(O113))</f>
        <v xml:space="preserve">c) </v>
      </c>
      <c r="Y93" s="1" t="str">
        <f>CONCATENATE("d) ",(P113))</f>
        <v xml:space="preserve">d) </v>
      </c>
    </row>
    <row r="94" spans="1:25" ht="57.75" customHeight="1" x14ac:dyDescent="0.25">
      <c r="A94" s="26"/>
      <c r="B94" s="26"/>
      <c r="C94" s="26"/>
      <c r="D94" s="26" t="s">
        <v>4209</v>
      </c>
      <c r="E94" s="26">
        <v>2</v>
      </c>
      <c r="F94" s="26" t="s">
        <v>4083</v>
      </c>
      <c r="G94" s="26" t="s">
        <v>4180</v>
      </c>
      <c r="H94" s="26" t="s">
        <v>4101</v>
      </c>
      <c r="I94" s="26" t="s">
        <v>4102</v>
      </c>
      <c r="J94" s="26" t="s">
        <v>4103</v>
      </c>
      <c r="K94" s="26" t="s">
        <v>4104</v>
      </c>
      <c r="L94" s="26"/>
      <c r="M94" s="26"/>
      <c r="N94" s="26"/>
      <c r="O94" s="26"/>
      <c r="P94" s="26"/>
      <c r="Q94" s="1" t="str">
        <f t="shared" ref="Q94:Q111" si="14">CONCATENATE("a) ",(H114))</f>
        <v>a) a) The landing could be easily seen and heard by the enemy.</v>
      </c>
      <c r="R94" s="1" t="str">
        <f t="shared" ref="R94:R111" si="15">CONCATENATE("b) ",(I114))</f>
        <v>b) b) They tried to land the men and the equipment without being seen.</v>
      </c>
      <c r="S94" s="1" t="str">
        <f t="shared" ref="S94:S111" si="16">CONCATENATE("c) ",(J114))</f>
        <v>c) c) They had muffled the equipment so that no light could be seen.</v>
      </c>
      <c r="T94" s="1" t="str">
        <f t="shared" ref="T94:T111" si="17">CONCATENATE("d) ",(K114))</f>
        <v>d) d) They used secret codes so as to surprise the enemy.</v>
      </c>
      <c r="V94" s="1" t="str">
        <f t="shared" ref="V94:V111" si="18">CONCATENATE("a) ",(M114))</f>
        <v xml:space="preserve">a) </v>
      </c>
      <c r="W94" s="1" t="str">
        <f t="shared" ref="W94:W111" si="19">CONCATENATE("b) ",(N114))</f>
        <v xml:space="preserve">b) </v>
      </c>
      <c r="X94" s="1" t="str">
        <f t="shared" ref="X94:X111" si="20">CONCATENATE("c) ",(O114))</f>
        <v xml:space="preserve">c) </v>
      </c>
      <c r="Y94" s="1" t="str">
        <f t="shared" ref="Y94:Y111" si="21">CONCATENATE("d) ",(P114))</f>
        <v xml:space="preserve">d) </v>
      </c>
    </row>
    <row r="95" spans="1:25" ht="57.75" customHeight="1" x14ac:dyDescent="0.25">
      <c r="A95" s="26"/>
      <c r="B95" s="26"/>
      <c r="C95" s="26"/>
      <c r="D95" s="26" t="s">
        <v>359</v>
      </c>
      <c r="E95" s="26">
        <v>3</v>
      </c>
      <c r="F95" s="26" t="s">
        <v>4084</v>
      </c>
      <c r="G95" s="26" t="s">
        <v>4181</v>
      </c>
      <c r="H95" s="26" t="s">
        <v>4105</v>
      </c>
      <c r="I95" s="26" t="s">
        <v>4106</v>
      </c>
      <c r="J95" s="26" t="s">
        <v>4107</v>
      </c>
      <c r="K95" s="26" t="s">
        <v>4108</v>
      </c>
      <c r="L95" s="26"/>
      <c r="M95" s="26"/>
      <c r="N95" s="26"/>
      <c r="O95" s="26"/>
      <c r="P95" s="26"/>
      <c r="Q95" s="1" t="str">
        <f t="shared" si="14"/>
        <v>a) a) Some land mines have been found near the Iron Curtain.</v>
      </c>
      <c r="R95" s="1" t="str">
        <f t="shared" si="15"/>
        <v>b) b) There has been a proposal to protect the Iron Curtain from demolition.</v>
      </c>
      <c r="S95" s="1" t="str">
        <f t="shared" si="16"/>
        <v>c) c) The land around the Iron Curtain is home to many types of wildlife.</v>
      </c>
      <c r="T95" s="1" t="str">
        <f t="shared" si="17"/>
        <v>d) d) Some German states want to develop the Iron Curtain area.</v>
      </c>
      <c r="V95" s="1" t="str">
        <f t="shared" si="18"/>
        <v xml:space="preserve">a) </v>
      </c>
      <c r="W95" s="1" t="str">
        <f t="shared" si="19"/>
        <v xml:space="preserve">b) </v>
      </c>
      <c r="X95" s="1" t="str">
        <f t="shared" si="20"/>
        <v xml:space="preserve">c) </v>
      </c>
      <c r="Y95" s="1" t="str">
        <f t="shared" si="21"/>
        <v xml:space="preserve">d) </v>
      </c>
    </row>
    <row r="96" spans="1:25" ht="57.75" customHeight="1" x14ac:dyDescent="0.25">
      <c r="A96" s="26"/>
      <c r="B96" s="26"/>
      <c r="C96" s="26"/>
      <c r="D96" s="26"/>
      <c r="E96" s="26">
        <v>4</v>
      </c>
      <c r="F96" s="26" t="s">
        <v>4085</v>
      </c>
      <c r="G96" s="26" t="s">
        <v>4182</v>
      </c>
      <c r="H96" s="26" t="s">
        <v>4109</v>
      </c>
      <c r="I96" s="26" t="s">
        <v>4110</v>
      </c>
      <c r="J96" s="26" t="s">
        <v>4111</v>
      </c>
      <c r="K96" s="26" t="s">
        <v>4112</v>
      </c>
      <c r="L96" s="26"/>
      <c r="M96" s="26"/>
      <c r="N96" s="26"/>
      <c r="O96" s="26"/>
      <c r="P96" s="26"/>
      <c r="Q96" s="1" t="str">
        <f t="shared" si="14"/>
        <v>a) a) He/she changes plans easily.</v>
      </c>
      <c r="R96" s="1" t="str">
        <f t="shared" si="15"/>
        <v>b) b) He/she is domineering.</v>
      </c>
      <c r="S96" s="1" t="str">
        <f t="shared" si="16"/>
        <v>c) c) He/she is firm.</v>
      </c>
      <c r="T96" s="1" t="str">
        <f t="shared" si="17"/>
        <v>d) d) He/she has a masculine nature.</v>
      </c>
      <c r="V96" s="1" t="str">
        <f t="shared" si="18"/>
        <v xml:space="preserve">a) </v>
      </c>
      <c r="W96" s="1" t="str">
        <f t="shared" si="19"/>
        <v xml:space="preserve">b) </v>
      </c>
      <c r="X96" s="1" t="str">
        <f t="shared" si="20"/>
        <v xml:space="preserve">c) </v>
      </c>
      <c r="Y96" s="1" t="str">
        <f t="shared" si="21"/>
        <v xml:space="preserve">d) </v>
      </c>
    </row>
    <row r="97" spans="1:25" ht="57.75" customHeight="1" x14ac:dyDescent="0.25">
      <c r="A97" s="26"/>
      <c r="B97" s="26"/>
      <c r="C97" s="26"/>
      <c r="D97" s="26"/>
      <c r="E97" s="26">
        <v>5</v>
      </c>
      <c r="F97" s="26" t="s">
        <v>4086</v>
      </c>
      <c r="G97" s="26" t="s">
        <v>4183</v>
      </c>
      <c r="H97" s="26" t="s">
        <v>4113</v>
      </c>
      <c r="I97" s="26" t="s">
        <v>4114</v>
      </c>
      <c r="J97" s="26" t="s">
        <v>4115</v>
      </c>
      <c r="K97" s="26" t="s">
        <v>4116</v>
      </c>
      <c r="L97" s="26"/>
      <c r="M97" s="26"/>
      <c r="N97" s="26"/>
      <c r="O97" s="26"/>
      <c r="P97" s="26"/>
      <c r="Q97" s="1" t="str">
        <f t="shared" si="14"/>
        <v>a) a) They receive a check for $20,000 in prize money.</v>
      </c>
      <c r="R97" s="1" t="str">
        <f t="shared" si="15"/>
        <v>b) b) They receive a green jacket which they keep for life.</v>
      </c>
      <c r="S97" s="1" t="str">
        <f t="shared" si="16"/>
        <v>c) c) They present a green jacket to the next year’s winner.</v>
      </c>
      <c r="T97" s="1" t="str">
        <f t="shared" si="17"/>
        <v>d) d) They can wear their green jacket to other golf tournaments.</v>
      </c>
      <c r="V97" s="1" t="str">
        <f t="shared" si="18"/>
        <v xml:space="preserve">a) </v>
      </c>
      <c r="W97" s="1" t="str">
        <f t="shared" si="19"/>
        <v xml:space="preserve">b) </v>
      </c>
      <c r="X97" s="1" t="str">
        <f t="shared" si="20"/>
        <v xml:space="preserve">c) </v>
      </c>
      <c r="Y97" s="1" t="str">
        <f t="shared" si="21"/>
        <v xml:space="preserve">d) </v>
      </c>
    </row>
    <row r="98" spans="1:25" ht="57.75" customHeight="1" x14ac:dyDescent="0.25">
      <c r="A98" s="26"/>
      <c r="B98" s="26"/>
      <c r="C98" s="26"/>
      <c r="D98" s="26"/>
      <c r="E98" s="26">
        <v>6</v>
      </c>
      <c r="F98" s="26" t="s">
        <v>4087</v>
      </c>
      <c r="G98" s="26" t="s">
        <v>4184</v>
      </c>
      <c r="H98" s="26" t="s">
        <v>4117</v>
      </c>
      <c r="I98" s="26" t="s">
        <v>4118</v>
      </c>
      <c r="J98" s="26" t="s">
        <v>4119</v>
      </c>
      <c r="K98" s="26" t="s">
        <v>4120</v>
      </c>
      <c r="L98" s="26"/>
      <c r="M98" s="26"/>
      <c r="N98" s="26"/>
      <c r="O98" s="26"/>
      <c r="P98" s="26"/>
      <c r="Q98" s="1" t="str">
        <f t="shared" si="14"/>
        <v>a) a) warm the alioli sauce.</v>
      </c>
      <c r="R98" s="1" t="str">
        <f t="shared" si="15"/>
        <v>b) b) make a paste with the asparagus.</v>
      </c>
      <c r="S98" s="1" t="str">
        <f t="shared" si="16"/>
        <v>c) c) add the alioli sauce before serving.</v>
      </c>
      <c r="T98" s="1" t="str">
        <f t="shared" si="17"/>
        <v>d) d) fry the asparagus.</v>
      </c>
      <c r="V98" s="1" t="str">
        <f t="shared" si="18"/>
        <v xml:space="preserve">a) </v>
      </c>
      <c r="W98" s="1" t="str">
        <f t="shared" si="19"/>
        <v xml:space="preserve">b) </v>
      </c>
      <c r="X98" s="1" t="str">
        <f t="shared" si="20"/>
        <v xml:space="preserve">c) </v>
      </c>
      <c r="Y98" s="1" t="str">
        <f t="shared" si="21"/>
        <v xml:space="preserve">d) </v>
      </c>
    </row>
    <row r="99" spans="1:25" ht="57.75" customHeight="1" x14ac:dyDescent="0.25">
      <c r="A99" s="26"/>
      <c r="B99" s="26"/>
      <c r="C99" s="26"/>
      <c r="D99" s="26"/>
      <c r="E99" s="26">
        <v>7</v>
      </c>
      <c r="F99" s="26" t="s">
        <v>4088</v>
      </c>
      <c r="G99" s="26" t="s">
        <v>4185</v>
      </c>
      <c r="H99" s="26" t="s">
        <v>4121</v>
      </c>
      <c r="I99" s="26" t="s">
        <v>4122</v>
      </c>
      <c r="J99" s="26" t="s">
        <v>4123</v>
      </c>
      <c r="K99" s="26" t="s">
        <v>4124</v>
      </c>
      <c r="L99" s="26"/>
      <c r="M99" s="26"/>
      <c r="N99" s="26"/>
      <c r="O99" s="26"/>
      <c r="P99" s="26"/>
      <c r="Q99" s="1" t="str">
        <f t="shared" si="14"/>
        <v>a) a) Mr. Karnis used to have to wait to travel across borders.</v>
      </c>
      <c r="R99" s="1" t="str">
        <f t="shared" si="15"/>
        <v>b) b) Central Europeans have to show their passports at borders.</v>
      </c>
      <c r="S99" s="1" t="str">
        <f t="shared" si="16"/>
        <v>c) c) Mr. Karnis enjoys travelling with his neighbor on holidays.</v>
      </c>
      <c r="T99" s="1" t="str">
        <f t="shared" si="17"/>
        <v>d) d) Rudolf Karnis and Peter Svancar both live in Poland.</v>
      </c>
      <c r="V99" s="1" t="str">
        <f t="shared" si="18"/>
        <v xml:space="preserve">a) </v>
      </c>
      <c r="W99" s="1" t="str">
        <f t="shared" si="19"/>
        <v xml:space="preserve">b) </v>
      </c>
      <c r="X99" s="1" t="str">
        <f t="shared" si="20"/>
        <v xml:space="preserve">c) </v>
      </c>
      <c r="Y99" s="1" t="str">
        <f t="shared" si="21"/>
        <v xml:space="preserve">d) </v>
      </c>
    </row>
    <row r="100" spans="1:25" ht="57.75" customHeight="1" x14ac:dyDescent="0.25">
      <c r="A100" s="26"/>
      <c r="B100" s="26"/>
      <c r="C100" s="26"/>
      <c r="D100" s="26"/>
      <c r="E100" s="26">
        <v>8</v>
      </c>
      <c r="F100" s="26" t="s">
        <v>4089</v>
      </c>
      <c r="G100" s="26" t="s">
        <v>4186</v>
      </c>
      <c r="H100" s="26" t="s">
        <v>4125</v>
      </c>
      <c r="I100" s="26" t="s">
        <v>4126</v>
      </c>
      <c r="J100" s="26" t="s">
        <v>4127</v>
      </c>
      <c r="K100" s="26" t="s">
        <v>4128</v>
      </c>
      <c r="L100" s="26"/>
      <c r="M100" s="26"/>
      <c r="N100" s="26"/>
      <c r="O100" s="26"/>
      <c r="P100" s="26"/>
      <c r="Q100" s="1" t="str">
        <f t="shared" si="14"/>
        <v>a) a) A health inspector closed a restaurant selling poison mushrooms.</v>
      </c>
      <c r="R100" s="1" t="str">
        <f t="shared" si="15"/>
        <v>b) b) A restaurant manager’s attempt to save money caused a big problem.</v>
      </c>
      <c r="S100" s="1" t="str">
        <f t="shared" si="16"/>
        <v>c) c) Several people became ill after eating mushrooms they collected.</v>
      </c>
      <c r="T100" s="1" t="str">
        <f t="shared" si="17"/>
        <v>d) d) Several people have accused the manager of poisoning them.</v>
      </c>
      <c r="V100" s="1" t="str">
        <f t="shared" si="18"/>
        <v xml:space="preserve">a) </v>
      </c>
      <c r="W100" s="1" t="str">
        <f t="shared" si="19"/>
        <v xml:space="preserve">b) </v>
      </c>
      <c r="X100" s="1" t="str">
        <f t="shared" si="20"/>
        <v xml:space="preserve">c) </v>
      </c>
      <c r="Y100" s="1" t="str">
        <f t="shared" si="21"/>
        <v xml:space="preserve">d) </v>
      </c>
    </row>
    <row r="101" spans="1:25" ht="57.75" customHeight="1" x14ac:dyDescent="0.25">
      <c r="A101" s="26"/>
      <c r="B101" s="26"/>
      <c r="C101" s="26"/>
      <c r="D101" s="26"/>
      <c r="E101" s="26">
        <v>9</v>
      </c>
      <c r="F101" s="26" t="s">
        <v>4090</v>
      </c>
      <c r="G101" s="26" t="s">
        <v>4187</v>
      </c>
      <c r="H101" s="26" t="s">
        <v>4129</v>
      </c>
      <c r="I101" s="26" t="s">
        <v>4130</v>
      </c>
      <c r="J101" s="26" t="s">
        <v>4131</v>
      </c>
      <c r="K101" s="26" t="s">
        <v>4132</v>
      </c>
      <c r="L101" s="26"/>
      <c r="M101" s="26"/>
      <c r="N101" s="26"/>
      <c r="O101" s="26"/>
      <c r="P101" s="26"/>
      <c r="Q101" s="1" t="str">
        <f t="shared" si="14"/>
        <v>a) a) Burning biomass produces more electricity than burning fossil fuels.</v>
      </c>
      <c r="R101" s="1" t="str">
        <f t="shared" si="15"/>
        <v>b) b) There should be more credits available for funding biomass projects.</v>
      </c>
      <c r="S101" s="1" t="str">
        <f t="shared" si="16"/>
        <v>c) c) Fears about the efficiency of biomass need to be considered.</v>
      </c>
      <c r="T101" s="1" t="str">
        <f t="shared" si="17"/>
        <v>d) d) Replacing fossil fuels with biomass would reduce our carbon footprint.</v>
      </c>
      <c r="V101" s="1" t="str">
        <f t="shared" si="18"/>
        <v>a) a) The line between renewable and non-renewable energies is very thin.</v>
      </c>
      <c r="W101" s="1" t="str">
        <f t="shared" si="19"/>
        <v>b) b) Carbon dioxide produced by burning biomass and fossil fuel cannot be equated.</v>
      </c>
      <c r="X101" s="1" t="str">
        <f t="shared" si="20"/>
        <v>c) c) Biomass energy has become a cheap and competitive alternative fuel.</v>
      </c>
      <c r="Y101" s="1" t="str">
        <f t="shared" si="21"/>
        <v>d) d) Scientists need to study and clarify the benefits of biomass energy.</v>
      </c>
    </row>
    <row r="102" spans="1:25" ht="57.75" customHeight="1" x14ac:dyDescent="0.25">
      <c r="A102" s="26"/>
      <c r="B102" s="26"/>
      <c r="C102" s="26"/>
      <c r="D102" s="26"/>
      <c r="E102" s="26">
        <v>10</v>
      </c>
      <c r="F102" s="26" t="s">
        <v>4091</v>
      </c>
      <c r="G102" s="26" t="s">
        <v>4188</v>
      </c>
      <c r="H102" s="26" t="s">
        <v>1662</v>
      </c>
      <c r="I102" s="26" t="s">
        <v>1663</v>
      </c>
      <c r="J102" s="26" t="s">
        <v>1664</v>
      </c>
      <c r="K102" s="26" t="s">
        <v>4133</v>
      </c>
      <c r="L102" s="26"/>
      <c r="M102" s="26"/>
      <c r="N102" s="26"/>
      <c r="O102" s="26"/>
      <c r="P102" s="26"/>
      <c r="Q102" s="1" t="str">
        <f t="shared" si="14"/>
        <v>a) a) New methods of testing have exposed much higher numbers of microbes in water and
air supplies than previously suspected.</v>
      </c>
      <c r="R102" s="1" t="str">
        <f t="shared" si="15"/>
        <v>b) b) There are no effective ways to decrease the amount of bacteria you are exposed to in
the shower.</v>
      </c>
      <c r="S102" s="1" t="str">
        <f t="shared" si="16"/>
        <v>c) c) Bacteria builds up over time, so the longer your shower, the more bacteria you are
exposed to.</v>
      </c>
      <c r="T102" s="1" t="str">
        <f t="shared" si="17"/>
        <v>d) d) There are some simple steps you can take to greatly reduce the amount of bacteria
inhaled while in the shower.</v>
      </c>
      <c r="V102" s="1" t="str">
        <f t="shared" si="18"/>
        <v>a) a) He doesn't understand how someone could undertake this kind of disgusting research.</v>
      </c>
      <c r="W102" s="1" t="str">
        <f t="shared" si="19"/>
        <v>b) b) Even though this type of research is important, we shouldn't think about it in our day to
day lives.</v>
      </c>
      <c r="X102" s="1" t="str">
        <f t="shared" si="20"/>
        <v>c) c) We would be better off if scientists didn't undertake this kind of research because it just
makes us more paranoid.</v>
      </c>
      <c r="Y102" s="1" t="str">
        <f t="shared" si="21"/>
        <v>d) d) The research is rather pointless since so much of the bacteria can't be identified with
current techniques.</v>
      </c>
    </row>
    <row r="103" spans="1:25" ht="57.75" customHeight="1" x14ac:dyDescent="0.25">
      <c r="A103" s="26"/>
      <c r="B103" s="26"/>
      <c r="C103" s="26"/>
      <c r="D103" s="26"/>
      <c r="E103" s="26">
        <v>11</v>
      </c>
      <c r="F103" s="26" t="s">
        <v>4092</v>
      </c>
      <c r="G103" s="26" t="s">
        <v>4189</v>
      </c>
      <c r="H103" s="26" t="s">
        <v>4139</v>
      </c>
      <c r="I103" s="26" t="s">
        <v>4140</v>
      </c>
      <c r="J103" s="26" t="s">
        <v>4141</v>
      </c>
      <c r="K103" s="26" t="s">
        <v>4142</v>
      </c>
      <c r="L103" s="26" t="s">
        <v>4199</v>
      </c>
      <c r="M103" s="26" t="s">
        <v>4160</v>
      </c>
      <c r="N103" s="26" t="s">
        <v>4161</v>
      </c>
      <c r="O103" s="26" t="s">
        <v>4162</v>
      </c>
      <c r="P103" s="26" t="s">
        <v>4163</v>
      </c>
      <c r="Q103" s="1" t="str">
        <f t="shared" si="14"/>
        <v>a) a) Young stars have come to expect the same treatment and paychecks as established
stars.</v>
      </c>
      <c r="R103" s="1" t="str">
        <f t="shared" si="15"/>
        <v>b) b) Among older viewers, films starring young actors are still not as popular as adult
dramas.</v>
      </c>
      <c r="S103" s="1" t="str">
        <f t="shared" si="16"/>
        <v>c) c) Some flawed films have proven to be very popular based on the appeal of LaBeouf.</v>
      </c>
      <c r="T103" s="1" t="str">
        <f t="shared" si="17"/>
        <v>d) d) Adults' taste in films are now more aligned with those of younger viewers.</v>
      </c>
      <c r="V103" s="1" t="str">
        <f t="shared" si="18"/>
        <v>a) a) LaBeouf is representative of a youth fad that will pass quickly.</v>
      </c>
      <c r="W103" s="1" t="str">
        <f t="shared" si="19"/>
        <v>b) b) The failure of recent adult dramas to perform at the box office is clearly due to the
quality of the films themselves.</v>
      </c>
      <c r="X103" s="1" t="str">
        <f t="shared" si="20"/>
        <v>c) c) LaBeouf and other young stars are displacing more talented actors because they are
so much in demand.</v>
      </c>
      <c r="Y103" s="1" t="str">
        <f t="shared" si="21"/>
        <v>d) d) LaBeouf and other young stars are displacing more talented actors because they are
so much in demand.</v>
      </c>
    </row>
    <row r="104" spans="1:25" ht="57.75" customHeight="1" x14ac:dyDescent="0.25">
      <c r="A104" s="26"/>
      <c r="B104" s="26"/>
      <c r="C104" s="26"/>
      <c r="D104" s="26"/>
      <c r="E104" s="26">
        <v>12</v>
      </c>
      <c r="F104" s="26" t="s">
        <v>4093</v>
      </c>
      <c r="G104" s="26" t="s">
        <v>4190</v>
      </c>
      <c r="H104" s="26" t="s">
        <v>4143</v>
      </c>
      <c r="I104" s="26" t="s">
        <v>4144</v>
      </c>
      <c r="J104" s="26" t="s">
        <v>1643</v>
      </c>
      <c r="K104" s="26" t="s">
        <v>4145</v>
      </c>
      <c r="L104" s="26" t="s">
        <v>4200</v>
      </c>
      <c r="M104" s="26" t="s">
        <v>1665</v>
      </c>
      <c r="N104" s="26" t="s">
        <v>4164</v>
      </c>
      <c r="O104" s="26" t="s">
        <v>4165</v>
      </c>
      <c r="P104" s="26" t="s">
        <v>1666</v>
      </c>
      <c r="Q104" s="1" t="str">
        <f t="shared" si="14"/>
        <v>a) a) Many U.S. citizens have recently begun demanding insurance for illegal workers,
especially those working dangerous jobs.</v>
      </c>
      <c r="R104" s="1" t="str">
        <f t="shared" si="15"/>
        <v>b) b) Having illegal workers take part in a universal care system would likely benefit the
whole system.</v>
      </c>
      <c r="S104" s="1" t="str">
        <f t="shared" si="16"/>
        <v>c) c) It makes financial sense to develop a separate system of health care solely for illegal
immigrants.</v>
      </c>
      <c r="T104" s="1" t="str">
        <f t="shared" si="17"/>
        <v>d) d) Importing legal workers from other countries would be more beneficial than insuring
illegal workers already in the U.S.</v>
      </c>
      <c r="V104" s="1" t="str">
        <f t="shared" si="18"/>
        <v>a) a) Insuring illegal workers is a good idea as long as we oblige them to leave before they
get old.</v>
      </c>
      <c r="W104" s="1" t="str">
        <f t="shared" si="19"/>
        <v>b) b) Insuring illegal workers would only encourage more to come to the U.S., which over
time, would burden the system.</v>
      </c>
      <c r="X104" s="1" t="str">
        <f t="shared" si="20"/>
        <v>c) c) The fact that many of the workers are criminals makes the plan politically untenable.</v>
      </c>
      <c r="Y104" s="1" t="str">
        <f t="shared" si="21"/>
        <v>d) d) Though a good idea, his plan to insure illegal immigrants is unlikely to ever take place.</v>
      </c>
    </row>
    <row r="105" spans="1:25" ht="57.75" customHeight="1" x14ac:dyDescent="0.25">
      <c r="A105" s="26"/>
      <c r="B105" s="26"/>
      <c r="C105" s="26"/>
      <c r="D105" s="26"/>
      <c r="E105" s="26">
        <v>13</v>
      </c>
      <c r="F105" s="26" t="s">
        <v>4094</v>
      </c>
      <c r="G105" s="26" t="s">
        <v>4191</v>
      </c>
      <c r="H105" s="26" t="s">
        <v>4146</v>
      </c>
      <c r="I105" s="26" t="s">
        <v>1644</v>
      </c>
      <c r="J105" s="26" t="s">
        <v>4147</v>
      </c>
      <c r="K105" s="26" t="s">
        <v>4148</v>
      </c>
      <c r="L105" s="26" t="s">
        <v>4201</v>
      </c>
      <c r="M105" s="26" t="s">
        <v>1667</v>
      </c>
      <c r="N105" s="26" t="s">
        <v>1668</v>
      </c>
      <c r="O105" s="26" t="s">
        <v>1669</v>
      </c>
      <c r="P105" s="26" t="s">
        <v>1670</v>
      </c>
      <c r="Q105" s="1" t="str">
        <f t="shared" si="14"/>
        <v>a) a) The rise of computers and cellphones should take most of the blame for the decline.</v>
      </c>
      <c r="R105" s="1" t="str">
        <f t="shared" si="15"/>
        <v>b) b) Nothing good comes out of learning to write on computers and text messages.</v>
      </c>
      <c r="S105" s="1" t="str">
        <f t="shared" si="16"/>
        <v>c) c) The unreliability of early ballpoint pens discouraged people from learning to write well.</v>
      </c>
      <c r="T105" s="1" t="str">
        <f t="shared" si="17"/>
        <v>d) d) The skills improved by learning to handwrite are more useful than those improved by
learning to type.</v>
      </c>
      <c r="V105" s="1" t="str">
        <f t="shared" si="18"/>
        <v>a) a) Handwriting, like many other skills in human history, will likely pass into obscurity.</v>
      </c>
      <c r="W105" s="1" t="str">
        <f t="shared" si="19"/>
        <v>b) b) Handwriting will become a hobby that people will develop despite its anachronism.</v>
      </c>
      <c r="X105" s="1" t="str">
        <f t="shared" si="20"/>
        <v>c) c) Sending children to handwriting schools would be useful only if other subjects were
taught.</v>
      </c>
      <c r="Y105" s="1" t="str">
        <f t="shared" si="21"/>
        <v>d) d) Like horseback riding and sailing, handwriting will likely develop into a pastime for the
elite.</v>
      </c>
    </row>
    <row r="106" spans="1:25" ht="57.75" customHeight="1" x14ac:dyDescent="0.25">
      <c r="A106" s="26"/>
      <c r="B106" s="26"/>
      <c r="C106" s="26"/>
      <c r="D106" s="26"/>
      <c r="E106" s="26">
        <v>14</v>
      </c>
      <c r="F106" s="26" t="s">
        <v>4095</v>
      </c>
      <c r="G106" s="26" t="s">
        <v>4192</v>
      </c>
      <c r="H106" s="26" t="s">
        <v>4149</v>
      </c>
      <c r="I106" s="26" t="s">
        <v>4150</v>
      </c>
      <c r="J106" s="26" t="s">
        <v>4151</v>
      </c>
      <c r="K106" s="26" t="s">
        <v>4152</v>
      </c>
      <c r="L106" s="26" t="s">
        <v>4202</v>
      </c>
      <c r="M106" s="26" t="s">
        <v>4166</v>
      </c>
      <c r="N106" s="26" t="s">
        <v>4167</v>
      </c>
      <c r="O106" s="26" t="s">
        <v>4168</v>
      </c>
      <c r="P106" s="26" t="s">
        <v>4169</v>
      </c>
      <c r="Q106" s="1" t="str">
        <f t="shared" si="14"/>
        <v>a) a) Canadians still remain skeptical of the U.S.’s governing style.</v>
      </c>
      <c r="R106" s="1" t="str">
        <f t="shared" si="15"/>
        <v>b) b) Canadians generally support their American counterparts.</v>
      </c>
      <c r="S106" s="1" t="str">
        <f t="shared" si="16"/>
        <v>c) c) Canadians have softened their views towards the U.S.</v>
      </c>
      <c r="T106" s="1" t="str">
        <f t="shared" si="17"/>
        <v>d) d) Canadians have placed great expectations in America’s new government.</v>
      </c>
      <c r="V106" s="1" t="str">
        <f t="shared" si="18"/>
        <v>a) a) Canadians share the same anti-American sentiments as those of other countries.</v>
      </c>
      <c r="W106" s="1" t="str">
        <f t="shared" si="19"/>
        <v>b) b) The capitalist market in America is just as cruel and outdated as it ever was.</v>
      </c>
      <c r="X106" s="1" t="str">
        <f t="shared" si="20"/>
        <v>c) c) Canadians have begun shedding some of their fearful anti-Americanism.</v>
      </c>
      <c r="Y106" s="1" t="str">
        <f t="shared" si="21"/>
        <v>d) d) Canada's own financial disaster has caused them sympathy for the American plight.</v>
      </c>
    </row>
    <row r="107" spans="1:25" ht="57.75" customHeight="1" x14ac:dyDescent="0.25">
      <c r="A107" s="26"/>
      <c r="B107" s="26"/>
      <c r="C107" s="26"/>
      <c r="D107" s="26"/>
      <c r="E107" s="26">
        <v>15</v>
      </c>
      <c r="F107" s="26" t="s">
        <v>4096</v>
      </c>
      <c r="G107" s="26" t="s">
        <v>4193</v>
      </c>
      <c r="H107" s="26" t="s">
        <v>4153</v>
      </c>
      <c r="I107" s="26" t="s">
        <v>1645</v>
      </c>
      <c r="J107" s="26" t="s">
        <v>1646</v>
      </c>
      <c r="K107" s="26" t="s">
        <v>1647</v>
      </c>
      <c r="L107" s="26" t="s">
        <v>4203</v>
      </c>
      <c r="M107" s="26" t="s">
        <v>4170</v>
      </c>
      <c r="N107" s="26" t="s">
        <v>1671</v>
      </c>
      <c r="O107" s="26" t="s">
        <v>1672</v>
      </c>
      <c r="P107" s="26" t="s">
        <v>4171</v>
      </c>
      <c r="Q107" s="1" t="str">
        <f t="shared" si="14"/>
        <v>a) a) solutions for global warming must be developed in the First World and disseminated to
developing countries.</v>
      </c>
      <c r="R107" s="1" t="str">
        <f t="shared" si="15"/>
        <v>b) b) contraception campaigns in the developing world will solve the problem of global
warming.</v>
      </c>
      <c r="S107" s="1" t="str">
        <f t="shared" si="16"/>
        <v>c) c) a cap-and-trade program for babies could be a viable solution to curb population
growth.</v>
      </c>
      <c r="T107" s="1" t="str">
        <f t="shared" si="17"/>
        <v>d) d) in poor countries, women control the number of children that a family has.</v>
      </c>
      <c r="V107" s="1" t="str">
        <f t="shared" si="18"/>
        <v>a) a) Limits should be palced on the number of children per family in those places.</v>
      </c>
      <c r="W107" s="1" t="str">
        <f t="shared" si="19"/>
        <v>b) b) The developed nations must restrict their industrialization.</v>
      </c>
      <c r="X107" s="1" t="str">
        <f t="shared" si="20"/>
        <v>c) c) They must develope using new, cleaner technologies.</v>
      </c>
      <c r="Y107" s="1" t="str">
        <f t="shared" si="21"/>
        <v>d) d) Contraception and education campaigns should reduce the population before they
industrialize</v>
      </c>
    </row>
    <row r="108" spans="1:25" ht="57.75" customHeight="1" x14ac:dyDescent="0.25">
      <c r="A108" s="26"/>
      <c r="B108" s="26"/>
      <c r="C108" s="26"/>
      <c r="D108" s="26"/>
      <c r="E108" s="26">
        <v>16</v>
      </c>
      <c r="F108" s="26" t="s">
        <v>4134</v>
      </c>
      <c r="G108" s="26" t="s">
        <v>4194</v>
      </c>
      <c r="H108" s="26" t="s">
        <v>4154</v>
      </c>
      <c r="I108" s="26" t="s">
        <v>4155</v>
      </c>
      <c r="J108" s="26" t="s">
        <v>1648</v>
      </c>
      <c r="K108" s="26" t="s">
        <v>1649</v>
      </c>
      <c r="L108" s="26" t="s">
        <v>4204</v>
      </c>
      <c r="M108" s="26" t="s">
        <v>4172</v>
      </c>
      <c r="N108" s="26" t="s">
        <v>4173</v>
      </c>
      <c r="O108" s="26" t="s">
        <v>4174</v>
      </c>
      <c r="P108" s="26" t="s">
        <v>4175</v>
      </c>
      <c r="Q108" s="1" t="str">
        <f t="shared" si="14"/>
        <v>a) a) Special-interest groups abuse the system to further their own goals.</v>
      </c>
      <c r="R108" s="1" t="str">
        <f t="shared" si="15"/>
        <v>b) b) The same progressives who created the system have, over time, crippled it to the point
of ineffectiveness.</v>
      </c>
      <c r="S108" s="1" t="str">
        <f t="shared" si="16"/>
        <v>c) c) California´s system means that anyone can propose a spending bill as long as they
have enough public support.</v>
      </c>
      <c r="T108" s="1" t="str">
        <f t="shared" si="17"/>
        <v>d) d) California´s system of democracy encourages spending while making it difficult to raise
money.</v>
      </c>
      <c r="V108" s="1" t="str">
        <f t="shared" si="18"/>
        <v>a) a) Though the system had admirable goals at its creation, nowadays it is ineffective.</v>
      </c>
      <c r="W108" s="1" t="str">
        <f t="shared" si="19"/>
        <v>b) b) Unions should have done more to prevent rich people and business from taking
advantage of the system.</v>
      </c>
      <c r="X108" s="1" t="str">
        <f t="shared" si="20"/>
        <v>c) c) The idea of the initiative system was flawed from the start.</v>
      </c>
      <c r="Y108" s="1" t="str">
        <f t="shared" si="21"/>
        <v>d) d) California is an example of how the power of demoncracy works in practice.</v>
      </c>
    </row>
    <row r="109" spans="1:25" ht="57.75" customHeight="1" x14ac:dyDescent="0.25">
      <c r="A109" s="26"/>
      <c r="B109" s="26"/>
      <c r="C109" s="26"/>
      <c r="D109" s="26"/>
      <c r="E109" s="26">
        <v>17</v>
      </c>
      <c r="F109" s="26" t="s">
        <v>4135</v>
      </c>
      <c r="G109" s="26" t="s">
        <v>4195</v>
      </c>
      <c r="H109" s="26" t="s">
        <v>1650</v>
      </c>
      <c r="I109" s="26" t="s">
        <v>1651</v>
      </c>
      <c r="J109" s="26" t="s">
        <v>1652</v>
      </c>
      <c r="K109" s="26" t="s">
        <v>1653</v>
      </c>
      <c r="L109" s="26" t="s">
        <v>4205</v>
      </c>
      <c r="M109" s="26" t="s">
        <v>1673</v>
      </c>
      <c r="N109" s="26" t="s">
        <v>1674</v>
      </c>
      <c r="O109" s="26" t="s">
        <v>4176</v>
      </c>
      <c r="P109" s="26" t="s">
        <v>4177</v>
      </c>
      <c r="Q109" s="1" t="str">
        <f t="shared" si="14"/>
        <v>a) a) We must focus on issues of the mistreatment of animals before opening such an
expensive health centre.</v>
      </c>
      <c r="R109" s="1" t="str">
        <f t="shared" si="15"/>
        <v>b) b) The centre should be opened, but should not include facilities for euthanasia.</v>
      </c>
      <c r="S109" s="1" t="str">
        <f t="shared" si="16"/>
        <v>c) c) Given the amount of money spent on the treatment of humans, we can afford to help
animals.</v>
      </c>
      <c r="T109" s="1" t="str">
        <f t="shared" si="17"/>
        <v>d) d) The centre should be opened, but the money should not come from the NHS budget.</v>
      </c>
      <c r="V109" s="1" t="str">
        <f t="shared" si="18"/>
        <v>a) a) Even if animals didn´t feel the same emotional range as humans, we would still have to
care for them</v>
      </c>
      <c r="W109" s="1" t="str">
        <f t="shared" si="19"/>
        <v>b) b) It´s only acceptable to euthanize those animals which have been mistreated,
abandoned, or live in pain.</v>
      </c>
      <c r="X109" s="1" t="str">
        <f t="shared" si="20"/>
        <v>c) c) It is immoral to spend money on expensive veterinarian facilities while many humans
are in need of health care.</v>
      </c>
      <c r="Y109" s="1" t="str">
        <f t="shared" si="21"/>
        <v>d) d) We must provide care for domesticated animals because we have made them
dependent on us.</v>
      </c>
    </row>
    <row r="110" spans="1:25" ht="57.75" customHeight="1" x14ac:dyDescent="0.25">
      <c r="A110" s="26"/>
      <c r="B110" s="26"/>
      <c r="C110" s="26"/>
      <c r="D110" s="26"/>
      <c r="E110" s="26">
        <v>18</v>
      </c>
      <c r="F110" s="26" t="s">
        <v>4136</v>
      </c>
      <c r="G110" s="26" t="s">
        <v>4196</v>
      </c>
      <c r="H110" s="26" t="s">
        <v>1654</v>
      </c>
      <c r="I110" s="26" t="s">
        <v>1655</v>
      </c>
      <c r="J110" s="26" t="s">
        <v>4156</v>
      </c>
      <c r="K110" s="26" t="s">
        <v>4157</v>
      </c>
      <c r="L110" s="26" t="s">
        <v>4206</v>
      </c>
      <c r="M110" s="26" t="s">
        <v>1675</v>
      </c>
      <c r="N110" s="26" t="s">
        <v>1676</v>
      </c>
      <c r="O110" s="26" t="s">
        <v>1677</v>
      </c>
      <c r="P110" s="26" t="s">
        <v>1678</v>
      </c>
      <c r="Q110" s="1" t="str">
        <f t="shared" si="14"/>
        <v>a) a) Documentary filmmakers have been unjustly accused of manipulating facts.</v>
      </c>
      <c r="R110" s="1" t="str">
        <f t="shared" si="15"/>
        <v>b) b) The truth presented in documentary films may be more skewed than the viewer
expected.</v>
      </c>
      <c r="S110" s="1" t="str">
        <f t="shared" si="16"/>
        <v>c) c) Documentary filmmakers are solely interested in presenting the facts and the higher
truth.</v>
      </c>
      <c r="T110" s="1" t="str">
        <f t="shared" si="17"/>
        <v>d) d) The conventional ethics learned at the school of journalists was corroborated.</v>
      </c>
      <c r="V110" s="1" t="str">
        <f t="shared" si="18"/>
        <v>a) a) Some documentary filmmmakers find it acceptable to manipulate small facts in the
name of social justice.</v>
      </c>
      <c r="W110" s="1" t="str">
        <f t="shared" si="19"/>
        <v>b) b) Documentary filmmakers seeking an audience or funding should manipulate facts.</v>
      </c>
      <c r="X110" s="1" t="str">
        <f t="shared" si="20"/>
        <v>c) c) Documentaries, which concern issues of social justice, have a greater responsibility to
be accurate.</v>
      </c>
      <c r="Y110" s="1" t="str">
        <f t="shared" si="21"/>
        <v>d) d) Filmmakers who are passionate about their subject matter shouldn't be restricted by
the truth.</v>
      </c>
    </row>
    <row r="111" spans="1:25" ht="57.75" customHeight="1" x14ac:dyDescent="0.25">
      <c r="A111" s="26"/>
      <c r="B111" s="26"/>
      <c r="C111" s="26"/>
      <c r="D111" s="26"/>
      <c r="E111" s="26">
        <v>19</v>
      </c>
      <c r="F111" s="26" t="s">
        <v>4137</v>
      </c>
      <c r="G111" s="26" t="s">
        <v>4197</v>
      </c>
      <c r="H111" s="26" t="s">
        <v>1656</v>
      </c>
      <c r="I111" s="26" t="s">
        <v>1657</v>
      </c>
      <c r="J111" s="26" t="s">
        <v>1658</v>
      </c>
      <c r="K111" s="26" t="s">
        <v>4158</v>
      </c>
      <c r="L111" s="26" t="s">
        <v>4207</v>
      </c>
      <c r="M111" s="26" t="s">
        <v>1679</v>
      </c>
      <c r="N111" s="26" t="s">
        <v>1680</v>
      </c>
      <c r="O111" s="26" t="s">
        <v>1681</v>
      </c>
      <c r="P111" s="26" t="s">
        <v>4178</v>
      </c>
      <c r="Q111" s="1" t="str">
        <f t="shared" si="14"/>
        <v>a) a) has run into problems finding volunteers willing to live the rest of their lives on Mars.</v>
      </c>
      <c r="R111" s="1" t="str">
        <f t="shared" si="15"/>
        <v>b) b) is unlikely to be carried out in the coming decades due to its prohibitive cost.</v>
      </c>
      <c r="S111" s="1" t="str">
        <f t="shared" si="16"/>
        <v>c) c) has been regarded with suspicion by the scientific community.</v>
      </c>
      <c r="T111" s="1" t="str">
        <f t="shared" si="17"/>
        <v>d) d) has met with interest despite some misinformation surrounding the idea.</v>
      </c>
      <c r="V111" s="1" t="str">
        <f t="shared" si="18"/>
        <v>a) a) NASA has done a good job maintaining public interest in the space program despite
some unexciting missions.</v>
      </c>
      <c r="W111" s="1" t="str">
        <f t="shared" si="19"/>
        <v>b) b) NASA needs to have a bold, exciting mission to recapture the public interest.</v>
      </c>
      <c r="X111" s="1" t="str">
        <f t="shared" si="20"/>
        <v>c) c) NASA needs to undertake smaller missions with a reduced budget before considering
his Mars plan.</v>
      </c>
      <c r="Y111" s="1" t="str">
        <f t="shared" si="21"/>
        <v>d) d) NASA should excite the public by returning to the Moon, then set its sights on Mars.</v>
      </c>
    </row>
    <row r="112" spans="1:25" ht="45.95" customHeight="1" x14ac:dyDescent="0.25">
      <c r="A112" s="26"/>
      <c r="B112" s="26"/>
      <c r="C112" s="26"/>
      <c r="D112" s="26"/>
      <c r="E112" s="26">
        <v>20</v>
      </c>
      <c r="F112" s="26" t="s">
        <v>4138</v>
      </c>
      <c r="G112" s="26" t="s">
        <v>4198</v>
      </c>
      <c r="H112" s="26" t="s">
        <v>1659</v>
      </c>
      <c r="I112" s="26" t="s">
        <v>1660</v>
      </c>
      <c r="J112" s="26" t="s">
        <v>1661</v>
      </c>
      <c r="K112" s="26" t="s">
        <v>4159</v>
      </c>
      <c r="L112" s="26" t="s">
        <v>4208</v>
      </c>
      <c r="M112" s="26" t="s">
        <v>1682</v>
      </c>
      <c r="N112" s="26" t="s">
        <v>1683</v>
      </c>
      <c r="O112" s="26" t="s">
        <v>1684</v>
      </c>
      <c r="P112" s="26" t="s">
        <v>1685</v>
      </c>
      <c r="Q112" s="1" t="str">
        <f>CONCATENATE("a) ",(H132))</f>
        <v>a) a) The summit on Afghanistan’s future is the first of its kind</v>
      </c>
      <c r="R112" s="1" t="str">
        <f>CONCATENATE("b) ",(I132))</f>
        <v>b) b) President Karzai has condemned the lack of progress in Afghanistan</v>
      </c>
      <c r="S112" s="1" t="str">
        <f>CONCATENATE("c) ",(J132))</f>
        <v>c) c) The US was in opposition to the summit</v>
      </c>
      <c r="T112" s="1" t="str">
        <f>CONCATENATE("d) ",(K132))</f>
        <v>d) d) Pakistan spurned the proceedings</v>
      </c>
      <c r="V112" s="1" t="str">
        <f>CONCATENATE("a) ",(M132))</f>
        <v xml:space="preserve">a) </v>
      </c>
      <c r="W112" s="1" t="str">
        <f>CONCATENATE("b) ",(N132))</f>
        <v xml:space="preserve">b) </v>
      </c>
      <c r="X112" s="1" t="str">
        <f>CONCATENATE("c) ",(O132))</f>
        <v xml:space="preserve">c) </v>
      </c>
      <c r="Y112" s="1" t="str">
        <f>CONCATENATE("d) ",(P132))</f>
        <v xml:space="preserve">d) </v>
      </c>
    </row>
    <row r="113" spans="1:25" ht="45.95" customHeight="1" x14ac:dyDescent="0.25">
      <c r="A113" s="92"/>
      <c r="B113" s="92"/>
      <c r="C113" s="92">
        <v>7</v>
      </c>
      <c r="D113" s="92" t="s">
        <v>3368</v>
      </c>
      <c r="E113" s="92">
        <v>1</v>
      </c>
      <c r="F113" s="92" t="s">
        <v>4464</v>
      </c>
      <c r="G113" s="92" t="s">
        <v>3167</v>
      </c>
      <c r="H113" s="92" t="s">
        <v>3047</v>
      </c>
      <c r="I113" s="92" t="s">
        <v>3048</v>
      </c>
      <c r="J113" s="92" t="s">
        <v>3049</v>
      </c>
      <c r="K113" s="92" t="s">
        <v>3050</v>
      </c>
      <c r="L113" s="92"/>
      <c r="M113" s="92"/>
      <c r="N113" s="92"/>
      <c r="O113" s="92"/>
      <c r="P113" s="92"/>
      <c r="Q113" s="1" t="str">
        <f t="shared" ref="Q113:Q131" si="22">CONCATENATE("a) ",(H133))</f>
        <v>a) a) The Honduran Congress is moving to protect privacy</v>
      </c>
      <c r="R113" s="1" t="str">
        <f t="shared" ref="R113:R131" si="23">CONCATENATE("b) ",(I133))</f>
        <v>b) b) Efforts are being made to eliminate corruption in the military</v>
      </c>
      <c r="S113" s="1" t="str">
        <f t="shared" ref="S113:S131" si="24">CONCATENATE("c) ",(J133))</f>
        <v>c) c) The military is now active in tackling crime problems in Honduras</v>
      </c>
      <c r="T113" s="1" t="str">
        <f t="shared" ref="T113:T131" si="25">CONCATENATE("d) ",(K133))</f>
        <v>d) d) Motorbike riding will be banned for six months in Honduras</v>
      </c>
      <c r="V113" s="1" t="str">
        <f t="shared" ref="V113:V127" si="26">CONCATENATE("a) ",(M133))</f>
        <v xml:space="preserve">a) </v>
      </c>
      <c r="W113" s="1" t="str">
        <f t="shared" ref="W113:W127" si="27">CONCATENATE("b) ",(N133))</f>
        <v xml:space="preserve">b) </v>
      </c>
      <c r="X113" s="1" t="str">
        <f t="shared" ref="X113:X127" si="28">CONCATENATE("c) ",(O133))</f>
        <v xml:space="preserve">c) </v>
      </c>
      <c r="Y113" s="1" t="str">
        <f t="shared" ref="Y113:Y127" si="29">CONCATENATE("d) ",(P133))</f>
        <v xml:space="preserve">d) </v>
      </c>
    </row>
    <row r="114" spans="1:25" ht="45.95" customHeight="1" x14ac:dyDescent="0.25">
      <c r="A114" s="92"/>
      <c r="B114" s="92"/>
      <c r="C114" s="92"/>
      <c r="D114" s="92" t="s">
        <v>2962</v>
      </c>
      <c r="E114" s="92">
        <v>2</v>
      </c>
      <c r="F114" s="92" t="s">
        <v>4465</v>
      </c>
      <c r="G114" s="92" t="s">
        <v>3168</v>
      </c>
      <c r="H114" s="92" t="s">
        <v>3051</v>
      </c>
      <c r="I114" s="92" t="s">
        <v>3052</v>
      </c>
      <c r="J114" s="92" t="s">
        <v>3053</v>
      </c>
      <c r="K114" s="92" t="s">
        <v>3054</v>
      </c>
      <c r="L114" s="92"/>
      <c r="M114" s="92"/>
      <c r="N114" s="92"/>
      <c r="O114" s="92"/>
      <c r="P114" s="92"/>
      <c r="Q114" s="1" t="str">
        <f t="shared" si="22"/>
        <v>a) a) When he was leaving the Bahamas</v>
      </c>
      <c r="R114" s="1" t="str">
        <f t="shared" si="23"/>
        <v>b) b) When he arrived on Harbor Island</v>
      </c>
      <c r="S114" s="1" t="str">
        <f t="shared" si="24"/>
        <v>c) c) During a naval exercise</v>
      </c>
      <c r="T114" s="1" t="str">
        <f t="shared" si="25"/>
        <v xml:space="preserve">d) d) When he was close to the Bahamas </v>
      </c>
      <c r="V114" s="1" t="str">
        <f t="shared" si="26"/>
        <v xml:space="preserve">a) </v>
      </c>
      <c r="W114" s="1" t="str">
        <f t="shared" si="27"/>
        <v xml:space="preserve">b) </v>
      </c>
      <c r="X114" s="1" t="str">
        <f t="shared" si="28"/>
        <v xml:space="preserve">c) </v>
      </c>
      <c r="Y114" s="1" t="str">
        <f t="shared" si="29"/>
        <v xml:space="preserve">d) </v>
      </c>
    </row>
    <row r="115" spans="1:25" ht="45.95" customHeight="1" x14ac:dyDescent="0.25">
      <c r="A115" s="92"/>
      <c r="B115" s="92"/>
      <c r="C115" s="92"/>
      <c r="D115" s="92" t="s">
        <v>359</v>
      </c>
      <c r="E115" s="92">
        <v>3</v>
      </c>
      <c r="F115" s="92" t="s">
        <v>4466</v>
      </c>
      <c r="G115" s="92" t="s">
        <v>3169</v>
      </c>
      <c r="H115" s="92" t="s">
        <v>3055</v>
      </c>
      <c r="I115" s="92" t="s">
        <v>3056</v>
      </c>
      <c r="J115" s="92" t="s">
        <v>3057</v>
      </c>
      <c r="K115" s="92" t="s">
        <v>3058</v>
      </c>
      <c r="L115" s="92"/>
      <c r="M115" s="92"/>
      <c r="N115" s="92"/>
      <c r="O115" s="92"/>
      <c r="P115" s="92"/>
      <c r="Q115" s="1" t="str">
        <f t="shared" si="22"/>
        <v>a) a) She was wounded by the ice</v>
      </c>
      <c r="R115" s="1" t="str">
        <f t="shared" si="23"/>
        <v>b) b) She was stuck under the ice</v>
      </c>
      <c r="S115" s="1" t="str">
        <f t="shared" si="24"/>
        <v>c) c) She was pushed under the ice</v>
      </c>
      <c r="T115" s="1" t="str">
        <f t="shared" si="25"/>
        <v>d) d) She was drowned under the ice</v>
      </c>
      <c r="V115" s="1" t="str">
        <f t="shared" si="26"/>
        <v xml:space="preserve">a) </v>
      </c>
      <c r="W115" s="1" t="str">
        <f t="shared" si="27"/>
        <v xml:space="preserve">b) </v>
      </c>
      <c r="X115" s="1" t="str">
        <f t="shared" si="28"/>
        <v xml:space="preserve">c) </v>
      </c>
      <c r="Y115" s="1" t="str">
        <f t="shared" si="29"/>
        <v xml:space="preserve">d) </v>
      </c>
    </row>
    <row r="116" spans="1:25" ht="45.95" customHeight="1" x14ac:dyDescent="0.25">
      <c r="A116" s="92"/>
      <c r="B116" s="92"/>
      <c r="C116" s="92"/>
      <c r="D116" s="92"/>
      <c r="E116" s="92">
        <v>4</v>
      </c>
      <c r="F116" s="92" t="s">
        <v>4467</v>
      </c>
      <c r="G116" s="92" t="s">
        <v>3170</v>
      </c>
      <c r="H116" s="92" t="s">
        <v>3059</v>
      </c>
      <c r="I116" s="92" t="s">
        <v>3060</v>
      </c>
      <c r="J116" s="92" t="s">
        <v>3061</v>
      </c>
      <c r="K116" s="92" t="s">
        <v>3062</v>
      </c>
      <c r="L116" s="92"/>
      <c r="M116" s="92"/>
      <c r="N116" s="92"/>
      <c r="O116" s="92"/>
      <c r="P116" s="92"/>
      <c r="Q116" s="1" t="str">
        <f t="shared" si="22"/>
        <v>a) a) The raids are reducing acts of piracy</v>
      </c>
      <c r="R116" s="1" t="str">
        <f t="shared" si="23"/>
        <v>b) b) The European Union’s naval force participates in raids</v>
      </c>
      <c r="S116" s="1" t="str">
        <f t="shared" si="24"/>
        <v>c) c) Hostages are increasingly being used as human shields</v>
      </c>
      <c r="T116" s="1" t="str">
        <f t="shared" si="25"/>
        <v>d) d) The raids are carried out as a last resort</v>
      </c>
      <c r="V116" s="1" t="str">
        <f t="shared" si="26"/>
        <v xml:space="preserve">a) </v>
      </c>
      <c r="W116" s="1" t="str">
        <f t="shared" si="27"/>
        <v xml:space="preserve">b) </v>
      </c>
      <c r="X116" s="1" t="str">
        <f t="shared" si="28"/>
        <v xml:space="preserve">c) </v>
      </c>
      <c r="Y116" s="1" t="str">
        <f t="shared" si="29"/>
        <v xml:space="preserve">d) </v>
      </c>
    </row>
    <row r="117" spans="1:25" ht="45.95" customHeight="1" x14ac:dyDescent="0.25">
      <c r="A117" s="92"/>
      <c r="B117" s="92"/>
      <c r="C117" s="92"/>
      <c r="D117" s="92"/>
      <c r="E117" s="92">
        <v>5</v>
      </c>
      <c r="F117" s="92" t="s">
        <v>4468</v>
      </c>
      <c r="G117" s="92" t="s">
        <v>3171</v>
      </c>
      <c r="H117" s="92" t="s">
        <v>3063</v>
      </c>
      <c r="I117" s="92" t="s">
        <v>3064</v>
      </c>
      <c r="J117" s="92" t="s">
        <v>3065</v>
      </c>
      <c r="K117" s="92" t="s">
        <v>3066</v>
      </c>
      <c r="L117" s="92"/>
      <c r="M117" s="92"/>
      <c r="N117" s="92"/>
      <c r="O117" s="92"/>
      <c r="P117" s="92"/>
      <c r="Q117" s="1" t="str">
        <f t="shared" si="22"/>
        <v>a) a) Has been exempt from penalties because of its ties</v>
      </c>
      <c r="R117" s="1" t="str">
        <f t="shared" si="23"/>
        <v>b) b) Has an extensive background in mining</v>
      </c>
      <c r="S117" s="1" t="str">
        <f t="shared" si="24"/>
        <v>c) c) Has been convicted of selling mine assets it doesn’t own</v>
      </c>
      <c r="T117" s="1" t="str">
        <f t="shared" si="25"/>
        <v>d) d) Has to pay the workers’ unions a lot of money</v>
      </c>
      <c r="V117" s="1" t="str">
        <f t="shared" si="26"/>
        <v xml:space="preserve">a) </v>
      </c>
      <c r="W117" s="1" t="str">
        <f t="shared" si="27"/>
        <v xml:space="preserve">b) </v>
      </c>
      <c r="X117" s="1" t="str">
        <f t="shared" si="28"/>
        <v xml:space="preserve">c) </v>
      </c>
      <c r="Y117" s="1" t="str">
        <f t="shared" si="29"/>
        <v xml:space="preserve">d) </v>
      </c>
    </row>
    <row r="118" spans="1:25" ht="45.95" customHeight="1" x14ac:dyDescent="0.25">
      <c r="A118" s="92"/>
      <c r="B118" s="92"/>
      <c r="C118" s="92"/>
      <c r="D118" s="92"/>
      <c r="E118" s="92">
        <v>6</v>
      </c>
      <c r="F118" s="92" t="s">
        <v>4469</v>
      </c>
      <c r="G118" s="92" t="s">
        <v>3172</v>
      </c>
      <c r="H118" s="92" t="s">
        <v>3067</v>
      </c>
      <c r="I118" s="92" t="s">
        <v>3068</v>
      </c>
      <c r="J118" s="92" t="s">
        <v>3069</v>
      </c>
      <c r="K118" s="92" t="s">
        <v>3070</v>
      </c>
      <c r="L118" s="92"/>
      <c r="M118" s="92"/>
      <c r="N118" s="92"/>
      <c r="O118" s="92"/>
      <c r="P118" s="92"/>
      <c r="Q118" s="1" t="str">
        <f t="shared" si="22"/>
        <v>a) a) The tainted beef has been sold in Fukushima only</v>
      </c>
      <c r="R118" s="1" t="str">
        <f t="shared" si="23"/>
        <v>b) b) Transportation of cattle from Fukushima has been postponed</v>
      </c>
      <c r="S118" s="1" t="str">
        <f t="shared" si="24"/>
        <v>c) c) The radioactive material is no longer leaking out of the facilities</v>
      </c>
      <c r="T118" s="1" t="str">
        <f t="shared" si="25"/>
        <v>d) d) Distributors are boycotting the purchase of beef</v>
      </c>
      <c r="V118" s="1" t="str">
        <f t="shared" si="26"/>
        <v xml:space="preserve">a) </v>
      </c>
      <c r="W118" s="1" t="str">
        <f t="shared" si="27"/>
        <v xml:space="preserve">b) </v>
      </c>
      <c r="X118" s="1" t="str">
        <f t="shared" si="28"/>
        <v xml:space="preserve">c) </v>
      </c>
      <c r="Y118" s="1" t="str">
        <f t="shared" si="29"/>
        <v xml:space="preserve">d) </v>
      </c>
    </row>
    <row r="119" spans="1:25" ht="45.95" customHeight="1" x14ac:dyDescent="0.25">
      <c r="A119" s="92"/>
      <c r="B119" s="92"/>
      <c r="C119" s="92"/>
      <c r="D119" s="92"/>
      <c r="E119" s="92">
        <v>7</v>
      </c>
      <c r="F119" s="92" t="s">
        <v>4470</v>
      </c>
      <c r="G119" s="92" t="s">
        <v>3173</v>
      </c>
      <c r="H119" s="92" t="s">
        <v>3071</v>
      </c>
      <c r="I119" s="92" t="s">
        <v>3072</v>
      </c>
      <c r="J119" s="92" t="s">
        <v>3073</v>
      </c>
      <c r="K119" s="92" t="s">
        <v>3074</v>
      </c>
      <c r="L119" s="92"/>
      <c r="M119" s="92"/>
      <c r="N119" s="92"/>
      <c r="O119" s="92"/>
      <c r="P119" s="92"/>
      <c r="Q119" s="1" t="str">
        <f t="shared" si="22"/>
        <v>a) a) Sundar Rajan didn’t have confidence in the state.</v>
      </c>
      <c r="R119" s="1" t="str">
        <f t="shared" si="23"/>
        <v>b) b) There is contention over the fortune.</v>
      </c>
      <c r="S119" s="1" t="str">
        <f t="shared" si="24"/>
        <v>c) c) Sundar Rajan was opposed to the opening of the vaults.</v>
      </c>
      <c r="T119" s="1" t="str">
        <f t="shared" si="25"/>
        <v xml:space="preserve">d) d) The temple was never believed to contain such wealth. </v>
      </c>
      <c r="V119" s="1" t="str">
        <f t="shared" si="26"/>
        <v xml:space="preserve">a) </v>
      </c>
      <c r="W119" s="1" t="str">
        <f t="shared" si="27"/>
        <v xml:space="preserve">b) </v>
      </c>
      <c r="X119" s="1" t="str">
        <f t="shared" si="28"/>
        <v xml:space="preserve">c) </v>
      </c>
      <c r="Y119" s="1" t="str">
        <f t="shared" si="29"/>
        <v xml:space="preserve">d) </v>
      </c>
    </row>
    <row r="120" spans="1:25" ht="45.95" customHeight="1" x14ac:dyDescent="0.25">
      <c r="A120" s="92"/>
      <c r="B120" s="92"/>
      <c r="C120" s="92"/>
      <c r="D120" s="92"/>
      <c r="E120" s="92">
        <v>8</v>
      </c>
      <c r="F120" s="92" t="s">
        <v>4471</v>
      </c>
      <c r="G120" s="92" t="s">
        <v>3174</v>
      </c>
      <c r="H120" s="92" t="s">
        <v>3075</v>
      </c>
      <c r="I120" s="92" t="s">
        <v>3076</v>
      </c>
      <c r="J120" s="92" t="s">
        <v>3077</v>
      </c>
      <c r="K120" s="92" t="s">
        <v>3078</v>
      </c>
      <c r="L120" s="92"/>
      <c r="M120" s="92"/>
      <c r="N120" s="92"/>
      <c r="O120" s="92"/>
      <c r="P120" s="92"/>
      <c r="Q120" s="1" t="str">
        <f t="shared" si="22"/>
        <v>a) a) KaBOOM! has received the support of policy makers</v>
      </c>
      <c r="R120" s="1" t="str">
        <f t="shared" si="23"/>
        <v>b) b) KaBOOM!’s beginning was influenced by budget cuts</v>
      </c>
      <c r="S120" s="1" t="str">
        <f t="shared" si="24"/>
        <v>c) c) KaBOOM ! trains locals in fundraising methods</v>
      </c>
      <c r="T120" s="1" t="str">
        <f t="shared" si="25"/>
        <v>d) d) KaBOOM! was founded in a previous era</v>
      </c>
      <c r="V120" s="1" t="str">
        <f t="shared" si="26"/>
        <v xml:space="preserve">a) </v>
      </c>
      <c r="W120" s="1" t="str">
        <f t="shared" si="27"/>
        <v xml:space="preserve">b) </v>
      </c>
      <c r="X120" s="1" t="str">
        <f t="shared" si="28"/>
        <v xml:space="preserve">c) </v>
      </c>
      <c r="Y120" s="1" t="str">
        <f t="shared" si="29"/>
        <v xml:space="preserve">d) </v>
      </c>
    </row>
    <row r="121" spans="1:25" ht="45.95" customHeight="1" x14ac:dyDescent="0.25">
      <c r="A121" s="92"/>
      <c r="B121" s="92"/>
      <c r="C121" s="92"/>
      <c r="D121" s="92"/>
      <c r="E121" s="92">
        <v>9</v>
      </c>
      <c r="F121" s="92" t="s">
        <v>4472</v>
      </c>
      <c r="G121" s="92" t="s">
        <v>3175</v>
      </c>
      <c r="H121" s="92" t="s">
        <v>3079</v>
      </c>
      <c r="I121" s="92" t="s">
        <v>3080</v>
      </c>
      <c r="J121" s="92" t="s">
        <v>3081</v>
      </c>
      <c r="K121" s="92" t="s">
        <v>3082</v>
      </c>
      <c r="L121" s="92" t="s">
        <v>3176</v>
      </c>
      <c r="M121" s="92" t="s">
        <v>3083</v>
      </c>
      <c r="N121" s="92" t="s">
        <v>3084</v>
      </c>
      <c r="O121" s="92" t="s">
        <v>3085</v>
      </c>
      <c r="P121" s="92" t="s">
        <v>3086</v>
      </c>
      <c r="Q121" s="1" t="str">
        <f t="shared" si="22"/>
        <v>a) a) The illnesses patients had were found to be unrelated to smoking</v>
      </c>
      <c r="R121" s="1" t="str">
        <f t="shared" si="23"/>
        <v>b) b) They had refused to treat certain patients</v>
      </c>
      <c r="S121" s="1" t="str">
        <f t="shared" si="24"/>
        <v>c) c) Hospital funds were not found to be badly affected</v>
      </c>
      <c r="T121" s="1" t="str">
        <f t="shared" si="25"/>
        <v>d) d) The tobacco companies were found to be losing profits</v>
      </c>
      <c r="V121" s="1" t="str">
        <f t="shared" si="26"/>
        <v xml:space="preserve">a) </v>
      </c>
      <c r="W121" s="1" t="str">
        <f t="shared" si="27"/>
        <v xml:space="preserve">b) </v>
      </c>
      <c r="X121" s="1" t="str">
        <f t="shared" si="28"/>
        <v xml:space="preserve">c) </v>
      </c>
      <c r="Y121" s="1" t="str">
        <f t="shared" si="29"/>
        <v xml:space="preserve">d) </v>
      </c>
    </row>
    <row r="122" spans="1:25" ht="45.95" customHeight="1" x14ac:dyDescent="0.25">
      <c r="A122" s="92"/>
      <c r="B122" s="92"/>
      <c r="C122" s="92"/>
      <c r="D122" s="92"/>
      <c r="E122" s="92">
        <v>10</v>
      </c>
      <c r="F122" s="92" t="s">
        <v>4473</v>
      </c>
      <c r="G122" s="92" t="s">
        <v>3177</v>
      </c>
      <c r="H122" s="92" t="s">
        <v>3087</v>
      </c>
      <c r="I122" s="92" t="s">
        <v>3088</v>
      </c>
      <c r="J122" s="92" t="s">
        <v>3089</v>
      </c>
      <c r="K122" s="92" t="s">
        <v>3090</v>
      </c>
      <c r="L122" s="92" t="s">
        <v>3178</v>
      </c>
      <c r="M122" s="92" t="s">
        <v>3091</v>
      </c>
      <c r="N122" s="92" t="s">
        <v>3092</v>
      </c>
      <c r="O122" s="92" t="s">
        <v>3093</v>
      </c>
      <c r="P122" s="92" t="s">
        <v>3094</v>
      </c>
      <c r="Q122" s="1" t="str">
        <f t="shared" si="22"/>
        <v>a) a) The Philippines has now taken the lead in the call centre business</v>
      </c>
      <c r="R122" s="1" t="str">
        <f t="shared" si="23"/>
        <v>b) b) India has been the leader in the call centre business due to its high level of English</v>
      </c>
      <c r="S122" s="1" t="str">
        <f t="shared" si="24"/>
        <v>c) c) Philippine success in the call centre business is due to its business skills</v>
      </c>
      <c r="T122" s="1" t="str">
        <f t="shared" si="25"/>
        <v>d) d) Companies favor the Philippines over India regarding language aptitude</v>
      </c>
      <c r="V122" s="1" t="str">
        <f t="shared" si="26"/>
        <v xml:space="preserve">a) a) Many of the call centers are under Indian management </v>
      </c>
      <c r="W122" s="1" t="str">
        <f t="shared" si="27"/>
        <v>b) b) American customers find it easier to speak with Indian agents</v>
      </c>
      <c r="X122" s="1" t="str">
        <f t="shared" si="28"/>
        <v>c) c) Some Filipino call centers are moving to India</v>
      </c>
      <c r="Y122" s="1" t="str">
        <f t="shared" si="29"/>
        <v xml:space="preserve">d) d) More Filipinos are being trained for management positions </v>
      </c>
    </row>
    <row r="123" spans="1:25" ht="45.95" customHeight="1" x14ac:dyDescent="0.25">
      <c r="A123" s="92"/>
      <c r="B123" s="92"/>
      <c r="C123" s="92"/>
      <c r="D123" s="92"/>
      <c r="E123" s="92">
        <v>11</v>
      </c>
      <c r="F123" s="92" t="s">
        <v>4474</v>
      </c>
      <c r="G123" s="92" t="s">
        <v>3179</v>
      </c>
      <c r="H123" s="92" t="s">
        <v>3095</v>
      </c>
      <c r="I123" s="92" t="s">
        <v>3096</v>
      </c>
      <c r="J123" s="92" t="s">
        <v>3097</v>
      </c>
      <c r="K123" s="92" t="s">
        <v>3098</v>
      </c>
      <c r="L123" s="92" t="s">
        <v>3188</v>
      </c>
      <c r="M123" s="92" t="s">
        <v>3099</v>
      </c>
      <c r="N123" s="92" t="s">
        <v>3100</v>
      </c>
      <c r="O123" s="92" t="s">
        <v>3101</v>
      </c>
      <c r="P123" s="92" t="s">
        <v>3102</v>
      </c>
      <c r="Q123" s="1" t="str">
        <f t="shared" si="22"/>
        <v>a) a) The celebration took place in Havana</v>
      </c>
      <c r="R123" s="1" t="str">
        <f t="shared" si="23"/>
        <v>b) b) Drinks were served free of charge</v>
      </c>
      <c r="S123" s="1" t="str">
        <f t="shared" si="24"/>
        <v>c) c) Cuban rum was not available</v>
      </c>
      <c r="T123" s="1" t="str">
        <f t="shared" si="25"/>
        <v>d) d) Tourists enjoy coming to the bar for ‘Happy Hour’</v>
      </c>
      <c r="V123" s="1" t="str">
        <f t="shared" si="26"/>
        <v>a) a) It is now open to the public</v>
      </c>
      <c r="W123" s="1" t="str">
        <f t="shared" si="27"/>
        <v>b) b) It is very conventional</v>
      </c>
      <c r="X123" s="1" t="str">
        <f t="shared" si="28"/>
        <v>c) c) Access to it is restricted</v>
      </c>
      <c r="Y123" s="1" t="str">
        <f t="shared" si="29"/>
        <v xml:space="preserve">d) d) It turns over a large profit </v>
      </c>
    </row>
    <row r="124" spans="1:25" ht="45.95" customHeight="1" x14ac:dyDescent="0.25">
      <c r="A124" s="92"/>
      <c r="B124" s="92"/>
      <c r="C124" s="92"/>
      <c r="D124" s="92"/>
      <c r="E124" s="92">
        <v>12</v>
      </c>
      <c r="F124" s="92" t="s">
        <v>4475</v>
      </c>
      <c r="G124" s="92" t="s">
        <v>3180</v>
      </c>
      <c r="H124" s="92" t="s">
        <v>3103</v>
      </c>
      <c r="I124" s="92" t="s">
        <v>3104</v>
      </c>
      <c r="J124" s="92" t="s">
        <v>3105</v>
      </c>
      <c r="K124" s="92" t="s">
        <v>3106</v>
      </c>
      <c r="L124" s="92" t="s">
        <v>3189</v>
      </c>
      <c r="M124" s="92" t="s">
        <v>3107</v>
      </c>
      <c r="N124" s="92" t="s">
        <v>3108</v>
      </c>
      <c r="O124" s="92" t="s">
        <v>3109</v>
      </c>
      <c r="P124" s="92" t="s">
        <v>3110</v>
      </c>
      <c r="Q124" s="1" t="str">
        <f t="shared" si="22"/>
        <v>a) a) It is making Italians progressively richer</v>
      </c>
      <c r="R124" s="1" t="str">
        <f t="shared" si="23"/>
        <v>b) b) U.K. has more gamblers than Italy</v>
      </c>
      <c r="S124" s="1" t="str">
        <f t="shared" si="24"/>
        <v>c) c) Slot machines dominate the gambling scene</v>
      </c>
      <c r="T124" s="1" t="str">
        <f t="shared" si="25"/>
        <v>d) d) Gambling is still widely disapproved of</v>
      </c>
      <c r="V124" s="1" t="str">
        <f t="shared" si="26"/>
        <v>a) a) They have taken over the gambling business</v>
      </c>
      <c r="W124" s="1" t="str">
        <f t="shared" si="27"/>
        <v>b) b) They access the gambling business through false enterprises</v>
      </c>
      <c r="X124" s="1" t="str">
        <f t="shared" si="28"/>
        <v>c) c) Gambling is their main source of revenue</v>
      </c>
      <c r="Y124" s="1" t="str">
        <f t="shared" si="29"/>
        <v>d) d) They are rarely able to obtain licenses for businesses</v>
      </c>
    </row>
    <row r="125" spans="1:25" ht="45.95" customHeight="1" x14ac:dyDescent="0.25">
      <c r="A125" s="92"/>
      <c r="B125" s="92"/>
      <c r="C125" s="92"/>
      <c r="D125" s="92"/>
      <c r="E125" s="92">
        <v>13</v>
      </c>
      <c r="F125" s="92" t="s">
        <v>4476</v>
      </c>
      <c r="G125" s="92" t="s">
        <v>3181</v>
      </c>
      <c r="H125" s="92" t="s">
        <v>3111</v>
      </c>
      <c r="I125" s="92" t="s">
        <v>3112</v>
      </c>
      <c r="J125" s="92" t="s">
        <v>3113</v>
      </c>
      <c r="K125" s="92" t="s">
        <v>3114</v>
      </c>
      <c r="L125" s="92" t="s">
        <v>3190</v>
      </c>
      <c r="M125" s="92" t="s">
        <v>3115</v>
      </c>
      <c r="N125" s="92" t="s">
        <v>3116</v>
      </c>
      <c r="O125" s="92" t="s">
        <v>3117</v>
      </c>
      <c r="P125" s="92" t="s">
        <v>3118</v>
      </c>
      <c r="Q125" s="1" t="str">
        <f t="shared" si="22"/>
        <v>a) a) Reacquaint people with food production</v>
      </c>
      <c r="R125" s="1" t="str">
        <f t="shared" si="23"/>
        <v>b) b) Inspire people to grow their own food</v>
      </c>
      <c r="S125" s="1" t="str">
        <f t="shared" si="24"/>
        <v>c) c) To encourage people to participate in the game Farmville</v>
      </c>
      <c r="T125" s="1" t="str">
        <f t="shared" si="25"/>
        <v>d) d) To compete with the ‘My Football Club’ project</v>
      </c>
      <c r="V125" s="1" t="str">
        <f t="shared" si="26"/>
        <v>a) a) The opinions of experts</v>
      </c>
      <c r="W125" s="1" t="str">
        <f t="shared" si="27"/>
        <v>b) b) The method of hedgerows cultivation</v>
      </c>
      <c r="X125" s="1" t="str">
        <f t="shared" si="28"/>
        <v>c) c) Climatic conditions</v>
      </c>
      <c r="Y125" s="1" t="str">
        <f t="shared" si="29"/>
        <v>d) d) The rarity of the livestock breeds</v>
      </c>
    </row>
    <row r="126" spans="1:25" ht="45.95" customHeight="1" x14ac:dyDescent="0.25">
      <c r="A126" s="92"/>
      <c r="B126" s="92"/>
      <c r="C126" s="92"/>
      <c r="D126" s="92"/>
      <c r="E126" s="92">
        <v>14</v>
      </c>
      <c r="F126" s="92" t="s">
        <v>4477</v>
      </c>
      <c r="G126" s="92" t="s">
        <v>3182</v>
      </c>
      <c r="H126" s="92" t="s">
        <v>3119</v>
      </c>
      <c r="I126" s="92" t="s">
        <v>3120</v>
      </c>
      <c r="J126" s="92" t="s">
        <v>3121</v>
      </c>
      <c r="K126" s="92" t="s">
        <v>3122</v>
      </c>
      <c r="L126" s="92" t="s">
        <v>3191</v>
      </c>
      <c r="M126" s="92" t="s">
        <v>3123</v>
      </c>
      <c r="N126" s="92" t="s">
        <v>3124</v>
      </c>
      <c r="O126" s="92" t="s">
        <v>3125</v>
      </c>
      <c r="P126" s="92" t="s">
        <v>3126</v>
      </c>
      <c r="Q126" s="1" t="str">
        <f t="shared" si="22"/>
        <v>a) a) The fall of the Soviet Union</v>
      </c>
      <c r="R126" s="1" t="str">
        <f t="shared" si="23"/>
        <v>b) b) The fact that it is short of funds</v>
      </c>
      <c r="S126" s="1" t="str">
        <f t="shared" si="24"/>
        <v>c) c) The nature of its landscape</v>
      </c>
      <c r="T126" s="1" t="str">
        <f t="shared" si="25"/>
        <v>d) d) The fact that it has a predominantly young population</v>
      </c>
      <c r="V126" s="1" t="str">
        <f t="shared" si="26"/>
        <v>a) a) They are not being well-informed about the problem</v>
      </c>
      <c r="W126" s="1" t="str">
        <f t="shared" si="27"/>
        <v>b) b) They are actively resolving the problem</v>
      </c>
      <c r="X126" s="1" t="str">
        <f t="shared" si="28"/>
        <v>c) c) They are protesting the government’s inaction</v>
      </c>
      <c r="Y126" s="1" t="str">
        <f t="shared" si="29"/>
        <v xml:space="preserve">d) d) They are leaving the area </v>
      </c>
    </row>
    <row r="127" spans="1:25" ht="45.95" customHeight="1" x14ac:dyDescent="0.25">
      <c r="A127" s="92"/>
      <c r="B127" s="92"/>
      <c r="C127" s="92"/>
      <c r="D127" s="92"/>
      <c r="E127" s="92">
        <v>15</v>
      </c>
      <c r="F127" s="92" t="s">
        <v>4478</v>
      </c>
      <c r="G127" s="92" t="s">
        <v>3183</v>
      </c>
      <c r="H127" s="92" t="s">
        <v>3127</v>
      </c>
      <c r="I127" s="92" t="s">
        <v>3128</v>
      </c>
      <c r="J127" s="92" t="s">
        <v>3129</v>
      </c>
      <c r="K127" s="92" t="s">
        <v>3130</v>
      </c>
      <c r="L127" s="92" t="s">
        <v>3192</v>
      </c>
      <c r="M127" s="92" t="s">
        <v>3131</v>
      </c>
      <c r="N127" s="92" t="s">
        <v>3132</v>
      </c>
      <c r="O127" s="92" t="s">
        <v>3133</v>
      </c>
      <c r="P127" s="92" t="s">
        <v>3134</v>
      </c>
      <c r="Q127" s="1" t="str">
        <f t="shared" si="22"/>
        <v>a) a) It has a history of political stability</v>
      </c>
      <c r="R127" s="1" t="str">
        <f t="shared" si="23"/>
        <v>b) b) The advantages of economic growth have reached many people</v>
      </c>
      <c r="S127" s="1" t="str">
        <f t="shared" si="24"/>
        <v>c) c) It has a large supply of diamonds and a growing diamond industry</v>
      </c>
      <c r="T127" s="1" t="str">
        <f t="shared" si="25"/>
        <v>d) d) Poverty has been eliminated</v>
      </c>
      <c r="V127" s="1" t="str">
        <f t="shared" si="26"/>
        <v>a) a) Attract more foreign investors</v>
      </c>
      <c r="W127" s="1" t="str">
        <f t="shared" si="27"/>
        <v>b) b) Develop their agricultural sectors</v>
      </c>
      <c r="X127" s="1" t="str">
        <f t="shared" si="28"/>
        <v>c) c) Export more commodities</v>
      </c>
      <c r="Y127" s="1" t="str">
        <f t="shared" si="29"/>
        <v>d) d) Provide more jobs</v>
      </c>
    </row>
    <row r="128" spans="1:25" ht="45.95" customHeight="1" x14ac:dyDescent="0.25">
      <c r="A128" s="92"/>
      <c r="B128" s="92"/>
      <c r="C128" s="92"/>
      <c r="D128" s="92"/>
      <c r="E128" s="92">
        <v>16</v>
      </c>
      <c r="F128" s="92" t="s">
        <v>4479</v>
      </c>
      <c r="G128" s="92" t="s">
        <v>3184</v>
      </c>
      <c r="H128" s="92" t="s">
        <v>3135</v>
      </c>
      <c r="I128" s="92" t="s">
        <v>3136</v>
      </c>
      <c r="J128" s="92" t="s">
        <v>3137</v>
      </c>
      <c r="K128" s="92" t="s">
        <v>3138</v>
      </c>
      <c r="L128" s="92" t="s">
        <v>3193</v>
      </c>
      <c r="M128" s="92" t="s">
        <v>3139</v>
      </c>
      <c r="N128" s="92" t="s">
        <v>3140</v>
      </c>
      <c r="O128" s="92" t="s">
        <v>3141</v>
      </c>
      <c r="P128" s="92" t="s">
        <v>3142</v>
      </c>
      <c r="Q128" s="1" t="str">
        <f t="shared" si="22"/>
        <v>a) a) Higher rainfall</v>
      </c>
      <c r="R128" s="1" t="str">
        <f t="shared" si="23"/>
        <v>b) b) Lower rainfall</v>
      </c>
      <c r="S128" s="1" t="str">
        <f t="shared" si="24"/>
        <v>c) c) Increased warmth</v>
      </c>
      <c r="T128" s="1" t="str">
        <f t="shared" si="25"/>
        <v>d) d) A drop in temperatures</v>
      </c>
      <c r="V128" s="1" t="str">
        <f t="shared" ref="V128:V131" si="30">CONCATENATE("a) ",(M148))</f>
        <v>a) a) Replace existing seed varieties with new ones</v>
      </c>
      <c r="W128" s="1" t="str">
        <f t="shared" ref="W128:W131" si="31">CONCATENATE("b) ",(N148))</f>
        <v>b) b) Try to adapt crop production to new climatic conditions</v>
      </c>
      <c r="X128" s="1" t="str">
        <f t="shared" ref="X128:X131" si="32">CONCATENATE("c) ",(O148))</f>
        <v>c) c) Reduce worldwide food prices</v>
      </c>
      <c r="Y128" s="1" t="str">
        <f t="shared" ref="Y128:Y131" si="33">CONCATENATE("d) ",(P148))</f>
        <v>d) d) Direct investments in agriculture to largely populated areas</v>
      </c>
    </row>
    <row r="129" spans="1:25" ht="45.95" customHeight="1" x14ac:dyDescent="0.25">
      <c r="A129" s="92"/>
      <c r="B129" s="92"/>
      <c r="C129" s="92"/>
      <c r="D129" s="92"/>
      <c r="E129" s="92">
        <v>17</v>
      </c>
      <c r="F129" s="92" t="s">
        <v>4480</v>
      </c>
      <c r="G129" s="92" t="s">
        <v>3185</v>
      </c>
      <c r="H129" s="92" t="s">
        <v>3143</v>
      </c>
      <c r="I129" s="92" t="s">
        <v>3144</v>
      </c>
      <c r="J129" s="92" t="s">
        <v>3145</v>
      </c>
      <c r="K129" s="92" t="s">
        <v>3146</v>
      </c>
      <c r="L129" s="92" t="s">
        <v>3194</v>
      </c>
      <c r="M129" s="92" t="s">
        <v>3147</v>
      </c>
      <c r="N129" s="92" t="s">
        <v>3148</v>
      </c>
      <c r="O129" s="92" t="s">
        <v>3149</v>
      </c>
      <c r="P129" s="92" t="s">
        <v>3150</v>
      </c>
      <c r="Q129" s="1" t="str">
        <f t="shared" si="22"/>
        <v>a) a) Has caused protests</v>
      </c>
      <c r="R129" s="1" t="str">
        <f t="shared" si="23"/>
        <v>b) b) Has been greeted with enthusiasm everywhere</v>
      </c>
      <c r="S129" s="1" t="str">
        <f t="shared" si="24"/>
        <v>c) c) Has met with a mixed reaction</v>
      </c>
      <c r="T129" s="1" t="str">
        <f t="shared" si="25"/>
        <v>d) d) Was initiated by artists and writers</v>
      </c>
      <c r="V129" s="1" t="str">
        <f t="shared" si="30"/>
        <v>a) a) Absinthe was never been sold legally</v>
      </c>
      <c r="W129" s="1" t="str">
        <f t="shared" si="31"/>
        <v>b) b) Absinthe was sold under special conditions</v>
      </c>
      <c r="X129" s="1" t="str">
        <f t="shared" si="32"/>
        <v>c) c) The sale of absinthe caused an increase in alcoholism</v>
      </c>
      <c r="Y129" s="1" t="str">
        <f t="shared" si="33"/>
        <v>d) d) Absinthe was drunk straight</v>
      </c>
    </row>
    <row r="130" spans="1:25" ht="45.95" customHeight="1" x14ac:dyDescent="0.25">
      <c r="A130" s="92"/>
      <c r="B130" s="92"/>
      <c r="C130" s="92"/>
      <c r="D130" s="92"/>
      <c r="E130" s="92">
        <v>18</v>
      </c>
      <c r="F130" s="92" t="s">
        <v>4481</v>
      </c>
      <c r="G130" s="92" t="s">
        <v>3186</v>
      </c>
      <c r="H130" s="92" t="s">
        <v>3151</v>
      </c>
      <c r="I130" s="92" t="s">
        <v>3152</v>
      </c>
      <c r="J130" s="92" t="s">
        <v>3153</v>
      </c>
      <c r="K130" s="92" t="s">
        <v>3154</v>
      </c>
      <c r="L130" s="92" t="s">
        <v>3195</v>
      </c>
      <c r="M130" s="92" t="s">
        <v>3155</v>
      </c>
      <c r="N130" s="92" t="s">
        <v>3156</v>
      </c>
      <c r="O130" s="92" t="s">
        <v>3157</v>
      </c>
      <c r="P130" s="92" t="s">
        <v>3158</v>
      </c>
      <c r="Q130" s="1" t="str">
        <f t="shared" si="22"/>
        <v>a) a) The population of pink dolphins increased more rapidly after the drought</v>
      </c>
      <c r="R130" s="1" t="str">
        <f t="shared" si="23"/>
        <v>b) b) The population of pink dolphins increased more rapidly before the drought</v>
      </c>
      <c r="S130" s="1" t="str">
        <f t="shared" si="24"/>
        <v>c) c) The pink dolphin has been listed as an endangered species</v>
      </c>
      <c r="T130" s="1" t="str">
        <f t="shared" si="25"/>
        <v>d) d) The number of grey dolphins has decreased</v>
      </c>
      <c r="V130" s="1" t="str">
        <f t="shared" si="30"/>
        <v>a) a) Suffers a drought every year</v>
      </c>
      <c r="W130" s="1" t="str">
        <f t="shared" si="31"/>
        <v>b) b) Rarely suffers flooding</v>
      </c>
      <c r="X130" s="1" t="str">
        <f t="shared" si="32"/>
        <v>c) c) Suffered its worst drought in 2009</v>
      </c>
      <c r="Y130" s="1" t="str">
        <f t="shared" si="33"/>
        <v xml:space="preserve">d) d) Regularly suffers droughts and floods </v>
      </c>
    </row>
    <row r="131" spans="1:25" ht="45.95" customHeight="1" x14ac:dyDescent="0.25">
      <c r="A131" s="92"/>
      <c r="B131" s="92"/>
      <c r="C131" s="92"/>
      <c r="D131" s="92"/>
      <c r="E131" s="92">
        <v>19</v>
      </c>
      <c r="F131" s="92" t="s">
        <v>4482</v>
      </c>
      <c r="G131" s="92" t="s">
        <v>3187</v>
      </c>
      <c r="H131" s="92" t="s">
        <v>3159</v>
      </c>
      <c r="I131" s="92" t="s">
        <v>3160</v>
      </c>
      <c r="J131" s="92" t="s">
        <v>3161</v>
      </c>
      <c r="K131" s="92" t="s">
        <v>3162</v>
      </c>
      <c r="L131" s="92" t="s">
        <v>3196</v>
      </c>
      <c r="M131" s="92" t="s">
        <v>3163</v>
      </c>
      <c r="N131" s="92" t="s">
        <v>3164</v>
      </c>
      <c r="O131" s="92" t="s">
        <v>3165</v>
      </c>
      <c r="P131" s="92" t="s">
        <v>3166</v>
      </c>
      <c r="Q131" s="1" t="str">
        <f t="shared" si="22"/>
        <v>a) a) Thai people commonly criticize their king</v>
      </c>
      <c r="R131" s="1" t="str">
        <f t="shared" si="23"/>
        <v>b) b) Some organizations are disturbed by Article 112</v>
      </c>
      <c r="S131" s="1" t="str">
        <f t="shared" si="24"/>
        <v>c) c) Kanthoop has been sentenced to jail</v>
      </c>
      <c r="T131" s="1" t="str">
        <f t="shared" si="25"/>
        <v>d) d) Article 112 has been used to promote discussions</v>
      </c>
      <c r="V131" s="1" t="str">
        <f t="shared" si="30"/>
        <v>a) a) It venerates its monarchy</v>
      </c>
      <c r="W131" s="1" t="str">
        <f t="shared" si="31"/>
        <v>b) b) It is hostile to outsiders</v>
      </c>
      <c r="X131" s="1" t="str">
        <f t="shared" si="32"/>
        <v>c) c) It doesn’t value its youth</v>
      </c>
      <c r="Y131" s="1" t="str">
        <f t="shared" si="33"/>
        <v xml:space="preserve">d) d) Outsiders don’t understand it </v>
      </c>
    </row>
    <row r="132" spans="1:25" ht="45.95" customHeight="1" x14ac:dyDescent="0.25">
      <c r="A132" s="33"/>
      <c r="B132" s="33"/>
      <c r="C132" s="33">
        <v>8</v>
      </c>
      <c r="D132" s="33" t="s">
        <v>2961</v>
      </c>
      <c r="E132" s="33">
        <v>1</v>
      </c>
      <c r="F132" s="33" t="s">
        <v>2912</v>
      </c>
      <c r="G132" s="33" t="s">
        <v>2932</v>
      </c>
      <c r="H132" s="33" t="s">
        <v>2963</v>
      </c>
      <c r="I132" s="33" t="s">
        <v>2964</v>
      </c>
      <c r="J132" s="33" t="s">
        <v>3019</v>
      </c>
      <c r="K132" s="33" t="s">
        <v>2965</v>
      </c>
      <c r="L132" s="33"/>
      <c r="M132" s="33"/>
      <c r="N132" s="33"/>
      <c r="O132" s="33"/>
      <c r="P132" s="33"/>
      <c r="Q132" s="1" t="str">
        <f>CONCATENATE("a) ",(H152))</f>
        <v>a) a) Was sold by the National Heritage Memorial Fund.</v>
      </c>
      <c r="R132" s="1" t="str">
        <f>CONCATENATE("b) ",(I152))</f>
        <v>b) b) Fetched 300,000 pounds.</v>
      </c>
      <c r="S132" s="1" t="str">
        <f>CONCATENATE("c) ",(J152))</f>
        <v>c) c) Is set in 1804.</v>
      </c>
      <c r="T132" s="1" t="str">
        <f>CONCATENATE("d) ",(K152))</f>
        <v>d) d) Was purchased by subsidy.</v>
      </c>
      <c r="V132" s="1" t="str">
        <f>CONCATENATE("a) ",(M152))</f>
        <v xml:space="preserve">a) </v>
      </c>
      <c r="W132" s="1" t="str">
        <f>CONCATENATE("b) ",(N152))</f>
        <v xml:space="preserve">b) </v>
      </c>
      <c r="X132" s="1" t="str">
        <f>CONCATENATE("c) ",(O152))</f>
        <v xml:space="preserve">c) </v>
      </c>
      <c r="Y132" s="1" t="str">
        <f>CONCATENATE("d) ",(P152))</f>
        <v xml:space="preserve">d) </v>
      </c>
    </row>
    <row r="133" spans="1:25" ht="45.95" customHeight="1" x14ac:dyDescent="0.25">
      <c r="A133" s="33"/>
      <c r="B133" s="33"/>
      <c r="C133" s="33"/>
      <c r="D133" s="33" t="s">
        <v>2911</v>
      </c>
      <c r="E133" s="33">
        <v>2</v>
      </c>
      <c r="F133" s="33" t="s">
        <v>2913</v>
      </c>
      <c r="G133" s="33" t="s">
        <v>2933</v>
      </c>
      <c r="H133" s="33" t="s">
        <v>2966</v>
      </c>
      <c r="I133" s="33" t="s">
        <v>2967</v>
      </c>
      <c r="J133" s="33" t="s">
        <v>2968</v>
      </c>
      <c r="K133" s="33" t="s">
        <v>2969</v>
      </c>
      <c r="L133" s="33"/>
      <c r="M133" s="33"/>
      <c r="N133" s="33"/>
      <c r="O133" s="33"/>
      <c r="P133" s="33"/>
      <c r="Q133" s="1" t="str">
        <f t="shared" ref="Q133:Q151" si="34">CONCATENATE("a) ",(H153))</f>
        <v>a) a) Attempts to reduce the lionfish population are having an effect.</v>
      </c>
      <c r="R133" s="1" t="str">
        <f t="shared" ref="R133:R151" si="35">CONCATENATE("b) ",(I153))</f>
        <v>b) b) The prospect of reducing the lionfish population remains in doubt.</v>
      </c>
      <c r="S133" s="1" t="str">
        <f t="shared" ref="S133:S151" si="36">CONCATENATE("c) ",(J153))</f>
        <v>c) c) The native species populations are beginning to reduce the lionfish population.</v>
      </c>
      <c r="T133" s="1" t="str">
        <f t="shared" ref="T133:T151" si="37">CONCATENATE("d) ",(K153))</f>
        <v xml:space="preserve">d) d) It is doubtful that the lionfish could survive in Venezuelan waters. </v>
      </c>
      <c r="V133" s="1" t="str">
        <f t="shared" ref="V133:V151" si="38">CONCATENATE("a) ",(M153))</f>
        <v xml:space="preserve">a) </v>
      </c>
      <c r="W133" s="1" t="str">
        <f t="shared" ref="W133:W151" si="39">CONCATENATE("b) ",(N153))</f>
        <v xml:space="preserve">b) </v>
      </c>
      <c r="X133" s="1" t="str">
        <f t="shared" ref="X133:X151" si="40">CONCATENATE("c) ",(O153))</f>
        <v xml:space="preserve">c) </v>
      </c>
      <c r="Y133" s="1" t="str">
        <f t="shared" ref="Y133:Y151" si="41">CONCATENATE("d) ",(P153))</f>
        <v xml:space="preserve">d) </v>
      </c>
    </row>
    <row r="134" spans="1:25" ht="45.95" customHeight="1" x14ac:dyDescent="0.25">
      <c r="A134" s="33"/>
      <c r="B134" s="33"/>
      <c r="C134" s="33"/>
      <c r="D134" s="33" t="s">
        <v>359</v>
      </c>
      <c r="E134" s="33">
        <v>3</v>
      </c>
      <c r="F134" s="33" t="s">
        <v>2914</v>
      </c>
      <c r="G134" s="33" t="s">
        <v>2934</v>
      </c>
      <c r="H134" s="33" t="s">
        <v>2970</v>
      </c>
      <c r="I134" s="33" t="s">
        <v>2971</v>
      </c>
      <c r="J134" s="33" t="s">
        <v>2972</v>
      </c>
      <c r="K134" s="33" t="s">
        <v>2973</v>
      </c>
      <c r="L134" s="33"/>
      <c r="M134" s="33"/>
      <c r="N134" s="33"/>
      <c r="O134" s="33"/>
      <c r="P134" s="33"/>
      <c r="Q134" s="1" t="str">
        <f t="shared" si="34"/>
        <v>a) a) The goods were being sold on fictitious websites</v>
      </c>
      <c r="R134" s="1" t="str">
        <f t="shared" si="35"/>
        <v>b) b) Suspects have been arrested in the USA</v>
      </c>
      <c r="S134" s="1" t="str">
        <f t="shared" si="36"/>
        <v xml:space="preserve">c) c) The professed merchants used counterfeit credentials </v>
      </c>
      <c r="T134" s="1" t="str">
        <f t="shared" si="37"/>
        <v>d) d) The victims were over charged for their purchases</v>
      </c>
      <c r="V134" s="1" t="str">
        <f t="shared" si="38"/>
        <v xml:space="preserve">a) </v>
      </c>
      <c r="W134" s="1" t="str">
        <f t="shared" si="39"/>
        <v xml:space="preserve">b) </v>
      </c>
      <c r="X134" s="1" t="str">
        <f t="shared" si="40"/>
        <v xml:space="preserve">c) </v>
      </c>
      <c r="Y134" s="1" t="str">
        <f t="shared" si="41"/>
        <v xml:space="preserve">d) </v>
      </c>
    </row>
    <row r="135" spans="1:25" ht="45.95" customHeight="1" x14ac:dyDescent="0.25">
      <c r="A135" s="33"/>
      <c r="B135" s="33"/>
      <c r="C135" s="33"/>
      <c r="D135" s="33"/>
      <c r="E135" s="33">
        <v>4</v>
      </c>
      <c r="F135" s="33" t="s">
        <v>2915</v>
      </c>
      <c r="G135" s="33" t="s">
        <v>2935</v>
      </c>
      <c r="H135" s="33" t="s">
        <v>2974</v>
      </c>
      <c r="I135" s="33" t="s">
        <v>2975</v>
      </c>
      <c r="J135" s="33" t="s">
        <v>2976</v>
      </c>
      <c r="K135" s="33" t="s">
        <v>2977</v>
      </c>
      <c r="L135" s="33"/>
      <c r="M135" s="33"/>
      <c r="N135" s="33"/>
      <c r="O135" s="33"/>
      <c r="P135" s="33"/>
      <c r="Q135" s="1" t="str">
        <f t="shared" si="34"/>
        <v>a) a) The post woman has separated from her partner</v>
      </c>
      <c r="R135" s="1" t="str">
        <f t="shared" si="35"/>
        <v>b) b) The post woman has an excess of mail to deliver</v>
      </c>
      <c r="S135" s="1" t="str">
        <f t="shared" si="36"/>
        <v>c) c) The post woman delivers mail to private companies</v>
      </c>
      <c r="T135" s="1" t="str">
        <f t="shared" si="37"/>
        <v>d) d) The post woman has to leave her flat</v>
      </c>
      <c r="V135" s="1" t="str">
        <f t="shared" si="38"/>
        <v xml:space="preserve">a) </v>
      </c>
      <c r="W135" s="1" t="str">
        <f t="shared" si="39"/>
        <v xml:space="preserve">b) </v>
      </c>
      <c r="X135" s="1" t="str">
        <f t="shared" si="40"/>
        <v xml:space="preserve">c) </v>
      </c>
      <c r="Y135" s="1" t="str">
        <f t="shared" si="41"/>
        <v xml:space="preserve">d) </v>
      </c>
    </row>
    <row r="136" spans="1:25" ht="45.95" customHeight="1" x14ac:dyDescent="0.25">
      <c r="A136" s="33"/>
      <c r="B136" s="33"/>
      <c r="C136" s="33"/>
      <c r="D136" s="33"/>
      <c r="E136" s="33">
        <v>5</v>
      </c>
      <c r="F136" s="33" t="s">
        <v>2916</v>
      </c>
      <c r="G136" s="33" t="s">
        <v>2936</v>
      </c>
      <c r="H136" s="33" t="s">
        <v>2978</v>
      </c>
      <c r="I136" s="33" t="s">
        <v>2979</v>
      </c>
      <c r="J136" s="33" t="s">
        <v>2980</v>
      </c>
      <c r="K136" s="33" t="s">
        <v>2981</v>
      </c>
      <c r="L136" s="33"/>
      <c r="M136" s="33"/>
      <c r="N136" s="33"/>
      <c r="O136" s="33"/>
      <c r="P136" s="33"/>
      <c r="Q136" s="1" t="str">
        <f t="shared" si="34"/>
        <v>a) a) The newspaper has been accused of listening to celebrities’ voicemails</v>
      </c>
      <c r="R136" s="1" t="str">
        <f t="shared" si="35"/>
        <v>b) b) The newspaper has been charged with listening to crime victim’s voicemails</v>
      </c>
      <c r="S136" s="1" t="str">
        <f t="shared" si="36"/>
        <v>c) c) The situation is being examined</v>
      </c>
      <c r="T136" s="1" t="str">
        <f t="shared" si="37"/>
        <v>d) d) The parents couldn’t find their missing daughter</v>
      </c>
      <c r="V136" s="1" t="str">
        <f t="shared" si="38"/>
        <v xml:space="preserve">a) </v>
      </c>
      <c r="W136" s="1" t="str">
        <f t="shared" si="39"/>
        <v xml:space="preserve">b) </v>
      </c>
      <c r="X136" s="1" t="str">
        <f t="shared" si="40"/>
        <v xml:space="preserve">c) </v>
      </c>
      <c r="Y136" s="1" t="str">
        <f t="shared" si="41"/>
        <v xml:space="preserve">d) </v>
      </c>
    </row>
    <row r="137" spans="1:25" ht="45.95" customHeight="1" x14ac:dyDescent="0.25">
      <c r="A137" s="33"/>
      <c r="B137" s="33"/>
      <c r="C137" s="33"/>
      <c r="D137" s="33"/>
      <c r="E137" s="33">
        <v>6</v>
      </c>
      <c r="F137" s="33" t="s">
        <v>2917</v>
      </c>
      <c r="G137" s="33" t="s">
        <v>2938</v>
      </c>
      <c r="H137" s="33" t="s">
        <v>2982</v>
      </c>
      <c r="I137" s="33" t="s">
        <v>1842</v>
      </c>
      <c r="J137" s="33" t="s">
        <v>1843</v>
      </c>
      <c r="K137" s="33" t="s">
        <v>1844</v>
      </c>
      <c r="L137" s="33"/>
      <c r="M137" s="33"/>
      <c r="N137" s="33"/>
      <c r="O137" s="33"/>
      <c r="P137" s="33"/>
      <c r="Q137" s="1" t="str">
        <f t="shared" si="34"/>
        <v>a) a) It is not overly complicated to repair the spinal cord.</v>
      </c>
      <c r="R137" s="1" t="str">
        <f t="shared" si="35"/>
        <v>b) b) Human trials on patients with damaged spinal cords have begun.</v>
      </c>
      <c r="S137" s="1" t="str">
        <f t="shared" si="36"/>
        <v>c) c) Techniques to heal arms and legs have been completely unsuccessful with the spinal cord.</v>
      </c>
      <c r="T137" s="1" t="str">
        <f t="shared" si="37"/>
        <v xml:space="preserve">d) d) Researchers have found a way to bypass blemished tissue.  </v>
      </c>
      <c r="V137" s="1" t="str">
        <f t="shared" si="38"/>
        <v xml:space="preserve">a) </v>
      </c>
      <c r="W137" s="1" t="str">
        <f t="shared" si="39"/>
        <v xml:space="preserve">b) </v>
      </c>
      <c r="X137" s="1" t="str">
        <f t="shared" si="40"/>
        <v xml:space="preserve">c) </v>
      </c>
      <c r="Y137" s="1" t="str">
        <f t="shared" si="41"/>
        <v xml:space="preserve">d) </v>
      </c>
    </row>
    <row r="138" spans="1:25" ht="45.95" customHeight="1" x14ac:dyDescent="0.25">
      <c r="A138" s="33"/>
      <c r="B138" s="33"/>
      <c r="C138" s="33"/>
      <c r="D138" s="33"/>
      <c r="E138" s="33">
        <v>7</v>
      </c>
      <c r="F138" s="33" t="s">
        <v>2918</v>
      </c>
      <c r="G138" s="33" t="s">
        <v>2939</v>
      </c>
      <c r="H138" s="33" t="s">
        <v>2983</v>
      </c>
      <c r="I138" s="33" t="s">
        <v>2984</v>
      </c>
      <c r="J138" s="33" t="s">
        <v>2985</v>
      </c>
      <c r="K138" s="33" t="s">
        <v>2986</v>
      </c>
      <c r="L138" s="33"/>
      <c r="M138" s="33"/>
      <c r="N138" s="33"/>
      <c r="O138" s="33"/>
      <c r="P138" s="33"/>
      <c r="Q138" s="1" t="str">
        <f t="shared" si="34"/>
        <v>a) a) Max Mathews was the first person to select pitch on a computer.</v>
      </c>
      <c r="R138" s="1" t="str">
        <f t="shared" si="35"/>
        <v>b) b) Max Mathews was the foremost person to make sound with a computer.</v>
      </c>
      <c r="S138" s="1" t="str">
        <f t="shared" si="36"/>
        <v>c) c) “The Silver Scale” is said to be the work of a genius.</v>
      </c>
      <c r="T138" s="1" t="str">
        <f t="shared" si="37"/>
        <v xml:space="preserve">d) d)  “The Silver Scale” is still widely listened to today.  </v>
      </c>
      <c r="V138" s="1" t="str">
        <f t="shared" si="38"/>
        <v xml:space="preserve">a) </v>
      </c>
      <c r="W138" s="1" t="str">
        <f t="shared" si="39"/>
        <v xml:space="preserve">b) </v>
      </c>
      <c r="X138" s="1" t="str">
        <f t="shared" si="40"/>
        <v xml:space="preserve">c) </v>
      </c>
      <c r="Y138" s="1" t="str">
        <f t="shared" si="41"/>
        <v xml:space="preserve">d) </v>
      </c>
    </row>
    <row r="139" spans="1:25" ht="45.95" customHeight="1" x14ac:dyDescent="0.25">
      <c r="A139" s="33"/>
      <c r="B139" s="33"/>
      <c r="C139" s="33"/>
      <c r="D139" s="33"/>
      <c r="E139" s="33">
        <v>8</v>
      </c>
      <c r="F139" s="33" t="s">
        <v>2919</v>
      </c>
      <c r="G139" s="33" t="s">
        <v>2937</v>
      </c>
      <c r="H139" s="33" t="s">
        <v>2987</v>
      </c>
      <c r="I139" s="33" t="s">
        <v>2988</v>
      </c>
      <c r="J139" s="33" t="s">
        <v>2989</v>
      </c>
      <c r="K139" s="33" t="s">
        <v>2990</v>
      </c>
      <c r="L139" s="33"/>
      <c r="M139" s="33"/>
      <c r="N139" s="33"/>
      <c r="O139" s="33"/>
      <c r="P139" s="33"/>
      <c r="Q139" s="1" t="str">
        <f t="shared" si="34"/>
        <v>a) a) Traditional school sports are politically correct.</v>
      </c>
      <c r="R139" s="1" t="str">
        <f t="shared" si="35"/>
        <v>b) b) Traditional school sports are now obsolete.</v>
      </c>
      <c r="S139" s="1" t="str">
        <f t="shared" si="36"/>
        <v>c) c) It does no harm to expose children to failure.</v>
      </c>
      <c r="T139" s="1" t="str">
        <f t="shared" si="37"/>
        <v xml:space="preserve">d) d) A child’s academic achievements should be valued above all else. </v>
      </c>
      <c r="V139" s="1" t="str">
        <f t="shared" si="38"/>
        <v xml:space="preserve">a) </v>
      </c>
      <c r="W139" s="1" t="str">
        <f t="shared" si="39"/>
        <v xml:space="preserve">b) </v>
      </c>
      <c r="X139" s="1" t="str">
        <f t="shared" si="40"/>
        <v xml:space="preserve">c) </v>
      </c>
      <c r="Y139" s="1" t="str">
        <f t="shared" si="41"/>
        <v xml:space="preserve">d) </v>
      </c>
    </row>
    <row r="140" spans="1:25" ht="45.95" customHeight="1" x14ac:dyDescent="0.25">
      <c r="A140" s="33"/>
      <c r="B140" s="33"/>
      <c r="C140" s="33"/>
      <c r="D140" s="33"/>
      <c r="E140" s="33">
        <v>9</v>
      </c>
      <c r="F140" s="33" t="s">
        <v>2920</v>
      </c>
      <c r="G140" s="33" t="s">
        <v>2940</v>
      </c>
      <c r="H140" s="33" t="s">
        <v>2991</v>
      </c>
      <c r="I140" s="33" t="s">
        <v>2992</v>
      </c>
      <c r="J140" s="33" t="s">
        <v>2993</v>
      </c>
      <c r="K140" s="33" t="s">
        <v>2994</v>
      </c>
      <c r="L140" s="33"/>
      <c r="M140" s="33"/>
      <c r="N140" s="33"/>
      <c r="O140" s="33"/>
      <c r="P140" s="33"/>
      <c r="Q140" s="1" t="str">
        <f t="shared" si="34"/>
        <v>a) a) Revenge is the reason that the banks are being overhauled.</v>
      </c>
      <c r="R140" s="1" t="str">
        <f t="shared" si="35"/>
        <v>b) b) Politicians have tried to be lenient with the banks.</v>
      </c>
      <c r="S140" s="1" t="str">
        <f t="shared" si="36"/>
        <v>c) c) Mr. Osborne supports the protection of the tax payer from the banks’ potential losses.</v>
      </c>
      <c r="T140" s="1" t="str">
        <f t="shared" si="37"/>
        <v xml:space="preserve">d) d) Mr. Osborne has generated worry among bankers.  </v>
      </c>
      <c r="V140" s="1" t="str">
        <f t="shared" si="38"/>
        <v xml:space="preserve">a) </v>
      </c>
      <c r="W140" s="1" t="str">
        <f t="shared" si="39"/>
        <v xml:space="preserve">b) </v>
      </c>
      <c r="X140" s="1" t="str">
        <f t="shared" si="40"/>
        <v xml:space="preserve">c) </v>
      </c>
      <c r="Y140" s="1" t="str">
        <f t="shared" si="41"/>
        <v xml:space="preserve">d) </v>
      </c>
    </row>
    <row r="141" spans="1:25" ht="45.95" customHeight="1" x14ac:dyDescent="0.25">
      <c r="A141" s="33"/>
      <c r="B141" s="33"/>
      <c r="C141" s="33"/>
      <c r="D141" s="33"/>
      <c r="E141" s="33">
        <v>10</v>
      </c>
      <c r="F141" s="33" t="s">
        <v>2921</v>
      </c>
      <c r="G141" s="33" t="s">
        <v>2941</v>
      </c>
      <c r="H141" s="33" t="s">
        <v>1826</v>
      </c>
      <c r="I141" s="33" t="s">
        <v>1827</v>
      </c>
      <c r="J141" s="33" t="s">
        <v>1828</v>
      </c>
      <c r="K141" s="33" t="s">
        <v>1829</v>
      </c>
      <c r="L141" s="33"/>
      <c r="M141" s="33"/>
      <c r="N141" s="33"/>
      <c r="O141" s="33"/>
      <c r="P141" s="33"/>
      <c r="Q141" s="1" t="str">
        <f t="shared" si="34"/>
        <v>a) a) Ms. Lagarde’s focus as managing director will depend on circumstances.</v>
      </c>
      <c r="R141" s="1" t="str">
        <f t="shared" si="35"/>
        <v>b) b) The selection of Ms Lagarde by the IMF has been met with unanimous approval.</v>
      </c>
      <c r="S141" s="1" t="str">
        <f t="shared" si="36"/>
        <v>c) c) The developing countries have confidence in Ms. Lagarde’s objectives.</v>
      </c>
      <c r="T141" s="1" t="str">
        <f t="shared" si="37"/>
        <v xml:space="preserve">d) d) Ms. Lagarde will aim to prevent a restructuring of Greece’s government debt.   </v>
      </c>
      <c r="V141" s="1" t="str">
        <f t="shared" si="38"/>
        <v xml:space="preserve">a) </v>
      </c>
      <c r="W141" s="1" t="str">
        <f t="shared" si="39"/>
        <v xml:space="preserve">b) </v>
      </c>
      <c r="X141" s="1" t="str">
        <f t="shared" si="40"/>
        <v xml:space="preserve">c) </v>
      </c>
      <c r="Y141" s="1" t="str">
        <f t="shared" si="41"/>
        <v xml:space="preserve">d) </v>
      </c>
    </row>
    <row r="142" spans="1:25" ht="45.95" customHeight="1" x14ac:dyDescent="0.25">
      <c r="A142" s="33"/>
      <c r="B142" s="33"/>
      <c r="C142" s="33"/>
      <c r="D142" s="33"/>
      <c r="E142" s="33">
        <v>11</v>
      </c>
      <c r="F142" s="33" t="s">
        <v>2922</v>
      </c>
      <c r="G142" s="33" t="s">
        <v>2942</v>
      </c>
      <c r="H142" s="33" t="s">
        <v>2995</v>
      </c>
      <c r="I142" s="33" t="s">
        <v>2996</v>
      </c>
      <c r="J142" s="33" t="s">
        <v>2997</v>
      </c>
      <c r="K142" s="33" t="s">
        <v>3641</v>
      </c>
      <c r="L142" s="33" t="s">
        <v>2952</v>
      </c>
      <c r="M142" s="33" t="s">
        <v>3020</v>
      </c>
      <c r="N142" s="33" t="s">
        <v>3021</v>
      </c>
      <c r="O142" s="33" t="s">
        <v>3022</v>
      </c>
      <c r="P142" s="33" t="s">
        <v>3023</v>
      </c>
      <c r="Q142" s="1" t="str">
        <f t="shared" si="34"/>
        <v>a) a) To carry out anti-piracy attacks</v>
      </c>
      <c r="R142" s="1" t="str">
        <f t="shared" si="35"/>
        <v>b) b) To transport goods</v>
      </c>
      <c r="S142" s="1" t="str">
        <f t="shared" si="36"/>
        <v>c) c) To help provide aid to developing countries</v>
      </c>
      <c r="T142" s="1" t="str">
        <f t="shared" si="37"/>
        <v>d) d) As a cruise liner</v>
      </c>
      <c r="V142" s="1" t="str">
        <f t="shared" si="38"/>
        <v>a) a) The confirmed nationalities on board are Romanian and Libyan</v>
      </c>
      <c r="W142" s="1" t="str">
        <f t="shared" si="39"/>
        <v>b) b) The ship belongs to North Korea</v>
      </c>
      <c r="X142" s="1" t="str">
        <f t="shared" si="40"/>
        <v>c) c) More than 50% of hijackings were carried out by Somali pirates in 2009</v>
      </c>
      <c r="Y142" s="1" t="str">
        <f t="shared" si="41"/>
        <v xml:space="preserve">d) d) The number of attacks is generally decreasing       </v>
      </c>
    </row>
    <row r="143" spans="1:25" ht="45.95" customHeight="1" x14ac:dyDescent="0.25">
      <c r="A143" s="33"/>
      <c r="B143" s="33"/>
      <c r="C143" s="33"/>
      <c r="D143" s="33"/>
      <c r="E143" s="33">
        <v>12</v>
      </c>
      <c r="F143" s="33" t="s">
        <v>2923</v>
      </c>
      <c r="G143" s="33" t="s">
        <v>2943</v>
      </c>
      <c r="H143" s="33" t="s">
        <v>2998</v>
      </c>
      <c r="I143" s="33" t="s">
        <v>2999</v>
      </c>
      <c r="J143" s="33" t="s">
        <v>3000</v>
      </c>
      <c r="K143" s="33" t="s">
        <v>3001</v>
      </c>
      <c r="L143" s="33" t="s">
        <v>2953</v>
      </c>
      <c r="M143" s="33" t="s">
        <v>3024</v>
      </c>
      <c r="N143" s="33" t="s">
        <v>3025</v>
      </c>
      <c r="O143" s="33" t="s">
        <v>3026</v>
      </c>
      <c r="P143" s="33" t="s">
        <v>3027</v>
      </c>
      <c r="Q143" s="1" t="str">
        <f t="shared" si="34"/>
        <v>a) a) They complain more than people in London</v>
      </c>
      <c r="R143" s="1" t="str">
        <f t="shared" si="35"/>
        <v>b) b) They see themselves as victims</v>
      </c>
      <c r="S143" s="1" t="str">
        <f t="shared" si="36"/>
        <v>c) c) They show great compassion</v>
      </c>
      <c r="T143" s="1" t="str">
        <f t="shared" si="37"/>
        <v>d) d) They are very analytical</v>
      </c>
      <c r="V143" s="1" t="str">
        <f t="shared" si="38"/>
        <v>a) a) They suffering of the Congolese</v>
      </c>
      <c r="W143" s="1" t="str">
        <f t="shared" si="39"/>
        <v>b) b) The resilience of the Congolese</v>
      </c>
      <c r="X143" s="1" t="str">
        <f t="shared" si="40"/>
        <v>c) c) The Congolese conflict</v>
      </c>
      <c r="Y143" s="1" t="str">
        <f t="shared" si="41"/>
        <v>d) d) The normality of the Congolese</v>
      </c>
    </row>
    <row r="144" spans="1:25" ht="45.95" customHeight="1" x14ac:dyDescent="0.25">
      <c r="A144" s="33"/>
      <c r="B144" s="33"/>
      <c r="C144" s="33"/>
      <c r="D144" s="33"/>
      <c r="E144" s="33">
        <v>13</v>
      </c>
      <c r="F144" s="33" t="s">
        <v>2924</v>
      </c>
      <c r="G144" s="33" t="s">
        <v>2944</v>
      </c>
      <c r="H144" s="33" t="s">
        <v>3002</v>
      </c>
      <c r="I144" s="33" t="s">
        <v>3003</v>
      </c>
      <c r="J144" s="33" t="s">
        <v>3004</v>
      </c>
      <c r="K144" s="33" t="s">
        <v>3005</v>
      </c>
      <c r="L144" s="33" t="s">
        <v>2954</v>
      </c>
      <c r="M144" s="33" t="s">
        <v>3028</v>
      </c>
      <c r="N144" s="33" t="s">
        <v>3029</v>
      </c>
      <c r="O144" s="33" t="s">
        <v>3030</v>
      </c>
      <c r="P144" s="33" t="s">
        <v>3031</v>
      </c>
      <c r="Q144" s="1" t="str">
        <f t="shared" si="34"/>
        <v>a) a) Enriching its uranium supply</v>
      </c>
      <c r="R144" s="1" t="str">
        <f t="shared" si="35"/>
        <v>b) b) Preparing fuel for its research reactor</v>
      </c>
      <c r="S144" s="1" t="str">
        <f t="shared" si="36"/>
        <v>c) c) Producing nuclear weapons</v>
      </c>
      <c r="T144" s="1" t="str">
        <f t="shared" si="37"/>
        <v xml:space="preserve">d) d) Generating electricity  </v>
      </c>
      <c r="V144" s="1" t="str">
        <f t="shared" si="38"/>
        <v>a) a) Don’t believe Iran is capable of enriching uranium</v>
      </c>
      <c r="W144" s="1" t="str">
        <f t="shared" si="39"/>
        <v>b) b) Don’t believe Iran can prepare the reactor for its designated task</v>
      </c>
      <c r="X144" s="1" t="str">
        <f t="shared" si="40"/>
        <v>c) c) Don’t want to place more sanctions on Iran</v>
      </c>
      <c r="Y144" s="1" t="str">
        <f t="shared" si="41"/>
        <v xml:space="preserve">d) d) Want to study Iran’s cancer treatment program </v>
      </c>
    </row>
    <row r="145" spans="1:25" ht="45.95" customHeight="1" x14ac:dyDescent="0.25">
      <c r="A145" s="33"/>
      <c r="B145" s="33"/>
      <c r="C145" s="33"/>
      <c r="D145" s="33"/>
      <c r="E145" s="33">
        <v>14</v>
      </c>
      <c r="F145" s="33" t="s">
        <v>2925</v>
      </c>
      <c r="G145" s="33" t="s">
        <v>2945</v>
      </c>
      <c r="H145" s="33" t="s">
        <v>3006</v>
      </c>
      <c r="I145" s="33" t="s">
        <v>3007</v>
      </c>
      <c r="J145" s="33" t="s">
        <v>3008</v>
      </c>
      <c r="K145" s="33" t="s">
        <v>3009</v>
      </c>
      <c r="L145" s="33" t="s">
        <v>2955</v>
      </c>
      <c r="M145" s="33" t="s">
        <v>3032</v>
      </c>
      <c r="N145" s="33" t="s">
        <v>3642</v>
      </c>
      <c r="O145" s="33" t="s">
        <v>3033</v>
      </c>
      <c r="P145" s="33" t="s">
        <v>3034</v>
      </c>
      <c r="Q145" s="1" t="str">
        <f t="shared" si="34"/>
        <v>a) a) Hostile to Western visitors</v>
      </c>
      <c r="R145" s="1" t="str">
        <f t="shared" si="35"/>
        <v>b) b) Complicated to visit</v>
      </c>
      <c r="S145" s="1" t="str">
        <f t="shared" si="36"/>
        <v>c) c) Readily accessible</v>
      </c>
      <c r="T145" s="1" t="str">
        <f t="shared" si="37"/>
        <v>d) d) Overrun with tourists</v>
      </c>
      <c r="V145" s="1" t="str">
        <f t="shared" si="38"/>
        <v>a) a) They are not carrying electronic gadgets</v>
      </c>
      <c r="W145" s="1" t="str">
        <f t="shared" si="39"/>
        <v>b) b) They are being interrogated by officials</v>
      </c>
      <c r="X145" s="1" t="str">
        <f t="shared" si="40"/>
        <v>c) c) They are being searched by police</v>
      </c>
      <c r="Y145" s="1" t="str">
        <f t="shared" si="41"/>
        <v xml:space="preserve">d) d) Their plane is being inspected </v>
      </c>
    </row>
    <row r="146" spans="1:25" ht="45.95" customHeight="1" x14ac:dyDescent="0.25">
      <c r="A146" s="33"/>
      <c r="B146" s="33"/>
      <c r="C146" s="33"/>
      <c r="D146" s="33"/>
      <c r="E146" s="33">
        <v>15</v>
      </c>
      <c r="F146" s="33" t="s">
        <v>2926</v>
      </c>
      <c r="G146" s="33" t="s">
        <v>5085</v>
      </c>
      <c r="H146" s="33" t="s">
        <v>3010</v>
      </c>
      <c r="I146" s="33" t="s">
        <v>3011</v>
      </c>
      <c r="J146" s="33" t="s">
        <v>3012</v>
      </c>
      <c r="K146" s="33" t="s">
        <v>3013</v>
      </c>
      <c r="L146" s="33" t="s">
        <v>2956</v>
      </c>
      <c r="M146" s="33" t="s">
        <v>3035</v>
      </c>
      <c r="N146" s="33" t="s">
        <v>3036</v>
      </c>
      <c r="O146" s="33" t="s">
        <v>3037</v>
      </c>
      <c r="P146" s="33" t="s">
        <v>3038</v>
      </c>
      <c r="Q146" s="1" t="str">
        <f t="shared" si="34"/>
        <v>a) a) The approaching expo</v>
      </c>
      <c r="R146" s="1" t="str">
        <f t="shared" si="35"/>
        <v>b) b) A special campaign</v>
      </c>
      <c r="S146" s="1" t="str">
        <f t="shared" si="36"/>
        <v>c) c) The local authorities’ orders</v>
      </c>
      <c r="T146" s="1" t="str">
        <f t="shared" si="37"/>
        <v xml:space="preserve">d) d) The heat  </v>
      </c>
      <c r="V146" s="1" t="str">
        <f t="shared" si="38"/>
        <v>a) a) Poverty</v>
      </c>
      <c r="W146" s="1" t="str">
        <f t="shared" si="39"/>
        <v>b) b) A comfortable life</v>
      </c>
      <c r="X146" s="1" t="str">
        <f t="shared" si="40"/>
        <v>c) c) The entertainment industry</v>
      </c>
      <c r="Y146" s="1" t="str">
        <f t="shared" si="41"/>
        <v>d) d) Refinement</v>
      </c>
    </row>
    <row r="147" spans="1:25" ht="45.95" customHeight="1" x14ac:dyDescent="0.25">
      <c r="A147" s="33"/>
      <c r="B147" s="33"/>
      <c r="C147" s="33"/>
      <c r="D147" s="33"/>
      <c r="E147" s="33">
        <v>16</v>
      </c>
      <c r="F147" s="33" t="s">
        <v>2927</v>
      </c>
      <c r="G147" s="33" t="s">
        <v>2947</v>
      </c>
      <c r="H147" s="33" t="s">
        <v>1823</v>
      </c>
      <c r="I147" s="33" t="s">
        <v>3014</v>
      </c>
      <c r="J147" s="33" t="s">
        <v>1824</v>
      </c>
      <c r="K147" s="33" t="s">
        <v>1825</v>
      </c>
      <c r="L147" s="33" t="s">
        <v>3643</v>
      </c>
      <c r="M147" s="33" t="s">
        <v>1845</v>
      </c>
      <c r="N147" s="33" t="s">
        <v>1846</v>
      </c>
      <c r="O147" s="33" t="s">
        <v>1847</v>
      </c>
      <c r="P147" s="33" t="s">
        <v>1848</v>
      </c>
      <c r="Q147" s="1" t="str">
        <f t="shared" si="34"/>
        <v>a) a) The first woman to be nominated for an Oscar</v>
      </c>
      <c r="R147" s="1" t="str">
        <f t="shared" si="35"/>
        <v>b) b) One of five women who have won an Oscar</v>
      </c>
      <c r="S147" s="1" t="str">
        <f t="shared" si="36"/>
        <v>c) c) The first woman to direct a film</v>
      </c>
      <c r="T147" s="1" t="str">
        <f t="shared" si="37"/>
        <v xml:space="preserve">d) d) One of five women who have been nominated for an Oscar </v>
      </c>
      <c r="V147" s="1" t="str">
        <f t="shared" si="38"/>
        <v>a) a) Won awards for best and worst actress</v>
      </c>
      <c r="W147" s="1" t="str">
        <f t="shared" si="39"/>
        <v>b) b) Won an award for best actress only</v>
      </c>
      <c r="X147" s="1" t="str">
        <f t="shared" si="40"/>
        <v>c) c) Won an award for worst actress only</v>
      </c>
      <c r="Y147" s="1" t="str">
        <f t="shared" si="41"/>
        <v>d) d) Not won an award</v>
      </c>
    </row>
    <row r="148" spans="1:25" ht="45.95" customHeight="1" x14ac:dyDescent="0.25">
      <c r="A148" s="33"/>
      <c r="B148" s="33"/>
      <c r="C148" s="33"/>
      <c r="D148" s="33"/>
      <c r="E148" s="33">
        <v>17</v>
      </c>
      <c r="F148" s="33" t="s">
        <v>2928</v>
      </c>
      <c r="G148" s="33" t="s">
        <v>2948</v>
      </c>
      <c r="H148" s="33" t="s">
        <v>1830</v>
      </c>
      <c r="I148" s="33" t="s">
        <v>1831</v>
      </c>
      <c r="J148" s="33" t="s">
        <v>1832</v>
      </c>
      <c r="K148" s="33" t="s">
        <v>1833</v>
      </c>
      <c r="L148" s="33" t="s">
        <v>2957</v>
      </c>
      <c r="M148" s="33" t="s">
        <v>1849</v>
      </c>
      <c r="N148" s="33" t="s">
        <v>1850</v>
      </c>
      <c r="O148" s="33" t="s">
        <v>1851</v>
      </c>
      <c r="P148" s="33" t="s">
        <v>1852</v>
      </c>
      <c r="Q148" s="1" t="str">
        <f t="shared" si="34"/>
        <v>a) a) Are a hindrance to the police</v>
      </c>
      <c r="R148" s="1" t="str">
        <f t="shared" si="35"/>
        <v>b) b) Are a form of assistance to the police</v>
      </c>
      <c r="S148" s="1" t="str">
        <f t="shared" si="36"/>
        <v>c) c) Have completely replaced the police</v>
      </c>
      <c r="T148" s="1" t="str">
        <f t="shared" si="37"/>
        <v>d) d) Are rapidly disappearing</v>
      </c>
      <c r="V148" s="1" t="str">
        <f t="shared" si="38"/>
        <v>a) a) They always hand robbers over to the police</v>
      </c>
      <c r="W148" s="1" t="str">
        <f t="shared" si="39"/>
        <v>b) b) They are above the law</v>
      </c>
      <c r="X148" s="1" t="str">
        <f t="shared" si="40"/>
        <v>c) c) They sometimes consist of policemen</v>
      </c>
      <c r="Y148" s="1" t="str">
        <f t="shared" si="41"/>
        <v>d) d) They sometimes punish robbers themselves</v>
      </c>
    </row>
    <row r="149" spans="1:25" ht="45.95" customHeight="1" x14ac:dyDescent="0.25">
      <c r="A149" s="33"/>
      <c r="B149" s="33"/>
      <c r="C149" s="33"/>
      <c r="D149" s="33"/>
      <c r="E149" s="33">
        <v>18</v>
      </c>
      <c r="F149" s="33" t="s">
        <v>2929</v>
      </c>
      <c r="G149" s="33" t="s">
        <v>2949</v>
      </c>
      <c r="H149" s="33" t="s">
        <v>1838</v>
      </c>
      <c r="I149" s="33" t="s">
        <v>1839</v>
      </c>
      <c r="J149" s="33" t="s">
        <v>1840</v>
      </c>
      <c r="K149" s="33" t="s">
        <v>1841</v>
      </c>
      <c r="L149" s="33" t="s">
        <v>2958</v>
      </c>
      <c r="M149" s="33" t="s">
        <v>1853</v>
      </c>
      <c r="N149" s="33" t="s">
        <v>1854</v>
      </c>
      <c r="O149" s="33" t="s">
        <v>1855</v>
      </c>
      <c r="P149" s="33" t="s">
        <v>1856</v>
      </c>
      <c r="Q149" s="1" t="str">
        <f t="shared" si="34"/>
        <v>a) a) Make decisions independently</v>
      </c>
      <c r="R149" s="1" t="str">
        <f t="shared" si="35"/>
        <v>b) b) Often exchange land</v>
      </c>
      <c r="S149" s="1" t="str">
        <f t="shared" si="36"/>
        <v>c) c) Always approve of each others’ decisions</v>
      </c>
      <c r="T149" s="1" t="str">
        <f t="shared" si="37"/>
        <v>d) d) Make decisions together</v>
      </c>
      <c r="V149" s="1" t="str">
        <f t="shared" si="38"/>
        <v>a) a) His story was made into a movie</v>
      </c>
      <c r="W149" s="1" t="str">
        <f t="shared" si="39"/>
        <v>b) b) He is now bitter about his experience</v>
      </c>
      <c r="X149" s="1" t="str">
        <f t="shared" si="40"/>
        <v>c) c) He is surprisingly warm and friendly</v>
      </c>
      <c r="Y149" s="1" t="str">
        <f t="shared" si="41"/>
        <v xml:space="preserve">d) d) He remains wary of outsiders </v>
      </c>
    </row>
    <row r="150" spans="1:25" ht="45.95" customHeight="1" x14ac:dyDescent="0.25">
      <c r="A150" s="33"/>
      <c r="B150" s="33"/>
      <c r="C150" s="33"/>
      <c r="D150" s="33"/>
      <c r="E150" s="33">
        <v>19</v>
      </c>
      <c r="F150" s="33" t="s">
        <v>2930</v>
      </c>
      <c r="G150" s="33" t="s">
        <v>2950</v>
      </c>
      <c r="H150" s="33" t="s">
        <v>1834</v>
      </c>
      <c r="I150" s="33" t="s">
        <v>1835</v>
      </c>
      <c r="J150" s="33" t="s">
        <v>1836</v>
      </c>
      <c r="K150" s="33" t="s">
        <v>1837</v>
      </c>
      <c r="L150" s="33" t="s">
        <v>2959</v>
      </c>
      <c r="M150" s="33" t="s">
        <v>3039</v>
      </c>
      <c r="N150" s="33" t="s">
        <v>3040</v>
      </c>
      <c r="O150" s="33" t="s">
        <v>3041</v>
      </c>
      <c r="P150" s="33" t="s">
        <v>3042</v>
      </c>
      <c r="Q150" s="1" t="str">
        <f t="shared" si="34"/>
        <v>a) a) Condones the Roma</v>
      </c>
      <c r="R150" s="1" t="str">
        <f t="shared" si="35"/>
        <v>b) b) Tolerates the Roma</v>
      </c>
      <c r="S150" s="1" t="str">
        <f t="shared" si="36"/>
        <v>c) c) Supports the Roma</v>
      </c>
      <c r="T150" s="1" t="str">
        <f t="shared" si="37"/>
        <v xml:space="preserve">d) d) Is opposed to the Roma </v>
      </c>
      <c r="V150" s="1" t="str">
        <f t="shared" si="38"/>
        <v>a) a) The Roma are prevented from accessing public facilities</v>
      </c>
      <c r="W150" s="1" t="str">
        <f t="shared" si="39"/>
        <v>b) b) The wall was built to segregate the Roma</v>
      </c>
      <c r="X150" s="1" t="str">
        <f t="shared" si="40"/>
        <v>c) c) The public are angry about the building of the wall</v>
      </c>
      <c r="Y150" s="1" t="str">
        <f t="shared" si="41"/>
        <v>d) d) The Roma are not exempt from financial assistance</v>
      </c>
    </row>
    <row r="151" spans="1:25" ht="45.95" customHeight="1" x14ac:dyDescent="0.25">
      <c r="A151" s="33"/>
      <c r="B151" s="33"/>
      <c r="C151" s="33"/>
      <c r="D151" s="33"/>
      <c r="E151" s="33">
        <v>20</v>
      </c>
      <c r="F151" s="33" t="s">
        <v>2931</v>
      </c>
      <c r="G151" s="33" t="s">
        <v>5084</v>
      </c>
      <c r="H151" s="33" t="s">
        <v>3015</v>
      </c>
      <c r="I151" s="33" t="s">
        <v>3016</v>
      </c>
      <c r="J151" s="33" t="s">
        <v>3017</v>
      </c>
      <c r="K151" s="33" t="s">
        <v>3018</v>
      </c>
      <c r="L151" s="33" t="s">
        <v>2960</v>
      </c>
      <c r="M151" s="33" t="s">
        <v>3043</v>
      </c>
      <c r="N151" s="33" t="s">
        <v>3044</v>
      </c>
      <c r="O151" s="33" t="s">
        <v>3045</v>
      </c>
      <c r="P151" s="33" t="s">
        <v>3046</v>
      </c>
      <c r="Q151" s="1" t="str">
        <f t="shared" si="34"/>
        <v>a) a) Has been met with conflicting viewpoints</v>
      </c>
      <c r="R151" s="1" t="str">
        <f t="shared" si="35"/>
        <v>b) b) Has been met with enthusiasm all round</v>
      </c>
      <c r="S151" s="1" t="str">
        <f t="shared" si="36"/>
        <v>c) c) Has already been the reason for several protests</v>
      </c>
      <c r="T151" s="1" t="str">
        <f t="shared" si="37"/>
        <v xml:space="preserve">d) d) Has been rejected </v>
      </c>
      <c r="V151" s="1" t="str">
        <f t="shared" si="38"/>
        <v>a) a) They promote disease</v>
      </c>
      <c r="W151" s="1" t="str">
        <f t="shared" si="39"/>
        <v>b) b) They require more care than traditional crops</v>
      </c>
      <c r="X151" s="1" t="str">
        <f t="shared" si="40"/>
        <v>c) c) They may mix with traditional crops</v>
      </c>
      <c r="Y151" s="1" t="str">
        <f t="shared" si="41"/>
        <v>d) d) They are already found in all the EU countries</v>
      </c>
    </row>
    <row r="152" spans="1:25" ht="20.100000000000001" customHeight="1" x14ac:dyDescent="0.25">
      <c r="A152" s="18"/>
      <c r="B152" s="18"/>
      <c r="C152" s="18">
        <v>9</v>
      </c>
      <c r="D152" s="18" t="s">
        <v>3197</v>
      </c>
      <c r="E152" s="18">
        <v>1</v>
      </c>
      <c r="F152" s="18" t="s">
        <v>3198</v>
      </c>
      <c r="G152" s="18" t="s">
        <v>3218</v>
      </c>
      <c r="H152" s="18" t="s">
        <v>3248</v>
      </c>
      <c r="I152" s="18" t="s">
        <v>3249</v>
      </c>
      <c r="J152" s="18" t="s">
        <v>3250</v>
      </c>
      <c r="K152" s="18" t="s">
        <v>3251</v>
      </c>
      <c r="L152" s="18"/>
      <c r="M152" s="18"/>
      <c r="N152" s="18"/>
      <c r="O152" s="18"/>
      <c r="P152" s="18"/>
    </row>
    <row r="153" spans="1:25" ht="20.100000000000001" customHeight="1" x14ac:dyDescent="0.25">
      <c r="A153" s="18"/>
      <c r="B153" s="18"/>
      <c r="C153" s="18"/>
      <c r="D153" s="18" t="s">
        <v>2911</v>
      </c>
      <c r="E153" s="18">
        <v>2</v>
      </c>
      <c r="F153" s="18" t="s">
        <v>3199</v>
      </c>
      <c r="G153" s="18" t="s">
        <v>3219</v>
      </c>
      <c r="H153" s="18" t="s">
        <v>3252</v>
      </c>
      <c r="I153" s="18" t="s">
        <v>3253</v>
      </c>
      <c r="J153" s="18" t="s">
        <v>3254</v>
      </c>
      <c r="K153" s="18" t="s">
        <v>3255</v>
      </c>
      <c r="L153" s="18"/>
      <c r="M153" s="18"/>
      <c r="N153" s="18"/>
      <c r="O153" s="18"/>
      <c r="P153" s="18"/>
    </row>
    <row r="154" spans="1:25" ht="20.100000000000001" customHeight="1" x14ac:dyDescent="0.25">
      <c r="A154" s="18"/>
      <c r="B154" s="18"/>
      <c r="C154" s="18"/>
      <c r="D154" s="18" t="s">
        <v>359</v>
      </c>
      <c r="E154" s="18">
        <v>3</v>
      </c>
      <c r="F154" s="18" t="s">
        <v>3200</v>
      </c>
      <c r="G154" s="18" t="s">
        <v>3220</v>
      </c>
      <c r="H154" s="18" t="s">
        <v>3256</v>
      </c>
      <c r="I154" s="18" t="s">
        <v>3257</v>
      </c>
      <c r="J154" s="18" t="s">
        <v>3258</v>
      </c>
      <c r="K154" s="18" t="s">
        <v>3259</v>
      </c>
      <c r="L154" s="18"/>
      <c r="M154" s="18"/>
      <c r="N154" s="18"/>
      <c r="O154" s="18"/>
      <c r="P154" s="18"/>
    </row>
    <row r="155" spans="1:25" ht="20.100000000000001" customHeight="1" x14ac:dyDescent="0.25">
      <c r="A155" s="18"/>
      <c r="B155" s="18"/>
      <c r="C155" s="18"/>
      <c r="D155" s="18"/>
      <c r="E155" s="18">
        <v>4</v>
      </c>
      <c r="F155" s="18" t="s">
        <v>3201</v>
      </c>
      <c r="G155" s="18" t="s">
        <v>3221</v>
      </c>
      <c r="H155" s="18" t="s">
        <v>3260</v>
      </c>
      <c r="I155" s="18" t="s">
        <v>3261</v>
      </c>
      <c r="J155" s="18" t="s">
        <v>3262</v>
      </c>
      <c r="K155" s="18" t="s">
        <v>3263</v>
      </c>
      <c r="L155" s="18"/>
      <c r="M155" s="18"/>
      <c r="N155" s="18"/>
      <c r="O155" s="18"/>
      <c r="P155" s="18"/>
    </row>
    <row r="156" spans="1:25" ht="20.100000000000001" customHeight="1" x14ac:dyDescent="0.25">
      <c r="A156" s="18"/>
      <c r="B156" s="18"/>
      <c r="C156" s="18"/>
      <c r="D156" s="18"/>
      <c r="E156" s="18">
        <v>5</v>
      </c>
      <c r="F156" s="18" t="s">
        <v>3202</v>
      </c>
      <c r="G156" s="18" t="s">
        <v>3222</v>
      </c>
      <c r="H156" s="18" t="s">
        <v>3264</v>
      </c>
      <c r="I156" s="18" t="s">
        <v>3265</v>
      </c>
      <c r="J156" s="18" t="s">
        <v>3266</v>
      </c>
      <c r="K156" s="18" t="s">
        <v>3267</v>
      </c>
      <c r="L156" s="18"/>
      <c r="M156" s="18"/>
      <c r="N156" s="18"/>
      <c r="O156" s="18"/>
      <c r="P156" s="18"/>
    </row>
    <row r="157" spans="1:25" ht="20.100000000000001" customHeight="1" x14ac:dyDescent="0.25">
      <c r="A157" s="18"/>
      <c r="B157" s="18"/>
      <c r="C157" s="18"/>
      <c r="D157" s="18"/>
      <c r="E157" s="18">
        <v>6</v>
      </c>
      <c r="F157" s="18" t="s">
        <v>3203</v>
      </c>
      <c r="G157" s="18" t="s">
        <v>3223</v>
      </c>
      <c r="H157" s="18" t="s">
        <v>3268</v>
      </c>
      <c r="I157" s="18" t="s">
        <v>3269</v>
      </c>
      <c r="J157" s="18" t="s">
        <v>3270</v>
      </c>
      <c r="K157" s="18" t="s">
        <v>3271</v>
      </c>
      <c r="L157" s="18"/>
      <c r="M157" s="18"/>
      <c r="N157" s="18"/>
      <c r="O157" s="18"/>
      <c r="P157" s="18"/>
    </row>
    <row r="158" spans="1:25" ht="20.100000000000001" customHeight="1" x14ac:dyDescent="0.25">
      <c r="A158" s="18"/>
      <c r="B158" s="18"/>
      <c r="C158" s="18"/>
      <c r="D158" s="18"/>
      <c r="E158" s="18">
        <v>7</v>
      </c>
      <c r="F158" s="18" t="s">
        <v>3204</v>
      </c>
      <c r="G158" s="18" t="s">
        <v>3224</v>
      </c>
      <c r="H158" s="18" t="s">
        <v>3272</v>
      </c>
      <c r="I158" s="18" t="s">
        <v>3273</v>
      </c>
      <c r="J158" s="18" t="s">
        <v>3274</v>
      </c>
      <c r="K158" s="18" t="s">
        <v>3275</v>
      </c>
      <c r="L158" s="18"/>
      <c r="M158" s="18"/>
      <c r="N158" s="18"/>
      <c r="O158" s="18"/>
      <c r="P158" s="18"/>
    </row>
    <row r="159" spans="1:25" ht="20.100000000000001" customHeight="1" x14ac:dyDescent="0.25">
      <c r="A159" s="18"/>
      <c r="B159" s="18"/>
      <c r="C159" s="18"/>
      <c r="D159" s="18"/>
      <c r="E159" s="18">
        <v>8</v>
      </c>
      <c r="F159" s="18" t="s">
        <v>3205</v>
      </c>
      <c r="G159" s="18" t="s">
        <v>3225</v>
      </c>
      <c r="H159" s="18" t="s">
        <v>3276</v>
      </c>
      <c r="I159" s="18" t="s">
        <v>3277</v>
      </c>
      <c r="J159" s="18" t="s">
        <v>3278</v>
      </c>
      <c r="K159" s="18" t="s">
        <v>3279</v>
      </c>
      <c r="L159" s="18"/>
      <c r="M159" s="18"/>
      <c r="N159" s="18"/>
      <c r="O159" s="18"/>
      <c r="P159" s="18"/>
    </row>
    <row r="160" spans="1:25" ht="20.100000000000001" customHeight="1" x14ac:dyDescent="0.25">
      <c r="A160" s="18"/>
      <c r="B160" s="18"/>
      <c r="C160" s="18"/>
      <c r="D160" s="18"/>
      <c r="E160" s="18">
        <v>9</v>
      </c>
      <c r="F160" s="18" t="s">
        <v>3206</v>
      </c>
      <c r="G160" s="18" t="s">
        <v>3226</v>
      </c>
      <c r="H160" s="18" t="s">
        <v>3280</v>
      </c>
      <c r="I160" s="18" t="s">
        <v>3281</v>
      </c>
      <c r="J160" s="18" t="s">
        <v>3282</v>
      </c>
      <c r="K160" s="18" t="s">
        <v>3283</v>
      </c>
      <c r="L160" s="18"/>
      <c r="M160" s="18"/>
      <c r="N160" s="18"/>
      <c r="O160" s="18"/>
      <c r="P160" s="18"/>
    </row>
    <row r="161" spans="1:16" ht="20.100000000000001" customHeight="1" x14ac:dyDescent="0.25">
      <c r="A161" s="18"/>
      <c r="B161" s="18"/>
      <c r="C161" s="18"/>
      <c r="D161" s="18"/>
      <c r="E161" s="18">
        <v>10</v>
      </c>
      <c r="F161" s="18" t="s">
        <v>3207</v>
      </c>
      <c r="G161" s="18" t="s">
        <v>3227</v>
      </c>
      <c r="H161" s="18" t="s">
        <v>3284</v>
      </c>
      <c r="I161" s="18" t="s">
        <v>3285</v>
      </c>
      <c r="J161" s="18" t="s">
        <v>3286</v>
      </c>
      <c r="K161" s="18" t="s">
        <v>3287</v>
      </c>
      <c r="L161" s="18"/>
      <c r="M161" s="18"/>
      <c r="N161" s="18"/>
      <c r="O161" s="18"/>
      <c r="P161" s="18"/>
    </row>
    <row r="162" spans="1:16" ht="20.100000000000001" customHeight="1" x14ac:dyDescent="0.25">
      <c r="A162" s="18"/>
      <c r="B162" s="18"/>
      <c r="C162" s="18"/>
      <c r="D162" s="18"/>
      <c r="E162" s="18">
        <v>11</v>
      </c>
      <c r="F162" s="18" t="s">
        <v>3208</v>
      </c>
      <c r="G162" s="18" t="s">
        <v>3228</v>
      </c>
      <c r="H162" s="18" t="s">
        <v>3288</v>
      </c>
      <c r="I162" s="18" t="s">
        <v>3289</v>
      </c>
      <c r="J162" s="18" t="s">
        <v>3290</v>
      </c>
      <c r="K162" s="18" t="s">
        <v>3291</v>
      </c>
      <c r="L162" s="18" t="s">
        <v>3238</v>
      </c>
      <c r="M162" s="18" t="s">
        <v>3328</v>
      </c>
      <c r="N162" s="18" t="s">
        <v>3329</v>
      </c>
      <c r="O162" s="18" t="s">
        <v>3330</v>
      </c>
      <c r="P162" s="18" t="s">
        <v>3331</v>
      </c>
    </row>
    <row r="163" spans="1:16" ht="20.100000000000001" customHeight="1" x14ac:dyDescent="0.25">
      <c r="A163" s="18"/>
      <c r="B163" s="18"/>
      <c r="C163" s="18"/>
      <c r="D163" s="18"/>
      <c r="E163" s="18">
        <v>12</v>
      </c>
      <c r="F163" s="18" t="s">
        <v>3209</v>
      </c>
      <c r="G163" s="18" t="s">
        <v>3229</v>
      </c>
      <c r="H163" s="18" t="s">
        <v>3292</v>
      </c>
      <c r="I163" s="18" t="s">
        <v>3293</v>
      </c>
      <c r="J163" s="18" t="s">
        <v>3294</v>
      </c>
      <c r="K163" s="18" t="s">
        <v>3295</v>
      </c>
      <c r="L163" s="18" t="s">
        <v>3239</v>
      </c>
      <c r="M163" s="18" t="s">
        <v>3332</v>
      </c>
      <c r="N163" s="18" t="s">
        <v>3333</v>
      </c>
      <c r="O163" s="18" t="s">
        <v>3334</v>
      </c>
      <c r="P163" s="18" t="s">
        <v>3335</v>
      </c>
    </row>
    <row r="164" spans="1:16" ht="20.100000000000001" customHeight="1" x14ac:dyDescent="0.25">
      <c r="A164" s="18"/>
      <c r="B164" s="18"/>
      <c r="C164" s="18"/>
      <c r="D164" s="18"/>
      <c r="E164" s="18">
        <v>13</v>
      </c>
      <c r="F164" s="18" t="s">
        <v>3210</v>
      </c>
      <c r="G164" s="18" t="s">
        <v>3230</v>
      </c>
      <c r="H164" s="18" t="s">
        <v>3296</v>
      </c>
      <c r="I164" s="18" t="s">
        <v>3297</v>
      </c>
      <c r="J164" s="18" t="s">
        <v>3298</v>
      </c>
      <c r="K164" s="18" t="s">
        <v>3299</v>
      </c>
      <c r="L164" s="18" t="s">
        <v>3240</v>
      </c>
      <c r="M164" s="18" t="s">
        <v>3336</v>
      </c>
      <c r="N164" s="18" t="s">
        <v>3337</v>
      </c>
      <c r="O164" s="18" t="s">
        <v>3338</v>
      </c>
      <c r="P164" s="18" t="s">
        <v>3339</v>
      </c>
    </row>
    <row r="165" spans="1:16" ht="20.100000000000001" customHeight="1" x14ac:dyDescent="0.25">
      <c r="A165" s="18"/>
      <c r="B165" s="18"/>
      <c r="C165" s="18"/>
      <c r="D165" s="18"/>
      <c r="E165" s="18">
        <v>14</v>
      </c>
      <c r="F165" s="18" t="s">
        <v>3211</v>
      </c>
      <c r="G165" s="18" t="s">
        <v>3231</v>
      </c>
      <c r="H165" s="18" t="s">
        <v>3300</v>
      </c>
      <c r="I165" s="18" t="s">
        <v>3301</v>
      </c>
      <c r="J165" s="18" t="s">
        <v>3302</v>
      </c>
      <c r="K165" s="18" t="s">
        <v>3303</v>
      </c>
      <c r="L165" s="18" t="s">
        <v>3241</v>
      </c>
      <c r="M165" s="18" t="s">
        <v>3340</v>
      </c>
      <c r="N165" s="18" t="s">
        <v>3341</v>
      </c>
      <c r="O165" s="18" t="s">
        <v>3342</v>
      </c>
      <c r="P165" s="18" t="s">
        <v>3343</v>
      </c>
    </row>
    <row r="166" spans="1:16" ht="20.100000000000001" customHeight="1" x14ac:dyDescent="0.25">
      <c r="A166" s="18"/>
      <c r="B166" s="18"/>
      <c r="C166" s="18"/>
      <c r="D166" s="18"/>
      <c r="E166" s="18">
        <v>15</v>
      </c>
      <c r="F166" s="18" t="s">
        <v>3212</v>
      </c>
      <c r="G166" s="18" t="s">
        <v>3232</v>
      </c>
      <c r="H166" s="18" t="s">
        <v>3304</v>
      </c>
      <c r="I166" s="18" t="s">
        <v>3305</v>
      </c>
      <c r="J166" s="18" t="s">
        <v>3306</v>
      </c>
      <c r="K166" s="18" t="s">
        <v>3307</v>
      </c>
      <c r="L166" s="18" t="s">
        <v>3242</v>
      </c>
      <c r="M166" s="18" t="s">
        <v>3344</v>
      </c>
      <c r="N166" s="18" t="s">
        <v>3345</v>
      </c>
      <c r="O166" s="18" t="s">
        <v>3346</v>
      </c>
      <c r="P166" s="18" t="s">
        <v>3347</v>
      </c>
    </row>
    <row r="167" spans="1:16" ht="20.100000000000001" customHeight="1" x14ac:dyDescent="0.25">
      <c r="A167" s="18"/>
      <c r="B167" s="18"/>
      <c r="C167" s="18"/>
      <c r="D167" s="18"/>
      <c r="E167" s="18">
        <v>16</v>
      </c>
      <c r="F167" s="18" t="s">
        <v>3213</v>
      </c>
      <c r="G167" s="18" t="s">
        <v>3233</v>
      </c>
      <c r="H167" s="18" t="s">
        <v>3308</v>
      </c>
      <c r="I167" s="18" t="s">
        <v>3309</v>
      </c>
      <c r="J167" s="18" t="s">
        <v>3310</v>
      </c>
      <c r="K167" s="18" t="s">
        <v>3311</v>
      </c>
      <c r="L167" s="18" t="s">
        <v>3243</v>
      </c>
      <c r="M167" s="18" t="s">
        <v>3348</v>
      </c>
      <c r="N167" s="18" t="s">
        <v>3349</v>
      </c>
      <c r="O167" s="18" t="s">
        <v>3350</v>
      </c>
      <c r="P167" s="18" t="s">
        <v>3351</v>
      </c>
    </row>
    <row r="168" spans="1:16" ht="20.100000000000001" customHeight="1" x14ac:dyDescent="0.25">
      <c r="A168" s="18"/>
      <c r="B168" s="18"/>
      <c r="C168" s="18"/>
      <c r="D168" s="18"/>
      <c r="E168" s="18">
        <v>17</v>
      </c>
      <c r="F168" s="18" t="s">
        <v>3214</v>
      </c>
      <c r="G168" s="18" t="s">
        <v>3234</v>
      </c>
      <c r="H168" s="18" t="s">
        <v>3312</v>
      </c>
      <c r="I168" s="18" t="s">
        <v>3313</v>
      </c>
      <c r="J168" s="18" t="s">
        <v>3314</v>
      </c>
      <c r="K168" s="18" t="s">
        <v>3315</v>
      </c>
      <c r="L168" s="18" t="s">
        <v>3244</v>
      </c>
      <c r="M168" s="18" t="s">
        <v>3352</v>
      </c>
      <c r="N168" s="18" t="s">
        <v>3353</v>
      </c>
      <c r="O168" s="18" t="s">
        <v>3354</v>
      </c>
      <c r="P168" s="18" t="s">
        <v>3355</v>
      </c>
    </row>
    <row r="169" spans="1:16" ht="20.100000000000001" customHeight="1" x14ac:dyDescent="0.25">
      <c r="A169" s="18"/>
      <c r="B169" s="18"/>
      <c r="C169" s="18"/>
      <c r="D169" s="18"/>
      <c r="E169" s="18">
        <v>18</v>
      </c>
      <c r="F169" s="18" t="s">
        <v>3215</v>
      </c>
      <c r="G169" s="18" t="s">
        <v>3235</v>
      </c>
      <c r="H169" s="18" t="s">
        <v>3316</v>
      </c>
      <c r="I169" s="18" t="s">
        <v>3317</v>
      </c>
      <c r="J169" s="18" t="s">
        <v>3318</v>
      </c>
      <c r="K169" s="18" t="s">
        <v>3319</v>
      </c>
      <c r="L169" s="18" t="s">
        <v>3245</v>
      </c>
      <c r="M169" s="18" t="s">
        <v>3356</v>
      </c>
      <c r="N169" s="18" t="s">
        <v>3357</v>
      </c>
      <c r="O169" s="18" t="s">
        <v>3358</v>
      </c>
      <c r="P169" s="18" t="s">
        <v>3359</v>
      </c>
    </row>
    <row r="170" spans="1:16" ht="20.100000000000001" customHeight="1" x14ac:dyDescent="0.25">
      <c r="A170" s="18"/>
      <c r="B170" s="18"/>
      <c r="C170" s="18"/>
      <c r="D170" s="18"/>
      <c r="E170" s="18">
        <v>19</v>
      </c>
      <c r="F170" s="18" t="s">
        <v>3216</v>
      </c>
      <c r="G170" s="18" t="s">
        <v>3236</v>
      </c>
      <c r="H170" s="18" t="s">
        <v>3320</v>
      </c>
      <c r="I170" s="18" t="s">
        <v>3321</v>
      </c>
      <c r="J170" s="18" t="s">
        <v>3322</v>
      </c>
      <c r="K170" s="18" t="s">
        <v>3323</v>
      </c>
      <c r="L170" s="18" t="s">
        <v>3246</v>
      </c>
      <c r="M170" s="18" t="s">
        <v>3360</v>
      </c>
      <c r="N170" s="18" t="s">
        <v>3361</v>
      </c>
      <c r="O170" s="18" t="s">
        <v>3362</v>
      </c>
      <c r="P170" s="18" t="s">
        <v>3363</v>
      </c>
    </row>
    <row r="171" spans="1:16" ht="20.100000000000001" customHeight="1" x14ac:dyDescent="0.25">
      <c r="A171" s="18"/>
      <c r="B171" s="18"/>
      <c r="C171" s="18"/>
      <c r="D171" s="18"/>
      <c r="E171" s="18">
        <v>20</v>
      </c>
      <c r="F171" s="18" t="s">
        <v>3217</v>
      </c>
      <c r="G171" s="18" t="s">
        <v>3237</v>
      </c>
      <c r="H171" s="18" t="s">
        <v>3324</v>
      </c>
      <c r="I171" s="18" t="s">
        <v>3325</v>
      </c>
      <c r="J171" s="18" t="s">
        <v>3326</v>
      </c>
      <c r="K171" s="18" t="s">
        <v>3327</v>
      </c>
      <c r="L171" s="18" t="s">
        <v>3247</v>
      </c>
      <c r="M171" s="18" t="s">
        <v>3364</v>
      </c>
      <c r="N171" s="18" t="s">
        <v>3365</v>
      </c>
      <c r="O171" s="18" t="s">
        <v>3366</v>
      </c>
      <c r="P171" s="18" t="s">
        <v>3367</v>
      </c>
    </row>
    <row r="172" spans="1:16" ht="20.100000000000001" customHeight="1" x14ac:dyDescent="0.25">
      <c r="A172" s="25"/>
      <c r="B172" s="25"/>
      <c r="C172" s="25" t="s">
        <v>4272</v>
      </c>
      <c r="D172" s="25" t="s">
        <v>4273</v>
      </c>
      <c r="E172" s="25">
        <v>1</v>
      </c>
      <c r="F172" s="25" t="s">
        <v>5062</v>
      </c>
      <c r="G172" s="25" t="s">
        <v>4274</v>
      </c>
      <c r="H172" s="25" t="s">
        <v>4275</v>
      </c>
      <c r="I172" s="25" t="s">
        <v>4276</v>
      </c>
      <c r="J172" s="25" t="s">
        <v>4277</v>
      </c>
      <c r="K172" s="25" t="s">
        <v>4278</v>
      </c>
      <c r="L172" s="25"/>
      <c r="M172" s="25"/>
      <c r="N172" s="25"/>
      <c r="O172" s="25"/>
      <c r="P172" s="25"/>
    </row>
    <row r="173" spans="1:16" ht="20.100000000000001" customHeight="1" x14ac:dyDescent="0.25">
      <c r="A173" s="25"/>
      <c r="B173" s="25"/>
      <c r="C173" s="25"/>
      <c r="D173" s="25" t="s">
        <v>4209</v>
      </c>
      <c r="E173" s="25">
        <v>2</v>
      </c>
      <c r="F173" s="25" t="s">
        <v>5063</v>
      </c>
      <c r="G173" s="25" t="s">
        <v>4279</v>
      </c>
      <c r="H173" s="25" t="s">
        <v>4280</v>
      </c>
      <c r="I173" s="25" t="s">
        <v>4281</v>
      </c>
      <c r="J173" s="25" t="s">
        <v>4282</v>
      </c>
      <c r="K173" s="25" t="s">
        <v>4283</v>
      </c>
      <c r="L173" s="25"/>
      <c r="M173" s="25"/>
      <c r="N173" s="25"/>
      <c r="O173" s="25"/>
      <c r="P173" s="25"/>
    </row>
    <row r="174" spans="1:16" ht="20.100000000000001" customHeight="1" x14ac:dyDescent="0.25">
      <c r="A174" s="25"/>
      <c r="B174" s="25"/>
      <c r="C174" s="25"/>
      <c r="D174" s="25" t="s">
        <v>359</v>
      </c>
      <c r="E174" s="25">
        <v>3</v>
      </c>
      <c r="F174" s="25" t="s">
        <v>5064</v>
      </c>
      <c r="G174" s="25" t="s">
        <v>4284</v>
      </c>
      <c r="H174" s="25" t="s">
        <v>4285</v>
      </c>
      <c r="I174" s="25" t="s">
        <v>4286</v>
      </c>
      <c r="J174" s="25" t="s">
        <v>4287</v>
      </c>
      <c r="K174" s="25" t="s">
        <v>4288</v>
      </c>
      <c r="L174" s="25"/>
      <c r="M174" s="25"/>
      <c r="N174" s="25"/>
      <c r="O174" s="25"/>
      <c r="P174" s="25"/>
    </row>
    <row r="175" spans="1:16" ht="20.100000000000001" customHeight="1" x14ac:dyDescent="0.25">
      <c r="A175" s="25"/>
      <c r="B175" s="25"/>
      <c r="C175" s="25"/>
      <c r="D175" s="25"/>
      <c r="E175" s="25">
        <v>4</v>
      </c>
      <c r="F175" s="25" t="s">
        <v>5065</v>
      </c>
      <c r="G175" s="25" t="s">
        <v>4289</v>
      </c>
      <c r="H175" s="25" t="s">
        <v>4290</v>
      </c>
      <c r="I175" s="25" t="s">
        <v>4291</v>
      </c>
      <c r="J175" s="25" t="s">
        <v>4292</v>
      </c>
      <c r="K175" s="25" t="s">
        <v>4293</v>
      </c>
      <c r="L175" s="25"/>
      <c r="M175" s="25"/>
      <c r="N175" s="25"/>
      <c r="O175" s="25"/>
      <c r="P175" s="25"/>
    </row>
    <row r="176" spans="1:16" ht="20.100000000000001" customHeight="1" x14ac:dyDescent="0.25">
      <c r="A176" s="25"/>
      <c r="B176" s="25"/>
      <c r="C176" s="25"/>
      <c r="D176" s="25"/>
      <c r="E176" s="25">
        <v>5</v>
      </c>
      <c r="F176" s="25" t="s">
        <v>5066</v>
      </c>
      <c r="G176" s="25" t="s">
        <v>4294</v>
      </c>
      <c r="H176" s="25" t="s">
        <v>4295</v>
      </c>
      <c r="I176" s="25" t="s">
        <v>4296</v>
      </c>
      <c r="J176" s="25" t="s">
        <v>4297</v>
      </c>
      <c r="K176" s="25" t="s">
        <v>4298</v>
      </c>
      <c r="L176" s="25"/>
      <c r="M176" s="25"/>
      <c r="N176" s="25"/>
      <c r="O176" s="25"/>
      <c r="P176" s="25"/>
    </row>
    <row r="177" spans="1:16" ht="20.100000000000001" customHeight="1" x14ac:dyDescent="0.25">
      <c r="A177" s="25"/>
      <c r="B177" s="25"/>
      <c r="C177" s="25"/>
      <c r="D177" s="25"/>
      <c r="E177" s="25">
        <v>6</v>
      </c>
      <c r="F177" s="25" t="s">
        <v>5067</v>
      </c>
      <c r="G177" s="25" t="s">
        <v>4299</v>
      </c>
      <c r="H177" s="25" t="s">
        <v>4300</v>
      </c>
      <c r="I177" s="25" t="s">
        <v>4301</v>
      </c>
      <c r="J177" s="25" t="s">
        <v>4302</v>
      </c>
      <c r="K177" s="25" t="s">
        <v>4303</v>
      </c>
      <c r="L177" s="25"/>
      <c r="M177" s="25"/>
      <c r="N177" s="25"/>
      <c r="O177" s="25"/>
      <c r="P177" s="25"/>
    </row>
    <row r="178" spans="1:16" ht="20.100000000000001" customHeight="1" x14ac:dyDescent="0.25">
      <c r="A178" s="25"/>
      <c r="B178" s="25"/>
      <c r="C178" s="25"/>
      <c r="D178" s="25"/>
      <c r="E178" s="25">
        <v>7</v>
      </c>
      <c r="F178" s="25" t="s">
        <v>5068</v>
      </c>
      <c r="G178" s="25" t="s">
        <v>4304</v>
      </c>
      <c r="H178" s="25" t="s">
        <v>4305</v>
      </c>
      <c r="I178" s="25" t="s">
        <v>4306</v>
      </c>
      <c r="J178" s="25" t="s">
        <v>4307</v>
      </c>
      <c r="K178" s="25" t="s">
        <v>4308</v>
      </c>
      <c r="L178" s="25"/>
      <c r="M178" s="25"/>
      <c r="N178" s="25"/>
      <c r="O178" s="25"/>
      <c r="P178" s="25"/>
    </row>
    <row r="179" spans="1:16" ht="20.100000000000001" customHeight="1" x14ac:dyDescent="0.25">
      <c r="A179" s="25"/>
      <c r="B179" s="25"/>
      <c r="C179" s="25"/>
      <c r="D179" s="25"/>
      <c r="E179" s="25">
        <v>8</v>
      </c>
      <c r="F179" s="25" t="s">
        <v>5069</v>
      </c>
      <c r="G179" s="25" t="s">
        <v>4309</v>
      </c>
      <c r="H179" s="25" t="s">
        <v>4310</v>
      </c>
      <c r="I179" s="25" t="s">
        <v>4311</v>
      </c>
      <c r="J179" s="25" t="s">
        <v>4312</v>
      </c>
      <c r="K179" s="25" t="s">
        <v>4313</v>
      </c>
      <c r="L179" s="25"/>
      <c r="M179" s="25"/>
      <c r="N179" s="25"/>
      <c r="O179" s="25"/>
      <c r="P179" s="25"/>
    </row>
    <row r="180" spans="1:16" ht="20.100000000000001" customHeight="1" x14ac:dyDescent="0.25">
      <c r="A180" s="25"/>
      <c r="B180" s="25"/>
      <c r="C180" s="25"/>
      <c r="D180" s="25"/>
      <c r="E180" s="25">
        <v>9</v>
      </c>
      <c r="F180" s="25" t="s">
        <v>5070</v>
      </c>
      <c r="G180" s="25" t="s">
        <v>4314</v>
      </c>
      <c r="H180" s="25" t="s">
        <v>4315</v>
      </c>
      <c r="I180" s="25" t="s">
        <v>4316</v>
      </c>
      <c r="J180" s="25" t="s">
        <v>1863</v>
      </c>
      <c r="K180" s="25" t="s">
        <v>4317</v>
      </c>
      <c r="L180" s="25"/>
      <c r="M180" s="25"/>
      <c r="N180" s="25"/>
      <c r="O180" s="25"/>
      <c r="P180" s="25"/>
    </row>
    <row r="181" spans="1:16" ht="20.100000000000001" customHeight="1" x14ac:dyDescent="0.25">
      <c r="A181" s="25"/>
      <c r="B181" s="25"/>
      <c r="C181" s="25"/>
      <c r="D181" s="25"/>
      <c r="E181" s="25">
        <v>10</v>
      </c>
      <c r="F181" s="25" t="s">
        <v>5071</v>
      </c>
      <c r="G181" s="25" t="s">
        <v>4318</v>
      </c>
      <c r="H181" s="25" t="s">
        <v>4319</v>
      </c>
      <c r="I181" s="25" t="s">
        <v>4320</v>
      </c>
      <c r="J181" s="25" t="s">
        <v>4321</v>
      </c>
      <c r="K181" s="25" t="s">
        <v>4322</v>
      </c>
      <c r="L181" s="25"/>
      <c r="M181" s="25"/>
      <c r="N181" s="25"/>
      <c r="O181" s="25"/>
      <c r="P181" s="25"/>
    </row>
    <row r="182" spans="1:16" ht="20.100000000000001" customHeight="1" x14ac:dyDescent="0.25">
      <c r="A182" s="25"/>
      <c r="B182" s="25"/>
      <c r="C182" s="25"/>
      <c r="D182" s="25"/>
      <c r="E182" s="25">
        <v>11</v>
      </c>
      <c r="F182" s="25" t="s">
        <v>5072</v>
      </c>
      <c r="G182" s="25" t="s">
        <v>4323</v>
      </c>
      <c r="H182" s="25" t="s">
        <v>4324</v>
      </c>
      <c r="I182" s="25" t="s">
        <v>4325</v>
      </c>
      <c r="J182" s="25" t="s">
        <v>4326</v>
      </c>
      <c r="K182" s="25" t="s">
        <v>4327</v>
      </c>
      <c r="L182" s="25" t="s">
        <v>4328</v>
      </c>
      <c r="M182" s="25" t="s">
        <v>4329</v>
      </c>
      <c r="N182" s="25" t="s">
        <v>4330</v>
      </c>
      <c r="O182" s="25" t="s">
        <v>4331</v>
      </c>
      <c r="P182" s="25" t="s">
        <v>4332</v>
      </c>
    </row>
    <row r="183" spans="1:16" ht="20.100000000000001" customHeight="1" x14ac:dyDescent="0.25">
      <c r="A183" s="25"/>
      <c r="B183" s="25"/>
      <c r="C183" s="25"/>
      <c r="D183" s="25"/>
      <c r="E183" s="25">
        <v>12</v>
      </c>
      <c r="F183" s="25" t="s">
        <v>5073</v>
      </c>
      <c r="G183" s="25" t="s">
        <v>4333</v>
      </c>
      <c r="H183" s="25" t="s">
        <v>4334</v>
      </c>
      <c r="I183" s="25" t="s">
        <v>4335</v>
      </c>
      <c r="J183" s="25" t="s">
        <v>4336</v>
      </c>
      <c r="K183" s="25" t="s">
        <v>4337</v>
      </c>
      <c r="L183" s="25" t="s">
        <v>4338</v>
      </c>
      <c r="M183" s="25" t="s">
        <v>4339</v>
      </c>
      <c r="N183" s="25" t="s">
        <v>4340</v>
      </c>
      <c r="O183" s="25" t="s">
        <v>4341</v>
      </c>
      <c r="P183" s="25" t="s">
        <v>4342</v>
      </c>
    </row>
    <row r="184" spans="1:16" ht="20.100000000000001" customHeight="1" x14ac:dyDescent="0.25">
      <c r="A184" s="25"/>
      <c r="B184" s="25"/>
      <c r="C184" s="25"/>
      <c r="D184" s="25"/>
      <c r="E184" s="25">
        <v>13</v>
      </c>
      <c r="F184" s="25" t="s">
        <v>5074</v>
      </c>
      <c r="G184" s="25" t="s">
        <v>4343</v>
      </c>
      <c r="H184" s="25" t="s">
        <v>4344</v>
      </c>
      <c r="I184" s="25" t="s">
        <v>1860</v>
      </c>
      <c r="J184" s="25" t="s">
        <v>1862</v>
      </c>
      <c r="K184" s="25" t="s">
        <v>4345</v>
      </c>
      <c r="L184" s="25" t="s">
        <v>4346</v>
      </c>
      <c r="M184" s="25" t="s">
        <v>4347</v>
      </c>
      <c r="N184" s="25" t="s">
        <v>1226</v>
      </c>
      <c r="O184" s="25" t="s">
        <v>4348</v>
      </c>
      <c r="P184" s="25" t="s">
        <v>4349</v>
      </c>
    </row>
    <row r="185" spans="1:16" ht="20.100000000000001" customHeight="1" x14ac:dyDescent="0.25">
      <c r="A185" s="25"/>
      <c r="B185" s="25"/>
      <c r="C185" s="25"/>
      <c r="D185" s="25"/>
      <c r="E185" s="25">
        <v>14</v>
      </c>
      <c r="F185" s="25" t="s">
        <v>5075</v>
      </c>
      <c r="G185" s="25" t="s">
        <v>4350</v>
      </c>
      <c r="H185" s="25" t="s">
        <v>4351</v>
      </c>
      <c r="I185" s="25" t="s">
        <v>4352</v>
      </c>
      <c r="J185" s="25" t="s">
        <v>4415</v>
      </c>
      <c r="K185" s="25" t="s">
        <v>4354</v>
      </c>
      <c r="L185" s="25" t="s">
        <v>4355</v>
      </c>
      <c r="M185" s="25" t="s">
        <v>4356</v>
      </c>
      <c r="N185" s="25" t="s">
        <v>4416</v>
      </c>
      <c r="O185" s="25" t="s">
        <v>4358</v>
      </c>
      <c r="P185" s="25" t="s">
        <v>4359</v>
      </c>
    </row>
    <row r="186" spans="1:16" ht="20.100000000000001" customHeight="1" x14ac:dyDescent="0.25">
      <c r="A186" s="25"/>
      <c r="B186" s="25"/>
      <c r="C186" s="25"/>
      <c r="D186" s="25"/>
      <c r="E186" s="25">
        <v>15</v>
      </c>
      <c r="F186" s="25" t="s">
        <v>5077</v>
      </c>
      <c r="G186" s="25" t="s">
        <v>4360</v>
      </c>
      <c r="H186" s="25" t="s">
        <v>4361</v>
      </c>
      <c r="I186" s="25" t="s">
        <v>4362</v>
      </c>
      <c r="J186" s="25" t="s">
        <v>4363</v>
      </c>
      <c r="K186" s="25" t="s">
        <v>4417</v>
      </c>
      <c r="L186" s="25" t="s">
        <v>4365</v>
      </c>
      <c r="M186" s="25" t="s">
        <v>4366</v>
      </c>
      <c r="N186" s="25" t="s">
        <v>4418</v>
      </c>
      <c r="O186" s="25" t="s">
        <v>4368</v>
      </c>
      <c r="P186" s="25" t="s">
        <v>4369</v>
      </c>
    </row>
    <row r="187" spans="1:16" ht="20.100000000000001" customHeight="1" x14ac:dyDescent="0.25">
      <c r="A187" s="25"/>
      <c r="B187" s="25"/>
      <c r="C187" s="25"/>
      <c r="D187" s="25"/>
      <c r="E187" s="25">
        <v>16</v>
      </c>
      <c r="F187" s="25" t="s">
        <v>5076</v>
      </c>
      <c r="G187" s="25" t="s">
        <v>4370</v>
      </c>
      <c r="H187" s="25" t="s">
        <v>4419</v>
      </c>
      <c r="I187" s="25" t="s">
        <v>4372</v>
      </c>
      <c r="J187" s="25" t="s">
        <v>4373</v>
      </c>
      <c r="K187" s="25" t="s">
        <v>4374</v>
      </c>
      <c r="L187" s="25" t="s">
        <v>4375</v>
      </c>
      <c r="M187" s="25" t="s">
        <v>4376</v>
      </c>
      <c r="N187" s="25" t="s">
        <v>4377</v>
      </c>
      <c r="O187" s="25" t="s">
        <v>4420</v>
      </c>
      <c r="P187" s="25" t="s">
        <v>4379</v>
      </c>
    </row>
    <row r="188" spans="1:16" ht="20.100000000000001" customHeight="1" x14ac:dyDescent="0.25">
      <c r="A188" s="25"/>
      <c r="B188" s="25"/>
      <c r="C188" s="25"/>
      <c r="D188" s="25"/>
      <c r="E188" s="25">
        <v>17</v>
      </c>
      <c r="F188" s="25" t="s">
        <v>5078</v>
      </c>
      <c r="G188" s="25" t="s">
        <v>4380</v>
      </c>
      <c r="H188" s="25" t="s">
        <v>1858</v>
      </c>
      <c r="I188" s="25" t="s">
        <v>4381</v>
      </c>
      <c r="J188" s="25" t="s">
        <v>1864</v>
      </c>
      <c r="K188" s="25" t="s">
        <v>4421</v>
      </c>
      <c r="L188" s="25" t="s">
        <v>4383</v>
      </c>
      <c r="M188" s="25" t="s">
        <v>1859</v>
      </c>
      <c r="N188" s="25" t="s">
        <v>1861</v>
      </c>
      <c r="O188" s="25" t="s">
        <v>1865</v>
      </c>
      <c r="P188" s="25" t="s">
        <v>4422</v>
      </c>
    </row>
    <row r="189" spans="1:16" ht="20.100000000000001" customHeight="1" x14ac:dyDescent="0.25">
      <c r="A189" s="25"/>
      <c r="B189" s="25"/>
      <c r="C189" s="25"/>
      <c r="D189" s="25"/>
      <c r="E189" s="25">
        <v>18</v>
      </c>
      <c r="F189" s="25" t="s">
        <v>5079</v>
      </c>
      <c r="G189" s="25" t="s">
        <v>4385</v>
      </c>
      <c r="H189" s="25" t="s">
        <v>4386</v>
      </c>
      <c r="I189" s="25" t="s">
        <v>4387</v>
      </c>
      <c r="J189" s="25" t="s">
        <v>4388</v>
      </c>
      <c r="K189" s="25" t="s">
        <v>4423</v>
      </c>
      <c r="L189" s="25" t="s">
        <v>4390</v>
      </c>
      <c r="M189" s="25" t="s">
        <v>4424</v>
      </c>
      <c r="N189" s="25" t="s">
        <v>4392</v>
      </c>
      <c r="O189" s="25" t="s">
        <v>4393</v>
      </c>
      <c r="P189" s="25" t="s">
        <v>4394</v>
      </c>
    </row>
    <row r="190" spans="1:16" ht="20.100000000000001" customHeight="1" x14ac:dyDescent="0.25">
      <c r="A190" s="25"/>
      <c r="B190" s="25"/>
      <c r="C190" s="25"/>
      <c r="D190" s="25"/>
      <c r="E190" s="25">
        <v>19</v>
      </c>
      <c r="F190" s="25" t="s">
        <v>5080</v>
      </c>
      <c r="G190" s="25" t="s">
        <v>4395</v>
      </c>
      <c r="H190" s="25" t="s">
        <v>4396</v>
      </c>
      <c r="I190" s="25" t="s">
        <v>4397</v>
      </c>
      <c r="J190" s="25" t="s">
        <v>4425</v>
      </c>
      <c r="K190" s="25" t="s">
        <v>4399</v>
      </c>
      <c r="L190" s="25" t="s">
        <v>4400</v>
      </c>
      <c r="M190" s="25" t="s">
        <v>4401</v>
      </c>
      <c r="N190" s="25" t="s">
        <v>4402</v>
      </c>
      <c r="O190" s="25" t="s">
        <v>4403</v>
      </c>
      <c r="P190" s="25" t="s">
        <v>4426</v>
      </c>
    </row>
    <row r="191" spans="1:16" ht="20.100000000000001" customHeight="1" x14ac:dyDescent="0.25">
      <c r="A191" s="25"/>
      <c r="B191" s="25"/>
      <c r="C191" s="25"/>
      <c r="D191" s="25"/>
      <c r="E191" s="25">
        <v>20</v>
      </c>
      <c r="F191" s="25" t="s">
        <v>5081</v>
      </c>
      <c r="G191" s="25" t="s">
        <v>4405</v>
      </c>
      <c r="H191" s="25" t="s">
        <v>4406</v>
      </c>
      <c r="I191" s="25" t="s">
        <v>4427</v>
      </c>
      <c r="J191" s="25" t="s">
        <v>4408</v>
      </c>
      <c r="K191" s="25" t="s">
        <v>4409</v>
      </c>
      <c r="L191" s="25" t="s">
        <v>4410</v>
      </c>
      <c r="M191" s="25" t="s">
        <v>4428</v>
      </c>
      <c r="N191" s="25" t="s">
        <v>4412</v>
      </c>
      <c r="O191" s="25" t="s">
        <v>4413</v>
      </c>
      <c r="P191" s="25" t="s">
        <v>4414</v>
      </c>
    </row>
    <row r="192" spans="1:16" s="91" customFormat="1" ht="30" customHeight="1" x14ac:dyDescent="0.25">
      <c r="A192" s="26"/>
      <c r="B192" s="26"/>
      <c r="C192" s="26" t="s">
        <v>4210</v>
      </c>
      <c r="D192" s="26" t="s">
        <v>4211</v>
      </c>
      <c r="E192" s="26">
        <v>1</v>
      </c>
      <c r="F192" s="26" t="s">
        <v>5082</v>
      </c>
      <c r="G192" s="26" t="s">
        <v>4179</v>
      </c>
      <c r="H192" s="26" t="s">
        <v>4097</v>
      </c>
      <c r="I192" s="26" t="s">
        <v>4098</v>
      </c>
      <c r="J192" s="26" t="s">
        <v>4099</v>
      </c>
      <c r="K192" s="26" t="s">
        <v>4212</v>
      </c>
      <c r="L192" s="26"/>
      <c r="M192" s="26"/>
      <c r="N192" s="26"/>
      <c r="O192" s="26"/>
      <c r="P192" s="26"/>
    </row>
    <row r="193" spans="1:16" s="91" customFormat="1" ht="30" customHeight="1" x14ac:dyDescent="0.25">
      <c r="A193" s="26"/>
      <c r="B193" s="26"/>
      <c r="C193" s="26"/>
      <c r="D193" s="26" t="s">
        <v>4209</v>
      </c>
      <c r="E193" s="26">
        <v>2</v>
      </c>
      <c r="F193" s="26" t="s">
        <v>5044</v>
      </c>
      <c r="G193" s="26" t="s">
        <v>4180</v>
      </c>
      <c r="H193" s="26" t="s">
        <v>4101</v>
      </c>
      <c r="I193" s="26" t="s">
        <v>4213</v>
      </c>
      <c r="J193" s="26" t="s">
        <v>4103</v>
      </c>
      <c r="K193" s="26" t="s">
        <v>4104</v>
      </c>
      <c r="L193" s="26"/>
      <c r="M193" s="26"/>
      <c r="N193" s="26"/>
      <c r="O193" s="26"/>
      <c r="P193" s="26"/>
    </row>
    <row r="194" spans="1:16" s="91" customFormat="1" ht="30" customHeight="1" x14ac:dyDescent="0.25">
      <c r="A194" s="26"/>
      <c r="B194" s="26"/>
      <c r="C194" s="26"/>
      <c r="D194" s="26" t="s">
        <v>359</v>
      </c>
      <c r="E194" s="26">
        <v>3</v>
      </c>
      <c r="F194" s="26" t="s">
        <v>5083</v>
      </c>
      <c r="G194" s="26" t="s">
        <v>4181</v>
      </c>
      <c r="H194" s="26" t="s">
        <v>4105</v>
      </c>
      <c r="I194" s="26" t="s">
        <v>4214</v>
      </c>
      <c r="J194" s="26" t="s">
        <v>4107</v>
      </c>
      <c r="K194" s="26" t="s">
        <v>4108</v>
      </c>
      <c r="L194" s="26"/>
      <c r="M194" s="26"/>
      <c r="N194" s="26"/>
      <c r="O194" s="26"/>
      <c r="P194" s="26"/>
    </row>
    <row r="195" spans="1:16" s="91" customFormat="1" ht="30" customHeight="1" x14ac:dyDescent="0.25">
      <c r="A195" s="26"/>
      <c r="B195" s="26"/>
      <c r="C195" s="26"/>
      <c r="D195" s="26"/>
      <c r="E195" s="26">
        <v>4</v>
      </c>
      <c r="F195" s="26" t="s">
        <v>5045</v>
      </c>
      <c r="G195" s="26" t="s">
        <v>4182</v>
      </c>
      <c r="H195" s="26" t="s">
        <v>4109</v>
      </c>
      <c r="I195" s="26" t="s">
        <v>4215</v>
      </c>
      <c r="J195" s="26" t="s">
        <v>4111</v>
      </c>
      <c r="K195" s="26" t="s">
        <v>4112</v>
      </c>
      <c r="L195" s="26"/>
      <c r="M195" s="26"/>
      <c r="N195" s="26"/>
      <c r="O195" s="26"/>
      <c r="P195" s="26"/>
    </row>
    <row r="196" spans="1:16" s="91" customFormat="1" ht="30" customHeight="1" x14ac:dyDescent="0.25">
      <c r="A196" s="26"/>
      <c r="B196" s="26"/>
      <c r="C196" s="26"/>
      <c r="D196" s="26"/>
      <c r="E196" s="26">
        <v>5</v>
      </c>
      <c r="F196" s="26" t="s">
        <v>5046</v>
      </c>
      <c r="G196" s="26" t="s">
        <v>4183</v>
      </c>
      <c r="H196" s="26" t="s">
        <v>4113</v>
      </c>
      <c r="I196" s="26" t="s">
        <v>4114</v>
      </c>
      <c r="J196" s="26" t="s">
        <v>4216</v>
      </c>
      <c r="K196" s="26" t="s">
        <v>4116</v>
      </c>
      <c r="L196" s="26"/>
      <c r="M196" s="26"/>
      <c r="N196" s="26"/>
      <c r="O196" s="26"/>
      <c r="P196" s="26"/>
    </row>
    <row r="197" spans="1:16" s="91" customFormat="1" ht="30" customHeight="1" x14ac:dyDescent="0.25">
      <c r="A197" s="26"/>
      <c r="B197" s="26"/>
      <c r="C197" s="26"/>
      <c r="D197" s="26"/>
      <c r="E197" s="26">
        <v>6</v>
      </c>
      <c r="F197" s="26" t="s">
        <v>5047</v>
      </c>
      <c r="G197" s="26" t="s">
        <v>4184</v>
      </c>
      <c r="H197" s="26" t="s">
        <v>4117</v>
      </c>
      <c r="I197" s="26" t="s">
        <v>4118</v>
      </c>
      <c r="J197" s="26" t="s">
        <v>4119</v>
      </c>
      <c r="K197" s="26" t="s">
        <v>4217</v>
      </c>
      <c r="L197" s="26"/>
      <c r="M197" s="26"/>
      <c r="N197" s="26"/>
      <c r="O197" s="26"/>
      <c r="P197" s="26"/>
    </row>
    <row r="198" spans="1:16" s="91" customFormat="1" ht="30" customHeight="1" x14ac:dyDescent="0.25">
      <c r="A198" s="26"/>
      <c r="B198" s="26"/>
      <c r="C198" s="26"/>
      <c r="D198" s="26"/>
      <c r="E198" s="26">
        <v>7</v>
      </c>
      <c r="F198" s="26" t="s">
        <v>5048</v>
      </c>
      <c r="G198" s="26" t="s">
        <v>4185</v>
      </c>
      <c r="H198" s="26" t="s">
        <v>4121</v>
      </c>
      <c r="I198" s="26" t="s">
        <v>4122</v>
      </c>
      <c r="J198" s="26" t="s">
        <v>4123</v>
      </c>
      <c r="K198" s="26" t="s">
        <v>4218</v>
      </c>
      <c r="L198" s="26"/>
      <c r="M198" s="26"/>
      <c r="N198" s="26"/>
      <c r="O198" s="26"/>
      <c r="P198" s="26"/>
    </row>
    <row r="199" spans="1:16" s="91" customFormat="1" ht="30" customHeight="1" x14ac:dyDescent="0.25">
      <c r="A199" s="26"/>
      <c r="B199" s="26"/>
      <c r="C199" s="26"/>
      <c r="D199" s="26"/>
      <c r="E199" s="26">
        <v>8</v>
      </c>
      <c r="F199" s="26" t="s">
        <v>5049</v>
      </c>
      <c r="G199" s="26" t="s">
        <v>4186</v>
      </c>
      <c r="H199" s="26" t="s">
        <v>4125</v>
      </c>
      <c r="I199" s="26" t="s">
        <v>4126</v>
      </c>
      <c r="J199" s="26" t="s">
        <v>4219</v>
      </c>
      <c r="K199" s="26" t="s">
        <v>4128</v>
      </c>
      <c r="L199" s="26"/>
      <c r="M199" s="26"/>
      <c r="N199" s="26"/>
      <c r="O199" s="26"/>
      <c r="P199" s="26"/>
    </row>
    <row r="200" spans="1:16" s="91" customFormat="1" ht="30" customHeight="1" x14ac:dyDescent="0.25">
      <c r="A200" s="26"/>
      <c r="B200" s="26"/>
      <c r="C200" s="26"/>
      <c r="D200" s="26"/>
      <c r="E200" s="26">
        <v>9</v>
      </c>
      <c r="F200" s="26" t="s">
        <v>5050</v>
      </c>
      <c r="G200" s="26" t="s">
        <v>4187</v>
      </c>
      <c r="H200" s="26" t="s">
        <v>4129</v>
      </c>
      <c r="I200" s="26" t="s">
        <v>4130</v>
      </c>
      <c r="J200" s="26" t="s">
        <v>4131</v>
      </c>
      <c r="K200" s="26" t="s">
        <v>4220</v>
      </c>
      <c r="L200" s="26"/>
      <c r="M200" s="26"/>
      <c r="N200" s="26"/>
      <c r="O200" s="26"/>
      <c r="P200" s="26"/>
    </row>
    <row r="201" spans="1:16" s="91" customFormat="1" ht="30" customHeight="1" x14ac:dyDescent="0.25">
      <c r="A201" s="26"/>
      <c r="B201" s="26"/>
      <c r="C201" s="26"/>
      <c r="D201" s="26"/>
      <c r="E201" s="26">
        <v>10</v>
      </c>
      <c r="F201" s="26" t="s">
        <v>5051</v>
      </c>
      <c r="G201" s="26" t="s">
        <v>4188</v>
      </c>
      <c r="H201" s="26" t="s">
        <v>1662</v>
      </c>
      <c r="I201" s="26" t="s">
        <v>1663</v>
      </c>
      <c r="J201" s="26" t="s">
        <v>1664</v>
      </c>
      <c r="K201" s="26" t="s">
        <v>4221</v>
      </c>
      <c r="L201" s="26"/>
      <c r="M201" s="26"/>
      <c r="N201" s="26"/>
      <c r="O201" s="26"/>
      <c r="P201" s="26"/>
    </row>
    <row r="202" spans="1:16" s="91" customFormat="1" ht="30" customHeight="1" x14ac:dyDescent="0.25">
      <c r="A202" s="26"/>
      <c r="B202" s="26"/>
      <c r="C202" s="26"/>
      <c r="D202" s="26"/>
      <c r="E202" s="26">
        <v>11</v>
      </c>
      <c r="F202" s="26" t="s">
        <v>5052</v>
      </c>
      <c r="G202" s="26" t="s">
        <v>4189</v>
      </c>
      <c r="H202" s="26" t="s">
        <v>4139</v>
      </c>
      <c r="I202" s="26" t="s">
        <v>4140</v>
      </c>
      <c r="J202" s="26" t="s">
        <v>4222</v>
      </c>
      <c r="K202" s="26" t="s">
        <v>4142</v>
      </c>
      <c r="L202" s="26" t="s">
        <v>4199</v>
      </c>
      <c r="M202" s="26" t="s">
        <v>4160</v>
      </c>
      <c r="N202" s="26" t="s">
        <v>4223</v>
      </c>
      <c r="O202" s="26" t="s">
        <v>4162</v>
      </c>
      <c r="P202" s="26" t="s">
        <v>4163</v>
      </c>
    </row>
    <row r="203" spans="1:16" s="91" customFormat="1" ht="30" customHeight="1" x14ac:dyDescent="0.25">
      <c r="A203" s="26"/>
      <c r="B203" s="26"/>
      <c r="C203" s="26"/>
      <c r="D203" s="26"/>
      <c r="E203" s="26">
        <v>12</v>
      </c>
      <c r="F203" s="26" t="s">
        <v>5053</v>
      </c>
      <c r="G203" s="26" t="s">
        <v>4190</v>
      </c>
      <c r="H203" s="26" t="s">
        <v>4143</v>
      </c>
      <c r="I203" s="26" t="s">
        <v>4144</v>
      </c>
      <c r="J203" s="26" t="s">
        <v>1643</v>
      </c>
      <c r="K203" s="26" t="s">
        <v>4225</v>
      </c>
      <c r="L203" s="26" t="s">
        <v>4200</v>
      </c>
      <c r="M203" s="26" t="s">
        <v>1665</v>
      </c>
      <c r="N203" s="26" t="s">
        <v>4224</v>
      </c>
      <c r="O203" s="26" t="s">
        <v>4165</v>
      </c>
      <c r="P203" s="26" t="s">
        <v>1666</v>
      </c>
    </row>
    <row r="204" spans="1:16" s="91" customFormat="1" ht="30" customHeight="1" x14ac:dyDescent="0.25">
      <c r="A204" s="26"/>
      <c r="B204" s="26"/>
      <c r="C204" s="26"/>
      <c r="D204" s="26"/>
      <c r="E204" s="26">
        <v>13</v>
      </c>
      <c r="F204" s="26" t="s">
        <v>5055</v>
      </c>
      <c r="G204" s="26" t="s">
        <v>4191</v>
      </c>
      <c r="H204" s="26" t="s">
        <v>4146</v>
      </c>
      <c r="I204" s="26" t="s">
        <v>1644</v>
      </c>
      <c r="J204" s="26" t="s">
        <v>4226</v>
      </c>
      <c r="K204" s="26" t="s">
        <v>4148</v>
      </c>
      <c r="L204" s="26" t="s">
        <v>4201</v>
      </c>
      <c r="M204" s="26" t="s">
        <v>4227</v>
      </c>
      <c r="N204" s="26" t="s">
        <v>1668</v>
      </c>
      <c r="O204" s="26" t="s">
        <v>1669</v>
      </c>
      <c r="P204" s="26" t="s">
        <v>1670</v>
      </c>
    </row>
    <row r="205" spans="1:16" s="91" customFormat="1" ht="30" customHeight="1" x14ac:dyDescent="0.25">
      <c r="A205" s="26"/>
      <c r="B205" s="26"/>
      <c r="C205" s="26"/>
      <c r="D205" s="26"/>
      <c r="E205" s="26">
        <v>14</v>
      </c>
      <c r="F205" s="26" t="s">
        <v>5054</v>
      </c>
      <c r="G205" s="26" t="s">
        <v>4192</v>
      </c>
      <c r="H205" s="26" t="s">
        <v>4149</v>
      </c>
      <c r="I205" s="26" t="s">
        <v>4228</v>
      </c>
      <c r="J205" s="26" t="s">
        <v>4151</v>
      </c>
      <c r="K205" s="26" t="s">
        <v>4152</v>
      </c>
      <c r="L205" s="26" t="s">
        <v>4202</v>
      </c>
      <c r="M205" s="26" t="s">
        <v>4166</v>
      </c>
      <c r="N205" s="26" t="s">
        <v>4167</v>
      </c>
      <c r="O205" s="26" t="s">
        <v>4168</v>
      </c>
      <c r="P205" s="26" t="s">
        <v>4229</v>
      </c>
    </row>
    <row r="206" spans="1:16" s="91" customFormat="1" ht="30" customHeight="1" x14ac:dyDescent="0.25">
      <c r="A206" s="26"/>
      <c r="B206" s="26"/>
      <c r="C206" s="26"/>
      <c r="D206" s="26"/>
      <c r="E206" s="26">
        <v>15</v>
      </c>
      <c r="F206" s="26" t="s">
        <v>5056</v>
      </c>
      <c r="G206" s="26" t="s">
        <v>4193</v>
      </c>
      <c r="H206" s="26" t="s">
        <v>4153</v>
      </c>
      <c r="I206" s="26" t="s">
        <v>1645</v>
      </c>
      <c r="J206" s="26" t="s">
        <v>1646</v>
      </c>
      <c r="K206" s="26" t="s">
        <v>4230</v>
      </c>
      <c r="L206" s="26" t="s">
        <v>4203</v>
      </c>
      <c r="M206" s="26" t="s">
        <v>4231</v>
      </c>
      <c r="N206" s="26" t="s">
        <v>1671</v>
      </c>
      <c r="O206" s="26" t="s">
        <v>1672</v>
      </c>
      <c r="P206" s="26" t="s">
        <v>4171</v>
      </c>
    </row>
    <row r="207" spans="1:16" s="91" customFormat="1" ht="30" customHeight="1" x14ac:dyDescent="0.25">
      <c r="A207" s="26"/>
      <c r="B207" s="26"/>
      <c r="C207" s="26"/>
      <c r="D207" s="26"/>
      <c r="E207" s="26">
        <v>16</v>
      </c>
      <c r="F207" s="26" t="s">
        <v>5057</v>
      </c>
      <c r="G207" s="26" t="s">
        <v>4194</v>
      </c>
      <c r="H207" s="26" t="s">
        <v>4233</v>
      </c>
      <c r="I207" s="26" t="s">
        <v>4155</v>
      </c>
      <c r="J207" s="26" t="s">
        <v>1648</v>
      </c>
      <c r="K207" s="26" t="s">
        <v>1649</v>
      </c>
      <c r="L207" s="26" t="s">
        <v>4204</v>
      </c>
      <c r="M207" s="26" t="s">
        <v>4172</v>
      </c>
      <c r="N207" s="26" t="s">
        <v>4173</v>
      </c>
      <c r="O207" s="26" t="s">
        <v>4232</v>
      </c>
      <c r="P207" s="26" t="s">
        <v>4175</v>
      </c>
    </row>
    <row r="208" spans="1:16" s="91" customFormat="1" ht="30" customHeight="1" x14ac:dyDescent="0.25">
      <c r="A208" s="26"/>
      <c r="B208" s="26"/>
      <c r="C208" s="26"/>
      <c r="D208" s="26"/>
      <c r="E208" s="26">
        <v>17</v>
      </c>
      <c r="F208" s="26" t="s">
        <v>5058</v>
      </c>
      <c r="G208" s="26" t="s">
        <v>4195</v>
      </c>
      <c r="H208" s="26" t="s">
        <v>1650</v>
      </c>
      <c r="I208" s="26" t="s">
        <v>1651</v>
      </c>
      <c r="J208" s="26" t="s">
        <v>4234</v>
      </c>
      <c r="K208" s="26" t="s">
        <v>1653</v>
      </c>
      <c r="L208" s="26" t="s">
        <v>4205</v>
      </c>
      <c r="M208" s="26" t="s">
        <v>1673</v>
      </c>
      <c r="N208" s="26" t="s">
        <v>4235</v>
      </c>
      <c r="O208" s="26" t="s">
        <v>4176</v>
      </c>
      <c r="P208" s="26" t="s">
        <v>4177</v>
      </c>
    </row>
    <row r="209" spans="1:16" s="91" customFormat="1" ht="30" customHeight="1" x14ac:dyDescent="0.25">
      <c r="A209" s="26"/>
      <c r="B209" s="26"/>
      <c r="C209" s="26"/>
      <c r="D209" s="26"/>
      <c r="E209" s="26">
        <v>18</v>
      </c>
      <c r="F209" s="26" t="s">
        <v>5059</v>
      </c>
      <c r="G209" s="26" t="s">
        <v>4196</v>
      </c>
      <c r="H209" s="26" t="s">
        <v>4237</v>
      </c>
      <c r="I209" s="26" t="s">
        <v>1655</v>
      </c>
      <c r="J209" s="26" t="s">
        <v>4156</v>
      </c>
      <c r="K209" s="26" t="s">
        <v>4157</v>
      </c>
      <c r="L209" s="26" t="s">
        <v>4206</v>
      </c>
      <c r="M209" s="26" t="s">
        <v>1675</v>
      </c>
      <c r="N209" s="26" t="s">
        <v>1676</v>
      </c>
      <c r="O209" s="26" t="s">
        <v>4236</v>
      </c>
      <c r="P209" s="26" t="s">
        <v>1678</v>
      </c>
    </row>
    <row r="210" spans="1:16" s="91" customFormat="1" ht="30" customHeight="1" x14ac:dyDescent="0.25">
      <c r="A210" s="26"/>
      <c r="B210" s="26"/>
      <c r="C210" s="26"/>
      <c r="D210" s="26"/>
      <c r="E210" s="26">
        <v>19</v>
      </c>
      <c r="F210" s="26" t="s">
        <v>5060</v>
      </c>
      <c r="G210" s="26" t="s">
        <v>4197</v>
      </c>
      <c r="H210" s="26" t="s">
        <v>1656</v>
      </c>
      <c r="I210" s="26" t="s">
        <v>4238</v>
      </c>
      <c r="J210" s="26" t="s">
        <v>1658</v>
      </c>
      <c r="K210" s="26" t="s">
        <v>4158</v>
      </c>
      <c r="L210" s="26" t="s">
        <v>4207</v>
      </c>
      <c r="M210" s="26" t="s">
        <v>1679</v>
      </c>
      <c r="N210" s="26" t="s">
        <v>1680</v>
      </c>
      <c r="O210" s="26" t="s">
        <v>4239</v>
      </c>
      <c r="P210" s="26" t="s">
        <v>4178</v>
      </c>
    </row>
    <row r="211" spans="1:16" s="91" customFormat="1" ht="30" customHeight="1" x14ac:dyDescent="0.25">
      <c r="A211" s="26"/>
      <c r="B211" s="26"/>
      <c r="C211" s="26"/>
      <c r="D211" s="26"/>
      <c r="E211" s="26">
        <v>20</v>
      </c>
      <c r="F211" s="26" t="s">
        <v>5061</v>
      </c>
      <c r="G211" s="26" t="s">
        <v>4198</v>
      </c>
      <c r="H211" s="26" t="s">
        <v>1659</v>
      </c>
      <c r="I211" s="26" t="s">
        <v>4240</v>
      </c>
      <c r="J211" s="26" t="s">
        <v>1661</v>
      </c>
      <c r="K211" s="26" t="s">
        <v>4159</v>
      </c>
      <c r="L211" s="26" t="s">
        <v>4208</v>
      </c>
      <c r="M211" s="26" t="s">
        <v>1682</v>
      </c>
      <c r="N211" s="26" t="s">
        <v>1683</v>
      </c>
      <c r="O211" s="26" t="s">
        <v>1684</v>
      </c>
      <c r="P211" s="26" t="s">
        <v>4241</v>
      </c>
    </row>
    <row r="212" spans="1:16" s="91" customFormat="1" ht="31.5" customHeight="1" x14ac:dyDescent="0.25">
      <c r="A212" s="33"/>
      <c r="B212" s="33"/>
      <c r="C212" s="33" t="s">
        <v>3899</v>
      </c>
      <c r="D212" s="33" t="s">
        <v>3644</v>
      </c>
      <c r="E212" s="33">
        <v>1</v>
      </c>
      <c r="F212" s="33" t="s">
        <v>4982</v>
      </c>
      <c r="G212" s="33" t="s">
        <v>3902</v>
      </c>
      <c r="H212" s="33" t="s">
        <v>2963</v>
      </c>
      <c r="I212" s="33" t="s">
        <v>2964</v>
      </c>
      <c r="J212" s="33" t="s">
        <v>3019</v>
      </c>
      <c r="K212" s="33" t="s">
        <v>5009</v>
      </c>
      <c r="L212" s="33"/>
      <c r="M212" s="33"/>
      <c r="N212" s="33"/>
      <c r="O212" s="33"/>
      <c r="P212" s="33"/>
    </row>
    <row r="213" spans="1:16" s="91" customFormat="1" ht="32.25" customHeight="1" x14ac:dyDescent="0.25">
      <c r="A213" s="33"/>
      <c r="B213" s="33"/>
      <c r="C213" s="33"/>
      <c r="D213" s="33" t="s">
        <v>2911</v>
      </c>
      <c r="E213" s="33">
        <v>2</v>
      </c>
      <c r="F213" s="33" t="s">
        <v>4983</v>
      </c>
      <c r="G213" s="33" t="s">
        <v>2933</v>
      </c>
      <c r="H213" s="33" t="s">
        <v>2966</v>
      </c>
      <c r="I213" s="33" t="s">
        <v>5008</v>
      </c>
      <c r="J213" s="33" t="s">
        <v>5010</v>
      </c>
      <c r="K213" s="33" t="s">
        <v>2969</v>
      </c>
      <c r="L213" s="33"/>
      <c r="M213" s="33"/>
      <c r="N213" s="33"/>
      <c r="O213" s="33"/>
      <c r="P213" s="33"/>
    </row>
    <row r="214" spans="1:16" s="91" customFormat="1" ht="39.75" customHeight="1" x14ac:dyDescent="0.25">
      <c r="A214" s="33"/>
      <c r="B214" s="33"/>
      <c r="C214" s="33"/>
      <c r="D214" s="33" t="s">
        <v>359</v>
      </c>
      <c r="E214" s="33">
        <v>3</v>
      </c>
      <c r="F214" s="33" t="s">
        <v>4984</v>
      </c>
      <c r="G214" s="33" t="s">
        <v>2934</v>
      </c>
      <c r="H214" s="33" t="s">
        <v>2970</v>
      </c>
      <c r="I214" s="33" t="s">
        <v>2971</v>
      </c>
      <c r="J214" s="33" t="s">
        <v>2972</v>
      </c>
      <c r="K214" s="33" t="s">
        <v>5002</v>
      </c>
      <c r="L214" s="33"/>
      <c r="M214" s="33"/>
      <c r="N214" s="33"/>
      <c r="O214" s="33"/>
      <c r="P214" s="33"/>
    </row>
    <row r="215" spans="1:16" s="91" customFormat="1" ht="24.95" customHeight="1" x14ac:dyDescent="0.25">
      <c r="A215" s="33"/>
      <c r="B215" s="33"/>
      <c r="C215" s="33"/>
      <c r="D215" s="33"/>
      <c r="E215" s="33">
        <v>4</v>
      </c>
      <c r="F215" s="33" t="s">
        <v>4985</v>
      </c>
      <c r="G215" s="33" t="s">
        <v>2935</v>
      </c>
      <c r="H215" s="33" t="s">
        <v>2974</v>
      </c>
      <c r="I215" s="33" t="s">
        <v>5003</v>
      </c>
      <c r="J215" s="33" t="s">
        <v>2976</v>
      </c>
      <c r="K215" s="33" t="s">
        <v>2977</v>
      </c>
      <c r="L215" s="33"/>
      <c r="M215" s="33"/>
      <c r="N215" s="33"/>
      <c r="O215" s="33"/>
      <c r="P215" s="33"/>
    </row>
    <row r="216" spans="1:16" s="91" customFormat="1" ht="24.95" customHeight="1" x14ac:dyDescent="0.25">
      <c r="A216" s="33"/>
      <c r="B216" s="33"/>
      <c r="C216" s="33"/>
      <c r="D216" s="33"/>
      <c r="E216" s="33">
        <v>5</v>
      </c>
      <c r="F216" s="33" t="s">
        <v>4986</v>
      </c>
      <c r="G216" s="33" t="s">
        <v>2936</v>
      </c>
      <c r="H216" s="33" t="s">
        <v>2978</v>
      </c>
      <c r="I216" s="33" t="s">
        <v>2979</v>
      </c>
      <c r="J216" s="33" t="s">
        <v>2980</v>
      </c>
      <c r="K216" s="33" t="s">
        <v>5007</v>
      </c>
      <c r="L216" s="33"/>
      <c r="M216" s="33"/>
      <c r="N216" s="33"/>
      <c r="O216" s="33"/>
      <c r="P216" s="33"/>
    </row>
    <row r="217" spans="1:16" s="91" customFormat="1" ht="24.95" customHeight="1" x14ac:dyDescent="0.25">
      <c r="A217" s="33"/>
      <c r="B217" s="33"/>
      <c r="C217" s="33"/>
      <c r="D217" s="33"/>
      <c r="E217" s="33">
        <v>6</v>
      </c>
      <c r="F217" s="33" t="s">
        <v>4987</v>
      </c>
      <c r="G217" s="33" t="s">
        <v>2938</v>
      </c>
      <c r="H217" s="33" t="s">
        <v>5011</v>
      </c>
      <c r="I217" s="33" t="s">
        <v>1842</v>
      </c>
      <c r="J217" s="33" t="s">
        <v>1843</v>
      </c>
      <c r="K217" s="33" t="s">
        <v>1844</v>
      </c>
      <c r="L217" s="33"/>
      <c r="M217" s="33"/>
      <c r="N217" s="33"/>
      <c r="O217" s="33"/>
      <c r="P217" s="33"/>
    </row>
    <row r="218" spans="1:16" s="91" customFormat="1" ht="24.95" customHeight="1" x14ac:dyDescent="0.25">
      <c r="A218" s="33"/>
      <c r="B218" s="33"/>
      <c r="C218" s="33"/>
      <c r="D218" s="33"/>
      <c r="E218" s="33">
        <v>7</v>
      </c>
      <c r="F218" s="33" t="s">
        <v>4988</v>
      </c>
      <c r="G218" s="33" t="s">
        <v>2939</v>
      </c>
      <c r="H218" s="33" t="s">
        <v>2983</v>
      </c>
      <c r="I218" s="33" t="s">
        <v>5012</v>
      </c>
      <c r="J218" s="33" t="s">
        <v>2985</v>
      </c>
      <c r="K218" s="33" t="s">
        <v>2986</v>
      </c>
      <c r="L218" s="33"/>
      <c r="M218" s="33"/>
      <c r="N218" s="33"/>
      <c r="O218" s="33"/>
      <c r="P218" s="33"/>
    </row>
    <row r="219" spans="1:16" s="91" customFormat="1" ht="24.95" customHeight="1" x14ac:dyDescent="0.25">
      <c r="A219" s="33"/>
      <c r="B219" s="33"/>
      <c r="C219" s="33"/>
      <c r="D219" s="33"/>
      <c r="E219" s="33">
        <v>8</v>
      </c>
      <c r="F219" s="33" t="s">
        <v>4989</v>
      </c>
      <c r="G219" s="33" t="s">
        <v>2937</v>
      </c>
      <c r="H219" s="33" t="s">
        <v>2987</v>
      </c>
      <c r="I219" s="33" t="s">
        <v>5013</v>
      </c>
      <c r="J219" s="33" t="s">
        <v>2989</v>
      </c>
      <c r="K219" s="33" t="s">
        <v>2990</v>
      </c>
      <c r="L219" s="33"/>
      <c r="M219" s="33"/>
      <c r="N219" s="33"/>
      <c r="O219" s="33"/>
      <c r="P219" s="33"/>
    </row>
    <row r="220" spans="1:16" s="91" customFormat="1" ht="24.95" customHeight="1" x14ac:dyDescent="0.25">
      <c r="A220" s="33"/>
      <c r="B220" s="33"/>
      <c r="C220" s="33"/>
      <c r="D220" s="33"/>
      <c r="E220" s="33">
        <v>9</v>
      </c>
      <c r="F220" s="33" t="s">
        <v>4990</v>
      </c>
      <c r="G220" s="33" t="s">
        <v>2940</v>
      </c>
      <c r="H220" s="33" t="s">
        <v>2991</v>
      </c>
      <c r="I220" s="33" t="s">
        <v>5014</v>
      </c>
      <c r="J220" s="33" t="s">
        <v>2993</v>
      </c>
      <c r="K220" s="33" t="s">
        <v>2994</v>
      </c>
      <c r="L220" s="33"/>
      <c r="M220" s="33"/>
      <c r="N220" s="33"/>
      <c r="O220" s="33"/>
      <c r="P220" s="33"/>
    </row>
    <row r="221" spans="1:16" s="91" customFormat="1" ht="24.95" customHeight="1" x14ac:dyDescent="0.25">
      <c r="A221" s="33"/>
      <c r="B221" s="33"/>
      <c r="C221" s="33"/>
      <c r="D221" s="33"/>
      <c r="E221" s="33">
        <v>10</v>
      </c>
      <c r="F221" s="33" t="s">
        <v>4991</v>
      </c>
      <c r="G221" s="33" t="s">
        <v>2941</v>
      </c>
      <c r="H221" s="33" t="s">
        <v>1826</v>
      </c>
      <c r="I221" s="33" t="s">
        <v>1827</v>
      </c>
      <c r="J221" s="33" t="s">
        <v>5015</v>
      </c>
      <c r="K221" s="33" t="s">
        <v>1829</v>
      </c>
      <c r="L221" s="33"/>
      <c r="M221" s="33"/>
      <c r="N221" s="33"/>
      <c r="O221" s="33"/>
      <c r="P221" s="33"/>
    </row>
    <row r="222" spans="1:16" s="91" customFormat="1" ht="24.95" customHeight="1" x14ac:dyDescent="0.25">
      <c r="A222" s="33"/>
      <c r="B222" s="33"/>
      <c r="C222" s="33"/>
      <c r="D222" s="33"/>
      <c r="E222" s="33">
        <v>11</v>
      </c>
      <c r="F222" s="33" t="s">
        <v>4992</v>
      </c>
      <c r="G222" s="33" t="s">
        <v>2942</v>
      </c>
      <c r="H222" s="33" t="s">
        <v>2995</v>
      </c>
      <c r="I222" s="33" t="s">
        <v>2996</v>
      </c>
      <c r="J222" s="33" t="s">
        <v>2997</v>
      </c>
      <c r="K222" s="33" t="s">
        <v>5004</v>
      </c>
      <c r="L222" s="33" t="s">
        <v>2952</v>
      </c>
      <c r="M222" s="33" t="s">
        <v>5024</v>
      </c>
      <c r="N222" s="33" t="s">
        <v>3021</v>
      </c>
      <c r="O222" s="33" t="s">
        <v>3022</v>
      </c>
      <c r="P222" s="33" t="s">
        <v>3023</v>
      </c>
    </row>
    <row r="223" spans="1:16" s="91" customFormat="1" ht="24.95" customHeight="1" x14ac:dyDescent="0.25">
      <c r="A223" s="33"/>
      <c r="B223" s="33"/>
      <c r="C223" s="33"/>
      <c r="D223" s="33"/>
      <c r="E223" s="33">
        <v>12</v>
      </c>
      <c r="F223" s="33" t="s">
        <v>4993</v>
      </c>
      <c r="G223" s="33" t="s">
        <v>2943</v>
      </c>
      <c r="H223" s="33" t="s">
        <v>2998</v>
      </c>
      <c r="I223" s="33" t="s">
        <v>5016</v>
      </c>
      <c r="J223" s="33" t="s">
        <v>3000</v>
      </c>
      <c r="K223" s="33" t="s">
        <v>3001</v>
      </c>
      <c r="L223" s="33" t="s">
        <v>2953</v>
      </c>
      <c r="M223" s="33" t="s">
        <v>3024</v>
      </c>
      <c r="N223" s="33" t="s">
        <v>3025</v>
      </c>
      <c r="O223" s="33" t="s">
        <v>5025</v>
      </c>
      <c r="P223" s="33" t="s">
        <v>3027</v>
      </c>
    </row>
    <row r="224" spans="1:16" s="91" customFormat="1" ht="24.95" customHeight="1" x14ac:dyDescent="0.25">
      <c r="A224" s="33"/>
      <c r="B224" s="33"/>
      <c r="C224" s="33"/>
      <c r="D224" s="33"/>
      <c r="E224" s="33">
        <v>13</v>
      </c>
      <c r="F224" s="33" t="s">
        <v>4994</v>
      </c>
      <c r="G224" s="33" t="s">
        <v>2944</v>
      </c>
      <c r="H224" s="33" t="s">
        <v>3002</v>
      </c>
      <c r="I224" s="33" t="s">
        <v>3003</v>
      </c>
      <c r="J224" s="33" t="s">
        <v>5017</v>
      </c>
      <c r="K224" s="33" t="s">
        <v>3005</v>
      </c>
      <c r="L224" s="33" t="s">
        <v>2954</v>
      </c>
      <c r="M224" s="33" t="s">
        <v>3028</v>
      </c>
      <c r="N224" s="33" t="s">
        <v>5026</v>
      </c>
      <c r="O224" s="33" t="s">
        <v>3030</v>
      </c>
      <c r="P224" s="33" t="s">
        <v>3031</v>
      </c>
    </row>
    <row r="225" spans="1:16" s="91" customFormat="1" ht="24.95" customHeight="1" x14ac:dyDescent="0.25">
      <c r="A225" s="33"/>
      <c r="B225" s="33"/>
      <c r="C225" s="33"/>
      <c r="D225" s="33"/>
      <c r="E225" s="33">
        <v>14</v>
      </c>
      <c r="F225" s="33" t="s">
        <v>4995</v>
      </c>
      <c r="G225" s="33" t="s">
        <v>2945</v>
      </c>
      <c r="H225" s="33" t="s">
        <v>5018</v>
      </c>
      <c r="I225" s="33" t="s">
        <v>3007</v>
      </c>
      <c r="J225" s="33" t="s">
        <v>3008</v>
      </c>
      <c r="K225" s="33" t="s">
        <v>3009</v>
      </c>
      <c r="L225" s="33" t="s">
        <v>2955</v>
      </c>
      <c r="M225" s="33" t="s">
        <v>3032</v>
      </c>
      <c r="N225" s="33" t="s">
        <v>3642</v>
      </c>
      <c r="O225" s="33" t="s">
        <v>5027</v>
      </c>
      <c r="P225" s="33" t="s">
        <v>3034</v>
      </c>
    </row>
    <row r="226" spans="1:16" s="91" customFormat="1" ht="24.95" customHeight="1" x14ac:dyDescent="0.25">
      <c r="A226" s="33"/>
      <c r="B226" s="33"/>
      <c r="C226" s="33"/>
      <c r="D226" s="33"/>
      <c r="E226" s="33">
        <v>15</v>
      </c>
      <c r="F226" s="33" t="s">
        <v>4996</v>
      </c>
      <c r="G226" s="33" t="s">
        <v>2946</v>
      </c>
      <c r="H226" s="33" t="s">
        <v>3010</v>
      </c>
      <c r="I226" s="33" t="s">
        <v>5019</v>
      </c>
      <c r="J226" s="33" t="s">
        <v>3012</v>
      </c>
      <c r="K226" s="33" t="s">
        <v>3013</v>
      </c>
      <c r="L226" s="33" t="s">
        <v>2956</v>
      </c>
      <c r="M226" s="33" t="s">
        <v>5028</v>
      </c>
      <c r="N226" s="33" t="s">
        <v>3036</v>
      </c>
      <c r="O226" s="33" t="s">
        <v>3037</v>
      </c>
      <c r="P226" s="33" t="s">
        <v>3038</v>
      </c>
    </row>
    <row r="227" spans="1:16" s="91" customFormat="1" ht="24.95" customHeight="1" x14ac:dyDescent="0.25">
      <c r="A227" s="33"/>
      <c r="B227" s="33"/>
      <c r="C227" s="33"/>
      <c r="D227" s="33"/>
      <c r="E227" s="33">
        <v>16</v>
      </c>
      <c r="F227" s="33" t="s">
        <v>4997</v>
      </c>
      <c r="G227" s="33" t="s">
        <v>2947</v>
      </c>
      <c r="H227" s="33" t="s">
        <v>1823</v>
      </c>
      <c r="I227" s="33" t="s">
        <v>5020</v>
      </c>
      <c r="J227" s="33" t="s">
        <v>1824</v>
      </c>
      <c r="K227" s="33" t="s">
        <v>1825</v>
      </c>
      <c r="L227" s="33" t="s">
        <v>3643</v>
      </c>
      <c r="M227" s="33" t="s">
        <v>1845</v>
      </c>
      <c r="N227" s="33" t="s">
        <v>1846</v>
      </c>
      <c r="O227" s="33" t="s">
        <v>1847</v>
      </c>
      <c r="P227" s="33" t="s">
        <v>5029</v>
      </c>
    </row>
    <row r="228" spans="1:16" s="91" customFormat="1" ht="24.95" customHeight="1" x14ac:dyDescent="0.25">
      <c r="A228" s="33"/>
      <c r="B228" s="33"/>
      <c r="C228" s="33"/>
      <c r="D228" s="33"/>
      <c r="E228" s="33">
        <v>17</v>
      </c>
      <c r="F228" s="33" t="s">
        <v>4998</v>
      </c>
      <c r="G228" s="33" t="s">
        <v>2948</v>
      </c>
      <c r="H228" s="33" t="s">
        <v>1830</v>
      </c>
      <c r="I228" s="33" t="s">
        <v>1831</v>
      </c>
      <c r="J228" s="33" t="s">
        <v>5021</v>
      </c>
      <c r="K228" s="33" t="s">
        <v>1833</v>
      </c>
      <c r="L228" s="33" t="s">
        <v>2957</v>
      </c>
      <c r="M228" s="33" t="s">
        <v>1849</v>
      </c>
      <c r="N228" s="33" t="s">
        <v>5030</v>
      </c>
      <c r="O228" s="33" t="s">
        <v>1851</v>
      </c>
      <c r="P228" s="33" t="s">
        <v>1852</v>
      </c>
    </row>
    <row r="229" spans="1:16" s="91" customFormat="1" ht="24.95" customHeight="1" x14ac:dyDescent="0.25">
      <c r="A229" s="33"/>
      <c r="B229" s="33"/>
      <c r="C229" s="33"/>
      <c r="D229" s="33"/>
      <c r="E229" s="33">
        <v>18</v>
      </c>
      <c r="F229" s="33" t="s">
        <v>4999</v>
      </c>
      <c r="G229" s="33" t="s">
        <v>2949</v>
      </c>
      <c r="H229" s="33" t="s">
        <v>1838</v>
      </c>
      <c r="I229" s="33" t="s">
        <v>1839</v>
      </c>
      <c r="J229" s="33" t="s">
        <v>5022</v>
      </c>
      <c r="K229" s="33" t="s">
        <v>1841</v>
      </c>
      <c r="L229" s="33" t="s">
        <v>2958</v>
      </c>
      <c r="M229" s="33" t="s">
        <v>1853</v>
      </c>
      <c r="N229" s="33" t="s">
        <v>5031</v>
      </c>
      <c r="O229" s="33" t="s">
        <v>1855</v>
      </c>
      <c r="P229" s="33" t="s">
        <v>1856</v>
      </c>
    </row>
    <row r="230" spans="1:16" s="91" customFormat="1" ht="24.95" customHeight="1" x14ac:dyDescent="0.25">
      <c r="A230" s="33"/>
      <c r="B230" s="33"/>
      <c r="C230" s="33"/>
      <c r="D230" s="33"/>
      <c r="E230" s="33">
        <v>19</v>
      </c>
      <c r="F230" s="33" t="s">
        <v>5000</v>
      </c>
      <c r="G230" s="33" t="s">
        <v>2950</v>
      </c>
      <c r="H230" s="33" t="s">
        <v>5023</v>
      </c>
      <c r="I230" s="33" t="s">
        <v>1835</v>
      </c>
      <c r="J230" s="33" t="s">
        <v>1836</v>
      </c>
      <c r="K230" s="33" t="s">
        <v>1837</v>
      </c>
      <c r="L230" s="33" t="s">
        <v>2959</v>
      </c>
      <c r="M230" s="33" t="s">
        <v>3039</v>
      </c>
      <c r="N230" s="33" t="s">
        <v>3040</v>
      </c>
      <c r="O230" s="33" t="s">
        <v>3041</v>
      </c>
      <c r="P230" s="33" t="s">
        <v>5032</v>
      </c>
    </row>
    <row r="231" spans="1:16" s="91" customFormat="1" ht="24.95" customHeight="1" x14ac:dyDescent="0.25">
      <c r="A231" s="33"/>
      <c r="B231" s="33"/>
      <c r="C231" s="33"/>
      <c r="D231" s="33"/>
      <c r="E231" s="33">
        <v>20</v>
      </c>
      <c r="F231" s="33" t="s">
        <v>5001</v>
      </c>
      <c r="G231" s="33" t="s">
        <v>2951</v>
      </c>
      <c r="H231" s="33" t="s">
        <v>3015</v>
      </c>
      <c r="I231" s="33" t="s">
        <v>5005</v>
      </c>
      <c r="J231" s="33" t="s">
        <v>3017</v>
      </c>
      <c r="K231" s="33" t="s">
        <v>3018</v>
      </c>
      <c r="L231" s="33" t="s">
        <v>2960</v>
      </c>
      <c r="M231" s="33" t="s">
        <v>5006</v>
      </c>
      <c r="N231" s="33" t="s">
        <v>3044</v>
      </c>
      <c r="O231" s="33" t="s">
        <v>3045</v>
      </c>
      <c r="P231" s="33" t="s">
        <v>3046</v>
      </c>
    </row>
    <row r="232" spans="1:16" s="91" customFormat="1" ht="24.95" customHeight="1" x14ac:dyDescent="0.25">
      <c r="A232" s="18"/>
      <c r="B232" s="18"/>
      <c r="C232" s="18" t="s">
        <v>3900</v>
      </c>
      <c r="D232" s="18" t="s">
        <v>3645</v>
      </c>
      <c r="E232" s="18">
        <v>1</v>
      </c>
      <c r="F232" s="18" t="s">
        <v>5033</v>
      </c>
      <c r="G232" s="18" t="s">
        <v>3218</v>
      </c>
      <c r="H232" s="18" t="s">
        <v>3248</v>
      </c>
      <c r="I232" s="18" t="s">
        <v>3249</v>
      </c>
      <c r="J232" s="18" t="s">
        <v>3250</v>
      </c>
      <c r="K232" s="18" t="s">
        <v>3901</v>
      </c>
      <c r="L232" s="18"/>
      <c r="M232" s="18"/>
      <c r="N232" s="18"/>
      <c r="O232" s="18"/>
      <c r="P232" s="18"/>
    </row>
    <row r="233" spans="1:16" s="91" customFormat="1" ht="24.95" customHeight="1" x14ac:dyDescent="0.25">
      <c r="A233" s="18"/>
      <c r="B233" s="18"/>
      <c r="C233" s="18"/>
      <c r="D233" s="18" t="s">
        <v>2911</v>
      </c>
      <c r="E233" s="18">
        <v>2</v>
      </c>
      <c r="F233" s="18" t="s">
        <v>3936</v>
      </c>
      <c r="G233" s="18" t="s">
        <v>3219</v>
      </c>
      <c r="H233" s="18" t="s">
        <v>3252</v>
      </c>
      <c r="I233" s="18" t="s">
        <v>3937</v>
      </c>
      <c r="J233" s="18" t="s">
        <v>3254</v>
      </c>
      <c r="K233" s="18" t="s">
        <v>3255</v>
      </c>
      <c r="L233" s="18"/>
      <c r="M233" s="18"/>
      <c r="N233" s="18"/>
      <c r="O233" s="18"/>
      <c r="P233" s="18"/>
    </row>
    <row r="234" spans="1:16" s="91" customFormat="1" ht="24.95" customHeight="1" x14ac:dyDescent="0.25">
      <c r="A234" s="18"/>
      <c r="B234" s="18"/>
      <c r="C234" s="18"/>
      <c r="D234" s="18" t="s">
        <v>359</v>
      </c>
      <c r="E234" s="18">
        <v>3</v>
      </c>
      <c r="F234" s="18" t="s">
        <v>3903</v>
      </c>
      <c r="G234" s="18" t="s">
        <v>3220</v>
      </c>
      <c r="H234" s="18" t="s">
        <v>3256</v>
      </c>
      <c r="I234" s="18" t="s">
        <v>3257</v>
      </c>
      <c r="J234" s="18" t="s">
        <v>3938</v>
      </c>
      <c r="K234" s="18" t="s">
        <v>3259</v>
      </c>
      <c r="L234" s="18"/>
      <c r="M234" s="18"/>
      <c r="N234" s="18"/>
      <c r="O234" s="18"/>
      <c r="P234" s="18"/>
    </row>
    <row r="235" spans="1:16" s="91" customFormat="1" ht="24.95" customHeight="1" x14ac:dyDescent="0.25">
      <c r="A235" s="18"/>
      <c r="B235" s="18"/>
      <c r="C235" s="18"/>
      <c r="D235" s="18"/>
      <c r="E235" s="18">
        <v>4</v>
      </c>
      <c r="F235" s="18" t="s">
        <v>5034</v>
      </c>
      <c r="G235" s="18" t="s">
        <v>3221</v>
      </c>
      <c r="H235" s="18" t="s">
        <v>3260</v>
      </c>
      <c r="I235" s="18" t="s">
        <v>3904</v>
      </c>
      <c r="J235" s="18" t="s">
        <v>3262</v>
      </c>
      <c r="K235" s="18" t="s">
        <v>3263</v>
      </c>
      <c r="L235" s="18"/>
      <c r="M235" s="18"/>
      <c r="N235" s="18"/>
      <c r="O235" s="18"/>
      <c r="P235" s="18"/>
    </row>
    <row r="236" spans="1:16" s="91" customFormat="1" ht="24.95" customHeight="1" x14ac:dyDescent="0.25">
      <c r="A236" s="18"/>
      <c r="B236" s="18"/>
      <c r="C236" s="18"/>
      <c r="D236" s="18"/>
      <c r="E236" s="18">
        <v>5</v>
      </c>
      <c r="F236" s="18" t="s">
        <v>3905</v>
      </c>
      <c r="G236" s="18" t="s">
        <v>3222</v>
      </c>
      <c r="H236" s="18" t="s">
        <v>3264</v>
      </c>
      <c r="I236" s="18" t="s">
        <v>3265</v>
      </c>
      <c r="J236" s="18" t="s">
        <v>3906</v>
      </c>
      <c r="K236" s="18" t="s">
        <v>3267</v>
      </c>
      <c r="L236" s="18"/>
      <c r="M236" s="18"/>
      <c r="N236" s="18"/>
      <c r="O236" s="18"/>
      <c r="P236" s="18"/>
    </row>
    <row r="237" spans="1:16" s="91" customFormat="1" ht="24.95" customHeight="1" x14ac:dyDescent="0.25">
      <c r="A237" s="18"/>
      <c r="B237" s="18"/>
      <c r="C237" s="18"/>
      <c r="D237" s="18"/>
      <c r="E237" s="18">
        <v>6</v>
      </c>
      <c r="F237" s="18" t="s">
        <v>3907</v>
      </c>
      <c r="G237" s="18" t="s">
        <v>3223</v>
      </c>
      <c r="H237" s="18" t="s">
        <v>3268</v>
      </c>
      <c r="I237" s="18" t="s">
        <v>3269</v>
      </c>
      <c r="J237" s="18" t="s">
        <v>3270</v>
      </c>
      <c r="K237" s="18" t="s">
        <v>3908</v>
      </c>
      <c r="L237" s="18"/>
      <c r="M237" s="18"/>
      <c r="N237" s="18"/>
      <c r="O237" s="18"/>
      <c r="P237" s="18"/>
    </row>
    <row r="238" spans="1:16" s="91" customFormat="1" ht="24.95" customHeight="1" x14ac:dyDescent="0.25">
      <c r="A238" s="18"/>
      <c r="B238" s="18"/>
      <c r="C238" s="18"/>
      <c r="D238" s="18"/>
      <c r="E238" s="18">
        <v>7</v>
      </c>
      <c r="F238" s="18" t="s">
        <v>5035</v>
      </c>
      <c r="G238" s="18" t="s">
        <v>3224</v>
      </c>
      <c r="H238" s="18" t="s">
        <v>3909</v>
      </c>
      <c r="I238" s="18" t="s">
        <v>3273</v>
      </c>
      <c r="J238" s="18" t="s">
        <v>3274</v>
      </c>
      <c r="K238" s="18" t="s">
        <v>3275</v>
      </c>
      <c r="L238" s="18"/>
      <c r="M238" s="18"/>
      <c r="N238" s="18"/>
      <c r="O238" s="18"/>
      <c r="P238" s="18"/>
    </row>
    <row r="239" spans="1:16" s="91" customFormat="1" ht="24.95" customHeight="1" x14ac:dyDescent="0.25">
      <c r="A239" s="18"/>
      <c r="B239" s="18"/>
      <c r="C239" s="18"/>
      <c r="D239" s="18"/>
      <c r="E239" s="18">
        <v>8</v>
      </c>
      <c r="F239" s="18" t="s">
        <v>3910</v>
      </c>
      <c r="G239" s="18" t="s">
        <v>3225</v>
      </c>
      <c r="H239" s="18" t="s">
        <v>3276</v>
      </c>
      <c r="I239" s="18" t="s">
        <v>3277</v>
      </c>
      <c r="J239" s="18" t="s">
        <v>3911</v>
      </c>
      <c r="K239" s="18" t="s">
        <v>3279</v>
      </c>
      <c r="L239" s="18"/>
      <c r="M239" s="18"/>
      <c r="N239" s="18"/>
      <c r="O239" s="18"/>
      <c r="P239" s="18"/>
    </row>
    <row r="240" spans="1:16" s="91" customFormat="1" ht="24.95" customHeight="1" x14ac:dyDescent="0.25">
      <c r="A240" s="18"/>
      <c r="B240" s="18"/>
      <c r="C240" s="18"/>
      <c r="D240" s="18"/>
      <c r="E240" s="18">
        <v>9</v>
      </c>
      <c r="F240" s="18" t="s">
        <v>3912</v>
      </c>
      <c r="G240" s="18" t="s">
        <v>3226</v>
      </c>
      <c r="H240" s="18" t="s">
        <v>3280</v>
      </c>
      <c r="I240" s="18" t="s">
        <v>3281</v>
      </c>
      <c r="J240" s="18" t="s">
        <v>3913</v>
      </c>
      <c r="K240" s="18" t="s">
        <v>3283</v>
      </c>
      <c r="L240" s="18"/>
      <c r="M240" s="18"/>
      <c r="N240" s="18"/>
      <c r="O240" s="18"/>
      <c r="P240" s="18"/>
    </row>
    <row r="241" spans="1:16" s="91" customFormat="1" ht="24.95" customHeight="1" x14ac:dyDescent="0.25">
      <c r="A241" s="18"/>
      <c r="B241" s="18"/>
      <c r="C241" s="18"/>
      <c r="D241" s="18"/>
      <c r="E241" s="18">
        <v>10</v>
      </c>
      <c r="F241" s="18" t="s">
        <v>3914</v>
      </c>
      <c r="G241" s="18" t="s">
        <v>3227</v>
      </c>
      <c r="H241" s="18" t="s">
        <v>3915</v>
      </c>
      <c r="I241" s="18" t="s">
        <v>3285</v>
      </c>
      <c r="J241" s="18" t="s">
        <v>3286</v>
      </c>
      <c r="K241" s="18" t="s">
        <v>3287</v>
      </c>
      <c r="L241" s="18"/>
      <c r="M241" s="18"/>
      <c r="N241" s="18"/>
      <c r="O241" s="18"/>
      <c r="P241" s="18"/>
    </row>
    <row r="242" spans="1:16" s="91" customFormat="1" ht="24.95" customHeight="1" x14ac:dyDescent="0.25">
      <c r="A242" s="18"/>
      <c r="B242" s="18"/>
      <c r="C242" s="18"/>
      <c r="D242" s="18"/>
      <c r="E242" s="18">
        <v>11</v>
      </c>
      <c r="F242" s="18" t="s">
        <v>3939</v>
      </c>
      <c r="G242" s="18" t="s">
        <v>3228</v>
      </c>
      <c r="H242" s="18" t="s">
        <v>3288</v>
      </c>
      <c r="I242" s="18" t="s">
        <v>3916</v>
      </c>
      <c r="J242" s="18" t="s">
        <v>3290</v>
      </c>
      <c r="K242" s="18" t="s">
        <v>3291</v>
      </c>
      <c r="L242" s="18" t="s">
        <v>3238</v>
      </c>
      <c r="M242" s="18" t="s">
        <v>3328</v>
      </c>
      <c r="N242" s="18" t="s">
        <v>3329</v>
      </c>
      <c r="O242" s="18" t="s">
        <v>3917</v>
      </c>
      <c r="P242" s="18" t="s">
        <v>3331</v>
      </c>
    </row>
    <row r="243" spans="1:16" s="91" customFormat="1" ht="24.95" customHeight="1" x14ac:dyDescent="0.25">
      <c r="A243" s="18"/>
      <c r="B243" s="18"/>
      <c r="C243" s="18"/>
      <c r="D243" s="18"/>
      <c r="E243" s="18">
        <v>12</v>
      </c>
      <c r="F243" s="18" t="s">
        <v>5036</v>
      </c>
      <c r="G243" s="18" t="s">
        <v>3229</v>
      </c>
      <c r="H243" s="18" t="s">
        <v>3292</v>
      </c>
      <c r="I243" s="18" t="s">
        <v>3293</v>
      </c>
      <c r="J243" s="18" t="s">
        <v>3918</v>
      </c>
      <c r="K243" s="18" t="s">
        <v>3295</v>
      </c>
      <c r="L243" s="18" t="s">
        <v>3239</v>
      </c>
      <c r="M243" s="18" t="s">
        <v>3332</v>
      </c>
      <c r="N243" s="18" t="s">
        <v>3333</v>
      </c>
      <c r="O243" s="18" t="s">
        <v>3334</v>
      </c>
      <c r="P243" s="18" t="s">
        <v>3335</v>
      </c>
    </row>
    <row r="244" spans="1:16" s="91" customFormat="1" ht="24.95" customHeight="1" x14ac:dyDescent="0.25">
      <c r="A244" s="18"/>
      <c r="B244" s="18"/>
      <c r="C244" s="18"/>
      <c r="D244" s="18"/>
      <c r="E244" s="18">
        <v>13</v>
      </c>
      <c r="F244" s="18" t="s">
        <v>3919</v>
      </c>
      <c r="G244" s="18" t="s">
        <v>3230</v>
      </c>
      <c r="H244" s="18" t="s">
        <v>3920</v>
      </c>
      <c r="I244" s="18" t="s">
        <v>3297</v>
      </c>
      <c r="J244" s="18" t="s">
        <v>3298</v>
      </c>
      <c r="K244" s="18" t="s">
        <v>3299</v>
      </c>
      <c r="L244" s="18" t="s">
        <v>3240</v>
      </c>
      <c r="M244" s="18" t="s">
        <v>3336</v>
      </c>
      <c r="N244" s="18" t="s">
        <v>3921</v>
      </c>
      <c r="O244" s="18" t="s">
        <v>3338</v>
      </c>
      <c r="P244" s="18" t="s">
        <v>3339</v>
      </c>
    </row>
    <row r="245" spans="1:16" s="91" customFormat="1" ht="24.95" customHeight="1" x14ac:dyDescent="0.25">
      <c r="A245" s="18"/>
      <c r="B245" s="18"/>
      <c r="C245" s="18"/>
      <c r="D245" s="18"/>
      <c r="E245" s="18">
        <v>14</v>
      </c>
      <c r="F245" s="18" t="s">
        <v>5037</v>
      </c>
      <c r="G245" s="18" t="s">
        <v>3231</v>
      </c>
      <c r="H245" s="18" t="s">
        <v>3300</v>
      </c>
      <c r="I245" s="18" t="s">
        <v>3301</v>
      </c>
      <c r="J245" s="18" t="s">
        <v>3922</v>
      </c>
      <c r="K245" s="18" t="s">
        <v>3303</v>
      </c>
      <c r="L245" s="18" t="s">
        <v>3241</v>
      </c>
      <c r="M245" s="18" t="s">
        <v>3923</v>
      </c>
      <c r="N245" s="18" t="s">
        <v>3341</v>
      </c>
      <c r="O245" s="18" t="s">
        <v>3342</v>
      </c>
      <c r="P245" s="18" t="s">
        <v>3343</v>
      </c>
    </row>
    <row r="246" spans="1:16" s="91" customFormat="1" ht="24.95" customHeight="1" x14ac:dyDescent="0.25">
      <c r="A246" s="18"/>
      <c r="B246" s="18"/>
      <c r="C246" s="18"/>
      <c r="D246" s="18"/>
      <c r="E246" s="18">
        <v>15</v>
      </c>
      <c r="F246" s="18" t="s">
        <v>5038</v>
      </c>
      <c r="G246" s="18" t="s">
        <v>3232</v>
      </c>
      <c r="H246" s="18" t="s">
        <v>3304</v>
      </c>
      <c r="I246" s="18" t="s">
        <v>3305</v>
      </c>
      <c r="J246" s="18" t="s">
        <v>3306</v>
      </c>
      <c r="K246" s="18" t="s">
        <v>3924</v>
      </c>
      <c r="L246" s="18" t="s">
        <v>3242</v>
      </c>
      <c r="M246" s="18" t="s">
        <v>3344</v>
      </c>
      <c r="N246" s="18" t="s">
        <v>3925</v>
      </c>
      <c r="O246" s="18" t="s">
        <v>3346</v>
      </c>
      <c r="P246" s="18" t="s">
        <v>3347</v>
      </c>
    </row>
    <row r="247" spans="1:16" s="91" customFormat="1" ht="24.95" customHeight="1" x14ac:dyDescent="0.25">
      <c r="A247" s="18"/>
      <c r="B247" s="18"/>
      <c r="C247" s="18"/>
      <c r="D247" s="18"/>
      <c r="E247" s="18">
        <v>16</v>
      </c>
      <c r="F247" s="18" t="s">
        <v>5039</v>
      </c>
      <c r="G247" s="18" t="s">
        <v>3233</v>
      </c>
      <c r="H247" s="18" t="s">
        <v>3308</v>
      </c>
      <c r="I247" s="18" t="s">
        <v>3309</v>
      </c>
      <c r="J247" s="18" t="s">
        <v>3310</v>
      </c>
      <c r="K247" s="18" t="s">
        <v>3926</v>
      </c>
      <c r="L247" s="18" t="s">
        <v>3243</v>
      </c>
      <c r="M247" s="18" t="s">
        <v>3927</v>
      </c>
      <c r="N247" s="18" t="s">
        <v>3349</v>
      </c>
      <c r="O247" s="18" t="s">
        <v>3350</v>
      </c>
      <c r="P247" s="18" t="s">
        <v>3351</v>
      </c>
    </row>
    <row r="248" spans="1:16" s="91" customFormat="1" ht="24.95" customHeight="1" x14ac:dyDescent="0.25">
      <c r="A248" s="18"/>
      <c r="B248" s="18"/>
      <c r="C248" s="18"/>
      <c r="D248" s="18"/>
      <c r="E248" s="18">
        <v>17</v>
      </c>
      <c r="F248" s="18" t="s">
        <v>5040</v>
      </c>
      <c r="G248" s="18" t="s">
        <v>3234</v>
      </c>
      <c r="H248" s="18" t="s">
        <v>3312</v>
      </c>
      <c r="I248" s="18" t="s">
        <v>3928</v>
      </c>
      <c r="J248" s="18" t="s">
        <v>3314</v>
      </c>
      <c r="K248" s="18" t="s">
        <v>3315</v>
      </c>
      <c r="L248" s="18" t="s">
        <v>3244</v>
      </c>
      <c r="M248" s="18" t="s">
        <v>3352</v>
      </c>
      <c r="N248" s="18" t="s">
        <v>3353</v>
      </c>
      <c r="O248" s="18" t="s">
        <v>3354</v>
      </c>
      <c r="P248" s="18" t="s">
        <v>3929</v>
      </c>
    </row>
    <row r="249" spans="1:16" s="91" customFormat="1" ht="24.95" customHeight="1" x14ac:dyDescent="0.25">
      <c r="A249" s="18"/>
      <c r="B249" s="18"/>
      <c r="C249" s="18"/>
      <c r="D249" s="18"/>
      <c r="E249" s="18">
        <v>18</v>
      </c>
      <c r="F249" s="18" t="s">
        <v>5041</v>
      </c>
      <c r="G249" s="18" t="s">
        <v>3235</v>
      </c>
      <c r="H249" s="18" t="s">
        <v>3316</v>
      </c>
      <c r="I249" s="18" t="s">
        <v>3317</v>
      </c>
      <c r="J249" s="18" t="s">
        <v>3318</v>
      </c>
      <c r="K249" s="18" t="s">
        <v>3931</v>
      </c>
      <c r="L249" s="18" t="s">
        <v>3245</v>
      </c>
      <c r="M249" s="18" t="s">
        <v>3356</v>
      </c>
      <c r="N249" s="18" t="s">
        <v>3357</v>
      </c>
      <c r="O249" s="18" t="s">
        <v>3930</v>
      </c>
      <c r="P249" s="18" t="s">
        <v>3359</v>
      </c>
    </row>
    <row r="250" spans="1:16" s="91" customFormat="1" ht="24.95" customHeight="1" x14ac:dyDescent="0.25">
      <c r="A250" s="18"/>
      <c r="B250" s="18"/>
      <c r="C250" s="18"/>
      <c r="D250" s="18"/>
      <c r="E250" s="18">
        <v>19</v>
      </c>
      <c r="F250" s="18" t="s">
        <v>5042</v>
      </c>
      <c r="G250" s="18" t="s">
        <v>3236</v>
      </c>
      <c r="H250" s="18" t="s">
        <v>3320</v>
      </c>
      <c r="I250" s="18" t="s">
        <v>3932</v>
      </c>
      <c r="J250" s="18" t="s">
        <v>3322</v>
      </c>
      <c r="K250" s="18" t="s">
        <v>3323</v>
      </c>
      <c r="L250" s="18" t="s">
        <v>3246</v>
      </c>
      <c r="M250" s="18" t="s">
        <v>3360</v>
      </c>
      <c r="N250" s="18" t="s">
        <v>3361</v>
      </c>
      <c r="O250" s="18" t="s">
        <v>3362</v>
      </c>
      <c r="P250" s="18" t="s">
        <v>3933</v>
      </c>
    </row>
    <row r="251" spans="1:16" s="91" customFormat="1" ht="24.95" customHeight="1" x14ac:dyDescent="0.25">
      <c r="A251" s="18"/>
      <c r="B251" s="18"/>
      <c r="C251" s="18"/>
      <c r="D251" s="18"/>
      <c r="E251" s="18">
        <v>20</v>
      </c>
      <c r="F251" s="18" t="s">
        <v>5043</v>
      </c>
      <c r="G251" s="18" t="s">
        <v>3237</v>
      </c>
      <c r="H251" s="18" t="s">
        <v>3934</v>
      </c>
      <c r="I251" s="18" t="s">
        <v>3325</v>
      </c>
      <c r="J251" s="18" t="s">
        <v>3326</v>
      </c>
      <c r="K251" s="18" t="s">
        <v>3327</v>
      </c>
      <c r="L251" s="18" t="s">
        <v>3247</v>
      </c>
      <c r="M251" s="18" t="s">
        <v>3364</v>
      </c>
      <c r="N251" s="18" t="s">
        <v>3365</v>
      </c>
      <c r="O251" s="18" t="s">
        <v>3935</v>
      </c>
      <c r="P251" s="18" t="s">
        <v>3367</v>
      </c>
    </row>
    <row r="252" spans="1:16" s="91" customFormat="1" ht="24.95" customHeight="1" x14ac:dyDescent="0.25">
      <c r="A252" s="16"/>
      <c r="B252" s="16"/>
      <c r="C252" s="16">
        <v>1000</v>
      </c>
      <c r="D252" s="16" t="s">
        <v>4053</v>
      </c>
      <c r="E252" s="16">
        <v>1</v>
      </c>
      <c r="F252" s="16" t="s">
        <v>4243</v>
      </c>
      <c r="G252" s="16" t="s">
        <v>4054</v>
      </c>
      <c r="H252" s="16" t="s">
        <v>3940</v>
      </c>
      <c r="I252" s="16" t="s">
        <v>3941</v>
      </c>
      <c r="J252" s="16" t="s">
        <v>4072</v>
      </c>
      <c r="K252" s="16" t="s">
        <v>4071</v>
      </c>
      <c r="L252" s="16"/>
      <c r="M252" s="16"/>
      <c r="N252" s="16"/>
      <c r="O252" s="16"/>
      <c r="P252" s="16"/>
    </row>
    <row r="253" spans="1:16" s="91" customFormat="1" ht="33.75" customHeight="1" x14ac:dyDescent="0.25">
      <c r="A253" s="16"/>
      <c r="B253" s="16"/>
      <c r="C253" s="16"/>
      <c r="D253" s="16" t="s">
        <v>4254</v>
      </c>
      <c r="E253" s="16">
        <v>2</v>
      </c>
      <c r="F253" s="16" t="s">
        <v>4247</v>
      </c>
      <c r="G253" s="16" t="s">
        <v>4048</v>
      </c>
      <c r="H253" s="16" t="s">
        <v>3942</v>
      </c>
      <c r="I253" s="16" t="s">
        <v>3943</v>
      </c>
      <c r="J253" s="16" t="s">
        <v>3944</v>
      </c>
      <c r="K253" s="16" t="s">
        <v>3945</v>
      </c>
      <c r="L253" s="16"/>
      <c r="M253" s="16"/>
      <c r="N253" s="16"/>
      <c r="O253" s="16"/>
      <c r="P253" s="16"/>
    </row>
    <row r="254" spans="1:16" s="91" customFormat="1" ht="24.95" customHeight="1" x14ac:dyDescent="0.25">
      <c r="A254" s="16"/>
      <c r="B254" s="16"/>
      <c r="C254" s="16"/>
      <c r="D254" s="16"/>
      <c r="E254" s="16">
        <v>3</v>
      </c>
      <c r="F254" s="16" t="s">
        <v>4269</v>
      </c>
      <c r="G254" s="16" t="s">
        <v>4055</v>
      </c>
      <c r="H254" s="16" t="s">
        <v>3946</v>
      </c>
      <c r="I254" s="16" t="s">
        <v>3947</v>
      </c>
      <c r="J254" s="16" t="s">
        <v>3948</v>
      </c>
      <c r="K254" s="16" t="s">
        <v>3949</v>
      </c>
      <c r="L254" s="16"/>
      <c r="M254" s="16"/>
      <c r="N254" s="16"/>
      <c r="O254" s="16"/>
      <c r="P254" s="16"/>
    </row>
    <row r="255" spans="1:16" s="91" customFormat="1" ht="24.95" customHeight="1" x14ac:dyDescent="0.25">
      <c r="A255" s="16"/>
      <c r="B255" s="16"/>
      <c r="C255" s="16"/>
      <c r="D255" s="16"/>
      <c r="E255" s="16">
        <v>4</v>
      </c>
      <c r="F255" s="16" t="s">
        <v>4268</v>
      </c>
      <c r="G255" s="16" t="s">
        <v>4056</v>
      </c>
      <c r="H255" s="16" t="s">
        <v>3950</v>
      </c>
      <c r="I255" s="16" t="s">
        <v>3951</v>
      </c>
      <c r="J255" s="16" t="s">
        <v>3952</v>
      </c>
      <c r="K255" s="16" t="s">
        <v>3953</v>
      </c>
      <c r="L255" s="16"/>
      <c r="M255" s="16"/>
      <c r="N255" s="16"/>
      <c r="O255" s="16"/>
      <c r="P255" s="16"/>
    </row>
    <row r="256" spans="1:16" s="91" customFormat="1" ht="24.95" customHeight="1" x14ac:dyDescent="0.25">
      <c r="A256" s="16"/>
      <c r="B256" s="16"/>
      <c r="C256" s="16"/>
      <c r="D256" s="16"/>
      <c r="E256" s="16">
        <v>5</v>
      </c>
      <c r="F256" s="16" t="s">
        <v>4248</v>
      </c>
      <c r="G256" s="16" t="s">
        <v>4047</v>
      </c>
      <c r="H256" s="16" t="s">
        <v>3954</v>
      </c>
      <c r="I256" s="16" t="s">
        <v>3955</v>
      </c>
      <c r="J256" s="16" t="s">
        <v>3956</v>
      </c>
      <c r="K256" s="16" t="s">
        <v>3957</v>
      </c>
      <c r="L256" s="16"/>
      <c r="M256" s="16"/>
      <c r="N256" s="16"/>
      <c r="O256" s="16"/>
      <c r="P256" s="16"/>
    </row>
    <row r="257" spans="1:16" s="91" customFormat="1" ht="24.95" customHeight="1" x14ac:dyDescent="0.25">
      <c r="A257" s="16"/>
      <c r="B257" s="16"/>
      <c r="C257" s="16"/>
      <c r="D257" s="16"/>
      <c r="E257" s="16">
        <v>6</v>
      </c>
      <c r="F257" s="16" t="s">
        <v>4249</v>
      </c>
      <c r="G257" s="16" t="s">
        <v>4057</v>
      </c>
      <c r="H257" s="16" t="s">
        <v>4257</v>
      </c>
      <c r="I257" s="16" t="s">
        <v>3958</v>
      </c>
      <c r="J257" s="16" t="s">
        <v>3959</v>
      </c>
      <c r="K257" s="16" t="s">
        <v>3960</v>
      </c>
      <c r="L257" s="16"/>
      <c r="M257" s="16"/>
      <c r="N257" s="16"/>
      <c r="O257" s="16"/>
      <c r="P257" s="16"/>
    </row>
    <row r="258" spans="1:16" s="91" customFormat="1" ht="24.95" customHeight="1" x14ac:dyDescent="0.25">
      <c r="A258" s="16"/>
      <c r="B258" s="16"/>
      <c r="C258" s="16"/>
      <c r="D258" s="16"/>
      <c r="E258" s="16">
        <v>7</v>
      </c>
      <c r="F258" s="16" t="s">
        <v>4244</v>
      </c>
      <c r="G258" s="16" t="s">
        <v>4049</v>
      </c>
      <c r="H258" s="16" t="s">
        <v>3961</v>
      </c>
      <c r="I258" s="16" t="s">
        <v>3962</v>
      </c>
      <c r="J258" s="16" t="s">
        <v>3963</v>
      </c>
      <c r="K258" s="16" t="s">
        <v>3964</v>
      </c>
      <c r="L258" s="16"/>
      <c r="M258" s="16"/>
      <c r="N258" s="16"/>
      <c r="O258" s="16"/>
      <c r="P258" s="16"/>
    </row>
    <row r="259" spans="1:16" s="91" customFormat="1" ht="24.95" customHeight="1" x14ac:dyDescent="0.25">
      <c r="A259" s="16"/>
      <c r="B259" s="16"/>
      <c r="C259" s="16"/>
      <c r="D259" s="16"/>
      <c r="E259" s="16">
        <v>8</v>
      </c>
      <c r="F259" s="16" t="s">
        <v>4250</v>
      </c>
      <c r="G259" s="16" t="s">
        <v>4050</v>
      </c>
      <c r="H259" s="16" t="s">
        <v>4073</v>
      </c>
      <c r="I259" s="16" t="s">
        <v>3965</v>
      </c>
      <c r="J259" s="16" t="s">
        <v>3966</v>
      </c>
      <c r="K259" s="16" t="s">
        <v>4258</v>
      </c>
      <c r="L259" s="16"/>
      <c r="M259" s="16"/>
      <c r="N259" s="16"/>
      <c r="O259" s="16"/>
      <c r="P259" s="16"/>
    </row>
    <row r="260" spans="1:16" s="91" customFormat="1" ht="24.95" customHeight="1" x14ac:dyDescent="0.25">
      <c r="A260" s="16"/>
      <c r="B260" s="16"/>
      <c r="C260" s="16"/>
      <c r="D260" s="16"/>
      <c r="E260" s="16">
        <v>9</v>
      </c>
      <c r="F260" s="16" t="s">
        <v>4245</v>
      </c>
      <c r="G260" s="16" t="s">
        <v>4058</v>
      </c>
      <c r="H260" s="16" t="s">
        <v>3967</v>
      </c>
      <c r="I260" s="16" t="s">
        <v>4259</v>
      </c>
      <c r="J260" s="16" t="s">
        <v>3968</v>
      </c>
      <c r="K260" s="16" t="s">
        <v>3969</v>
      </c>
      <c r="L260" s="16"/>
      <c r="M260" s="16"/>
      <c r="N260" s="16"/>
      <c r="O260" s="16"/>
      <c r="P260" s="16"/>
    </row>
    <row r="261" spans="1:16" s="91" customFormat="1" ht="24.95" customHeight="1" x14ac:dyDescent="0.25">
      <c r="A261" s="16"/>
      <c r="B261" s="16"/>
      <c r="C261" s="16"/>
      <c r="D261" s="16"/>
      <c r="E261" s="16">
        <v>10</v>
      </c>
      <c r="F261" s="16" t="s">
        <v>4251</v>
      </c>
      <c r="G261" s="16" t="s">
        <v>4059</v>
      </c>
      <c r="H261" s="16" t="s">
        <v>3970</v>
      </c>
      <c r="I261" s="16" t="s">
        <v>3971</v>
      </c>
      <c r="J261" s="16" t="s">
        <v>4074</v>
      </c>
      <c r="K261" s="16" t="s">
        <v>3972</v>
      </c>
      <c r="L261" s="16"/>
      <c r="M261" s="16"/>
      <c r="N261" s="16"/>
      <c r="O261" s="16"/>
      <c r="P261" s="16"/>
    </row>
    <row r="262" spans="1:16" s="91" customFormat="1" ht="24.95" customHeight="1" x14ac:dyDescent="0.25">
      <c r="A262" s="16"/>
      <c r="B262" s="16"/>
      <c r="C262" s="16"/>
      <c r="D262" s="16"/>
      <c r="E262" s="16">
        <v>11</v>
      </c>
      <c r="F262" s="16" t="s">
        <v>4252</v>
      </c>
      <c r="G262" s="16" t="s">
        <v>4060</v>
      </c>
      <c r="H262" s="16" t="s">
        <v>4075</v>
      </c>
      <c r="I262" s="16" t="s">
        <v>3973</v>
      </c>
      <c r="J262" s="16" t="s">
        <v>3974</v>
      </c>
      <c r="K262" s="16" t="s">
        <v>3975</v>
      </c>
      <c r="L262" s="16" t="s">
        <v>4242</v>
      </c>
      <c r="M262" s="16" t="s">
        <v>3976</v>
      </c>
      <c r="N262" s="16" t="s">
        <v>3977</v>
      </c>
      <c r="O262" s="16" t="s">
        <v>3978</v>
      </c>
      <c r="P262" s="16" t="s">
        <v>3979</v>
      </c>
    </row>
    <row r="263" spans="1:16" s="91" customFormat="1" ht="24.95" customHeight="1" x14ac:dyDescent="0.25">
      <c r="A263" s="16"/>
      <c r="B263" s="16"/>
      <c r="C263" s="16"/>
      <c r="D263" s="16"/>
      <c r="E263" s="16">
        <v>12</v>
      </c>
      <c r="F263" s="16" t="s">
        <v>4253</v>
      </c>
      <c r="G263" s="16" t="s">
        <v>4061</v>
      </c>
      <c r="H263" s="16" t="s">
        <v>3980</v>
      </c>
      <c r="I263" s="16" t="s">
        <v>4260</v>
      </c>
      <c r="J263" s="16" t="s">
        <v>3981</v>
      </c>
      <c r="K263" s="16" t="s">
        <v>3982</v>
      </c>
      <c r="L263" s="16" t="s">
        <v>4067</v>
      </c>
      <c r="M263" s="16" t="s">
        <v>3983</v>
      </c>
      <c r="N263" s="16" t="s">
        <v>3984</v>
      </c>
      <c r="O263" s="16" t="s">
        <v>3985</v>
      </c>
      <c r="P263" s="16" t="s">
        <v>3986</v>
      </c>
    </row>
    <row r="264" spans="1:16" s="91" customFormat="1" ht="24.95" customHeight="1" x14ac:dyDescent="0.25">
      <c r="A264" s="16"/>
      <c r="B264" s="16"/>
      <c r="C264" s="16"/>
      <c r="D264" s="16"/>
      <c r="E264" s="16">
        <v>13</v>
      </c>
      <c r="F264" s="16" t="s">
        <v>4267</v>
      </c>
      <c r="G264" s="16" t="s">
        <v>4062</v>
      </c>
      <c r="H264" s="16" t="s">
        <v>3987</v>
      </c>
      <c r="I264" s="16" t="s">
        <v>3988</v>
      </c>
      <c r="J264" s="16" t="s">
        <v>4261</v>
      </c>
      <c r="K264" s="16" t="s">
        <v>3989</v>
      </c>
      <c r="L264" s="16" t="s">
        <v>4076</v>
      </c>
      <c r="M264" s="16" t="s">
        <v>3990</v>
      </c>
      <c r="N264" s="16" t="s">
        <v>3991</v>
      </c>
      <c r="O264" s="16" t="s">
        <v>3992</v>
      </c>
      <c r="P264" s="16" t="s">
        <v>3993</v>
      </c>
    </row>
    <row r="265" spans="1:16" s="91" customFormat="1" ht="24.95" customHeight="1" x14ac:dyDescent="0.25">
      <c r="A265" s="16"/>
      <c r="B265" s="16"/>
      <c r="C265" s="16"/>
      <c r="D265" s="16"/>
      <c r="E265" s="16">
        <v>14</v>
      </c>
      <c r="F265" s="16" t="s">
        <v>4246</v>
      </c>
      <c r="G265" s="16" t="s">
        <v>4063</v>
      </c>
      <c r="H265" s="16" t="s">
        <v>3994</v>
      </c>
      <c r="I265" s="16" t="s">
        <v>3995</v>
      </c>
      <c r="J265" s="16" t="s">
        <v>3996</v>
      </c>
      <c r="K265" s="16" t="s">
        <v>3997</v>
      </c>
      <c r="L265" s="16" t="s">
        <v>4077</v>
      </c>
      <c r="M265" s="16" t="s">
        <v>3998</v>
      </c>
      <c r="N265" s="16" t="s">
        <v>3999</v>
      </c>
      <c r="O265" s="16" t="s">
        <v>4000</v>
      </c>
      <c r="P265" s="16" t="s">
        <v>4001</v>
      </c>
    </row>
    <row r="266" spans="1:16" s="91" customFormat="1" ht="24.95" customHeight="1" x14ac:dyDescent="0.25">
      <c r="A266" s="16"/>
      <c r="B266" s="16"/>
      <c r="C266" s="16"/>
      <c r="D266" s="16"/>
      <c r="E266" s="16">
        <v>15</v>
      </c>
      <c r="F266" s="16" t="s">
        <v>4266</v>
      </c>
      <c r="G266" s="16" t="s">
        <v>4064</v>
      </c>
      <c r="H266" s="16" t="s">
        <v>4002</v>
      </c>
      <c r="I266" s="16" t="s">
        <v>4003</v>
      </c>
      <c r="J266" s="16" t="s">
        <v>4004</v>
      </c>
      <c r="K266" s="16" t="s">
        <v>4005</v>
      </c>
      <c r="L266" s="16" t="s">
        <v>4051</v>
      </c>
      <c r="M266" s="16" t="s">
        <v>4006</v>
      </c>
      <c r="N266" s="16" t="s">
        <v>4007</v>
      </c>
      <c r="O266" s="16" t="s">
        <v>4008</v>
      </c>
      <c r="P266" s="16" t="s">
        <v>4009</v>
      </c>
    </row>
    <row r="267" spans="1:16" s="91" customFormat="1" ht="24.95" customHeight="1" x14ac:dyDescent="0.25">
      <c r="A267" s="16"/>
      <c r="B267" s="16"/>
      <c r="C267" s="16"/>
      <c r="D267" s="16"/>
      <c r="E267" s="16">
        <v>16</v>
      </c>
      <c r="F267" s="16" t="s">
        <v>4270</v>
      </c>
      <c r="G267" s="16" t="s">
        <v>4065</v>
      </c>
      <c r="H267" s="16" t="s">
        <v>4078</v>
      </c>
      <c r="I267" s="16" t="s">
        <v>4010</v>
      </c>
      <c r="J267" s="16" t="s">
        <v>4011</v>
      </c>
      <c r="K267" s="16" t="s">
        <v>4012</v>
      </c>
      <c r="L267" s="16" t="s">
        <v>4068</v>
      </c>
      <c r="M267" s="16" t="s">
        <v>4013</v>
      </c>
      <c r="N267" s="16" t="s">
        <v>4079</v>
      </c>
      <c r="O267" s="16" t="s">
        <v>4014</v>
      </c>
      <c r="P267" s="16" t="s">
        <v>4015</v>
      </c>
    </row>
    <row r="268" spans="1:16" s="91" customFormat="1" ht="24.95" customHeight="1" x14ac:dyDescent="0.25">
      <c r="A268" s="16"/>
      <c r="B268" s="16"/>
      <c r="C268" s="16"/>
      <c r="D268" s="16"/>
      <c r="E268" s="16">
        <v>17</v>
      </c>
      <c r="F268" s="16" t="s">
        <v>4255</v>
      </c>
      <c r="G268" s="16" t="s">
        <v>4262</v>
      </c>
      <c r="H268" s="16" t="s">
        <v>4080</v>
      </c>
      <c r="I268" s="16" t="s">
        <v>4016</v>
      </c>
      <c r="J268" s="16" t="s">
        <v>4017</v>
      </c>
      <c r="K268" s="16" t="s">
        <v>4018</v>
      </c>
      <c r="L268" s="16" t="s">
        <v>4069</v>
      </c>
      <c r="M268" s="16" t="s">
        <v>4019</v>
      </c>
      <c r="N268" s="16" t="s">
        <v>4020</v>
      </c>
      <c r="O268" s="16" t="s">
        <v>4021</v>
      </c>
      <c r="P268" s="16" t="s">
        <v>4022</v>
      </c>
    </row>
    <row r="269" spans="1:16" s="91" customFormat="1" ht="24.95" customHeight="1" x14ac:dyDescent="0.25">
      <c r="A269" s="16"/>
      <c r="B269" s="16"/>
      <c r="C269" s="16"/>
      <c r="D269" s="16"/>
      <c r="E269" s="16">
        <v>18</v>
      </c>
      <c r="F269" s="16" t="s">
        <v>4271</v>
      </c>
      <c r="G269" s="16" t="s">
        <v>4263</v>
      </c>
      <c r="H269" s="16" t="s">
        <v>4023</v>
      </c>
      <c r="I269" s="16" t="s">
        <v>4024</v>
      </c>
      <c r="J269" s="16" t="s">
        <v>4025</v>
      </c>
      <c r="K269" s="16" t="s">
        <v>4026</v>
      </c>
      <c r="L269" s="16" t="s">
        <v>4070</v>
      </c>
      <c r="M269" s="16" t="s">
        <v>4027</v>
      </c>
      <c r="N269" s="16" t="s">
        <v>4028</v>
      </c>
      <c r="O269" s="16" t="s">
        <v>4029</v>
      </c>
      <c r="P269" s="16" t="s">
        <v>4030</v>
      </c>
    </row>
    <row r="270" spans="1:16" s="91" customFormat="1" ht="24.95" customHeight="1" x14ac:dyDescent="0.25">
      <c r="A270" s="16"/>
      <c r="B270" s="16"/>
      <c r="C270" s="16"/>
      <c r="D270" s="16"/>
      <c r="E270" s="16">
        <v>19</v>
      </c>
      <c r="F270" s="16" t="s">
        <v>4256</v>
      </c>
      <c r="G270" s="16" t="s">
        <v>4264</v>
      </c>
      <c r="H270" s="16" t="s">
        <v>4031</v>
      </c>
      <c r="I270" s="16" t="s">
        <v>4032</v>
      </c>
      <c r="J270" s="16" t="s">
        <v>4033</v>
      </c>
      <c r="K270" s="16" t="s">
        <v>4034</v>
      </c>
      <c r="L270" s="16" t="s">
        <v>4052</v>
      </c>
      <c r="M270" s="16" t="s">
        <v>4035</v>
      </c>
      <c r="N270" s="16" t="s">
        <v>4036</v>
      </c>
      <c r="O270" s="16" t="s">
        <v>4037</v>
      </c>
      <c r="P270" s="16" t="s">
        <v>4038</v>
      </c>
    </row>
    <row r="271" spans="1:16" s="91" customFormat="1" ht="24.95" customHeight="1" x14ac:dyDescent="0.25">
      <c r="A271" s="16"/>
      <c r="B271" s="16"/>
      <c r="C271" s="16"/>
      <c r="D271" s="16"/>
      <c r="E271" s="16">
        <v>20</v>
      </c>
      <c r="F271" s="16" t="s">
        <v>4265</v>
      </c>
      <c r="G271" s="16" t="s">
        <v>4066</v>
      </c>
      <c r="H271" s="16" t="s">
        <v>4039</v>
      </c>
      <c r="I271" s="16" t="s">
        <v>4040</v>
      </c>
      <c r="J271" s="16" t="s">
        <v>4041</v>
      </c>
      <c r="K271" s="16" t="s">
        <v>4042</v>
      </c>
      <c r="L271" s="16" t="s">
        <v>4081</v>
      </c>
      <c r="M271" s="16" t="s">
        <v>4043</v>
      </c>
      <c r="N271" s="16" t="s">
        <v>4044</v>
      </c>
      <c r="O271" s="16" t="s">
        <v>4045</v>
      </c>
      <c r="P271" s="16" t="s">
        <v>4046</v>
      </c>
    </row>
    <row r="272" spans="1:16" s="91" customFormat="1" ht="15" customHeight="1" x14ac:dyDescent="0.25">
      <c r="A272" s="100"/>
      <c r="B272" s="100"/>
      <c r="C272" s="100">
        <v>103</v>
      </c>
      <c r="D272" s="100" t="s">
        <v>5874</v>
      </c>
      <c r="E272" s="100">
        <v>1</v>
      </c>
      <c r="F272" s="100" t="s">
        <v>5875</v>
      </c>
      <c r="G272" s="100" t="s">
        <v>5905</v>
      </c>
      <c r="H272" s="100" t="s">
        <v>5906</v>
      </c>
      <c r="I272" s="100" t="s">
        <v>5907</v>
      </c>
      <c r="J272" s="100" t="s">
        <v>5908</v>
      </c>
      <c r="K272" s="100" t="s">
        <v>5909</v>
      </c>
      <c r="L272" s="95"/>
      <c r="M272" s="95"/>
      <c r="N272" s="95"/>
      <c r="O272" s="95"/>
      <c r="P272" s="95"/>
    </row>
    <row r="273" spans="1:16" s="91" customFormat="1" ht="15" customHeight="1" x14ac:dyDescent="0.25">
      <c r="A273" s="100"/>
      <c r="B273" s="100"/>
      <c r="C273" s="100"/>
      <c r="D273" s="101" t="s">
        <v>7991</v>
      </c>
      <c r="E273" s="100">
        <v>2</v>
      </c>
      <c r="F273" s="100" t="s">
        <v>5876</v>
      </c>
      <c r="G273" s="100" t="s">
        <v>5910</v>
      </c>
      <c r="H273" s="100" t="s">
        <v>5911</v>
      </c>
      <c r="I273" s="100" t="s">
        <v>5912</v>
      </c>
      <c r="J273" s="100" t="s">
        <v>5913</v>
      </c>
      <c r="K273" s="100" t="s">
        <v>5914</v>
      </c>
      <c r="L273" s="95"/>
      <c r="M273" s="95"/>
      <c r="N273" s="95"/>
      <c r="O273" s="95"/>
      <c r="P273" s="95"/>
    </row>
    <row r="274" spans="1:16" s="91" customFormat="1" ht="15" customHeight="1" x14ac:dyDescent="0.25">
      <c r="A274" s="100"/>
      <c r="B274" s="100"/>
      <c r="C274" s="100"/>
      <c r="D274" s="100" t="s">
        <v>359</v>
      </c>
      <c r="E274" s="100">
        <v>3</v>
      </c>
      <c r="F274" s="100" t="s">
        <v>5877</v>
      </c>
      <c r="G274" s="100" t="s">
        <v>5915</v>
      </c>
      <c r="H274" s="100" t="s">
        <v>5916</v>
      </c>
      <c r="I274" s="100" t="s">
        <v>5917</v>
      </c>
      <c r="J274" s="100" t="s">
        <v>5918</v>
      </c>
      <c r="K274" s="100" t="s">
        <v>5919</v>
      </c>
      <c r="L274" s="95"/>
      <c r="M274" s="95"/>
      <c r="N274" s="95"/>
      <c r="O274" s="95"/>
      <c r="P274" s="95"/>
    </row>
    <row r="275" spans="1:16" s="91" customFormat="1" ht="15" customHeight="1" x14ac:dyDescent="0.25">
      <c r="A275" s="100"/>
      <c r="B275" s="100"/>
      <c r="C275" s="100"/>
      <c r="D275" s="100"/>
      <c r="E275" s="100">
        <v>4</v>
      </c>
      <c r="F275" s="100" t="s">
        <v>5878</v>
      </c>
      <c r="G275" s="100" t="s">
        <v>5920</v>
      </c>
      <c r="H275" s="100" t="s">
        <v>5921</v>
      </c>
      <c r="I275" s="100" t="s">
        <v>5922</v>
      </c>
      <c r="J275" s="100" t="s">
        <v>5923</v>
      </c>
      <c r="K275" s="100" t="s">
        <v>5924</v>
      </c>
      <c r="L275" s="95"/>
      <c r="M275" s="95"/>
      <c r="N275" s="95"/>
      <c r="O275" s="95"/>
      <c r="P275" s="95"/>
    </row>
    <row r="276" spans="1:16" s="91" customFormat="1" ht="15" customHeight="1" x14ac:dyDescent="0.25">
      <c r="A276" s="100"/>
      <c r="B276" s="100"/>
      <c r="C276" s="100"/>
      <c r="D276" s="100"/>
      <c r="E276" s="100">
        <v>5</v>
      </c>
      <c r="F276" s="100" t="s">
        <v>5879</v>
      </c>
      <c r="G276" s="100" t="s">
        <v>5925</v>
      </c>
      <c r="H276" s="100" t="s">
        <v>5926</v>
      </c>
      <c r="I276" s="100" t="s">
        <v>5927</v>
      </c>
      <c r="J276" s="100" t="s">
        <v>5928</v>
      </c>
      <c r="K276" s="100" t="s">
        <v>5929</v>
      </c>
      <c r="L276" s="95"/>
      <c r="M276" s="95"/>
      <c r="N276" s="95"/>
      <c r="O276" s="95"/>
      <c r="P276" s="95"/>
    </row>
    <row r="277" spans="1:16" s="91" customFormat="1" ht="15" customHeight="1" x14ac:dyDescent="0.25">
      <c r="A277" s="100"/>
      <c r="B277" s="100"/>
      <c r="C277" s="100"/>
      <c r="D277" s="100"/>
      <c r="E277" s="100">
        <v>6</v>
      </c>
      <c r="F277" s="100" t="s">
        <v>5880</v>
      </c>
      <c r="G277" s="100" t="s">
        <v>5930</v>
      </c>
      <c r="H277" s="100" t="s">
        <v>5931</v>
      </c>
      <c r="I277" s="100" t="s">
        <v>5932</v>
      </c>
      <c r="J277" s="100" t="s">
        <v>5933</v>
      </c>
      <c r="K277" s="100" t="s">
        <v>5934</v>
      </c>
      <c r="L277" s="95"/>
      <c r="M277" s="95"/>
      <c r="N277" s="95"/>
      <c r="O277" s="95"/>
      <c r="P277" s="95"/>
    </row>
    <row r="278" spans="1:16" s="91" customFormat="1" ht="15" customHeight="1" x14ac:dyDescent="0.25">
      <c r="A278" s="100"/>
      <c r="B278" s="100"/>
      <c r="C278" s="100"/>
      <c r="D278" s="100"/>
      <c r="E278" s="100">
        <v>7</v>
      </c>
      <c r="F278" s="100" t="s">
        <v>5881</v>
      </c>
      <c r="G278" s="100" t="s">
        <v>5935</v>
      </c>
      <c r="H278" s="100" t="s">
        <v>5936</v>
      </c>
      <c r="I278" s="100" t="s">
        <v>5937</v>
      </c>
      <c r="J278" s="100" t="s">
        <v>5938</v>
      </c>
      <c r="K278" s="100" t="s">
        <v>5939</v>
      </c>
      <c r="L278" s="95"/>
      <c r="M278" s="95"/>
      <c r="N278" s="95"/>
      <c r="O278" s="95"/>
      <c r="P278" s="95"/>
    </row>
    <row r="279" spans="1:16" s="91" customFormat="1" ht="15" customHeight="1" x14ac:dyDescent="0.25">
      <c r="A279" s="100"/>
      <c r="B279" s="100"/>
      <c r="C279" s="100"/>
      <c r="D279" s="100"/>
      <c r="E279" s="100">
        <v>8</v>
      </c>
      <c r="F279" s="100" t="s">
        <v>5882</v>
      </c>
      <c r="G279" s="100" t="s">
        <v>5940</v>
      </c>
      <c r="H279" s="100" t="s">
        <v>5941</v>
      </c>
      <c r="I279" s="100" t="s">
        <v>5942</v>
      </c>
      <c r="J279" s="100" t="s">
        <v>5943</v>
      </c>
      <c r="K279" s="100" t="s">
        <v>5944</v>
      </c>
      <c r="L279" s="95"/>
      <c r="M279" s="95"/>
      <c r="N279" s="95"/>
      <c r="O279" s="95"/>
      <c r="P279" s="95"/>
    </row>
    <row r="280" spans="1:16" s="91" customFormat="1" ht="15" customHeight="1" x14ac:dyDescent="0.25">
      <c r="A280" s="100"/>
      <c r="B280" s="100"/>
      <c r="C280" s="100"/>
      <c r="D280" s="100"/>
      <c r="E280" s="100">
        <v>9</v>
      </c>
      <c r="F280" s="100" t="s">
        <v>5883</v>
      </c>
      <c r="G280" s="100" t="s">
        <v>5945</v>
      </c>
      <c r="H280" s="100" t="s">
        <v>5946</v>
      </c>
      <c r="I280" s="100" t="s">
        <v>5947</v>
      </c>
      <c r="J280" s="100" t="s">
        <v>5948</v>
      </c>
      <c r="K280" s="100" t="s">
        <v>5949</v>
      </c>
      <c r="L280" s="95"/>
      <c r="M280" s="95"/>
      <c r="N280" s="95"/>
      <c r="O280" s="95"/>
      <c r="P280" s="95"/>
    </row>
    <row r="281" spans="1:16" s="91" customFormat="1" ht="15" customHeight="1" x14ac:dyDescent="0.25">
      <c r="A281" s="100"/>
      <c r="B281" s="100"/>
      <c r="C281" s="100"/>
      <c r="D281" s="100"/>
      <c r="E281" s="100">
        <v>10</v>
      </c>
      <c r="F281" s="100" t="s">
        <v>5884</v>
      </c>
      <c r="G281" s="100" t="s">
        <v>5950</v>
      </c>
      <c r="H281" s="100" t="s">
        <v>5951</v>
      </c>
      <c r="I281" s="100" t="s">
        <v>5952</v>
      </c>
      <c r="J281" s="100" t="s">
        <v>5953</v>
      </c>
      <c r="K281" s="100" t="s">
        <v>5954</v>
      </c>
      <c r="L281" s="95"/>
      <c r="M281" s="95"/>
      <c r="N281" s="95"/>
      <c r="O281" s="95"/>
      <c r="P281" s="95"/>
    </row>
    <row r="282" spans="1:16" s="91" customFormat="1" ht="15" customHeight="1" x14ac:dyDescent="0.25">
      <c r="A282" s="100"/>
      <c r="B282" s="100"/>
      <c r="C282" s="100"/>
      <c r="D282" s="100"/>
      <c r="E282" s="100">
        <v>11</v>
      </c>
      <c r="F282" s="100" t="s">
        <v>5885</v>
      </c>
      <c r="G282" s="100" t="s">
        <v>5955</v>
      </c>
      <c r="H282" s="100" t="s">
        <v>5956</v>
      </c>
      <c r="I282" s="100" t="s">
        <v>5957</v>
      </c>
      <c r="J282" s="100" t="s">
        <v>5958</v>
      </c>
      <c r="K282" s="100" t="s">
        <v>5959</v>
      </c>
      <c r="L282" s="95"/>
      <c r="M282" s="95"/>
      <c r="N282" s="95"/>
      <c r="O282" s="95"/>
      <c r="P282" s="95"/>
    </row>
    <row r="283" spans="1:16" s="91" customFormat="1" ht="15" customHeight="1" x14ac:dyDescent="0.25">
      <c r="A283" s="100"/>
      <c r="B283" s="100"/>
      <c r="C283" s="100"/>
      <c r="D283" s="100"/>
      <c r="E283" s="100">
        <v>12</v>
      </c>
      <c r="F283" s="100" t="s">
        <v>5886</v>
      </c>
      <c r="G283" s="100" t="s">
        <v>5960</v>
      </c>
      <c r="H283" s="100" t="s">
        <v>5961</v>
      </c>
      <c r="I283" s="100" t="s">
        <v>5962</v>
      </c>
      <c r="J283" s="100" t="s">
        <v>5963</v>
      </c>
      <c r="K283" s="100" t="s">
        <v>5964</v>
      </c>
      <c r="L283" s="95"/>
      <c r="M283" s="95"/>
      <c r="N283" s="95"/>
      <c r="O283" s="95"/>
      <c r="P283" s="95"/>
    </row>
    <row r="284" spans="1:16" s="91" customFormat="1" ht="15" customHeight="1" x14ac:dyDescent="0.25">
      <c r="A284" s="100"/>
      <c r="B284" s="100"/>
      <c r="C284" s="100"/>
      <c r="D284" s="100"/>
      <c r="E284" s="100">
        <v>13</v>
      </c>
      <c r="F284" s="100" t="s">
        <v>5887</v>
      </c>
      <c r="G284" s="100" t="s">
        <v>5965</v>
      </c>
      <c r="H284" s="100" t="s">
        <v>5966</v>
      </c>
      <c r="I284" s="100" t="s">
        <v>5967</v>
      </c>
      <c r="J284" s="100" t="s">
        <v>5968</v>
      </c>
      <c r="K284" s="100" t="s">
        <v>5969</v>
      </c>
      <c r="L284" s="95"/>
      <c r="M284" s="95"/>
      <c r="N284" s="95"/>
      <c r="O284" s="95"/>
      <c r="P284" s="95"/>
    </row>
    <row r="285" spans="1:16" s="91" customFormat="1" ht="15" customHeight="1" x14ac:dyDescent="0.25">
      <c r="A285" s="100"/>
      <c r="B285" s="100"/>
      <c r="C285" s="100"/>
      <c r="D285" s="100"/>
      <c r="E285" s="100">
        <v>14</v>
      </c>
      <c r="F285" s="100" t="s">
        <v>5888</v>
      </c>
      <c r="G285" s="100" t="s">
        <v>5970</v>
      </c>
      <c r="H285" s="100" t="s">
        <v>5971</v>
      </c>
      <c r="I285" s="100" t="s">
        <v>5972</v>
      </c>
      <c r="J285" s="100" t="s">
        <v>5973</v>
      </c>
      <c r="K285" s="100" t="s">
        <v>5974</v>
      </c>
      <c r="L285" s="95"/>
      <c r="M285" s="95"/>
      <c r="N285" s="95"/>
      <c r="O285" s="95"/>
      <c r="P285" s="95"/>
    </row>
    <row r="286" spans="1:16" s="91" customFormat="1" ht="15" customHeight="1" x14ac:dyDescent="0.25">
      <c r="A286" s="100"/>
      <c r="B286" s="100"/>
      <c r="C286" s="100"/>
      <c r="D286" s="100"/>
      <c r="E286" s="100">
        <v>15</v>
      </c>
      <c r="F286" s="100" t="s">
        <v>5889</v>
      </c>
      <c r="G286" s="100" t="s">
        <v>5975</v>
      </c>
      <c r="H286" s="100" t="s">
        <v>5976</v>
      </c>
      <c r="I286" s="100" t="s">
        <v>5977</v>
      </c>
      <c r="J286" s="100" t="s">
        <v>5978</v>
      </c>
      <c r="K286" s="100" t="s">
        <v>5979</v>
      </c>
      <c r="L286" s="95"/>
      <c r="M286" s="95"/>
      <c r="N286" s="95"/>
      <c r="O286" s="95"/>
      <c r="P286" s="95"/>
    </row>
    <row r="287" spans="1:16" s="91" customFormat="1" ht="15" customHeight="1" x14ac:dyDescent="0.25">
      <c r="A287" s="100"/>
      <c r="B287" s="100"/>
      <c r="C287" s="100"/>
      <c r="D287" s="100"/>
      <c r="E287" s="100">
        <v>16</v>
      </c>
      <c r="F287" s="100" t="s">
        <v>5890</v>
      </c>
      <c r="G287" s="100" t="s">
        <v>5980</v>
      </c>
      <c r="H287" s="100" t="s">
        <v>5981</v>
      </c>
      <c r="I287" s="100" t="s">
        <v>5982</v>
      </c>
      <c r="J287" s="100" t="s">
        <v>5983</v>
      </c>
      <c r="K287" s="100" t="s">
        <v>5984</v>
      </c>
      <c r="L287" s="95"/>
      <c r="M287" s="95"/>
      <c r="N287" s="95"/>
      <c r="O287" s="95"/>
      <c r="P287" s="95"/>
    </row>
    <row r="288" spans="1:16" s="91" customFormat="1" ht="15" customHeight="1" x14ac:dyDescent="0.25">
      <c r="A288" s="100"/>
      <c r="B288" s="100"/>
      <c r="C288" s="100"/>
      <c r="D288" s="100"/>
      <c r="E288" s="100">
        <v>17</v>
      </c>
      <c r="F288" s="100" t="s">
        <v>5891</v>
      </c>
      <c r="G288" s="100" t="s">
        <v>5985</v>
      </c>
      <c r="H288" s="100" t="s">
        <v>5986</v>
      </c>
      <c r="I288" s="100" t="s">
        <v>5987</v>
      </c>
      <c r="J288" s="100" t="s">
        <v>5988</v>
      </c>
      <c r="K288" s="100" t="s">
        <v>5989</v>
      </c>
      <c r="L288" s="95"/>
      <c r="M288" s="95"/>
      <c r="N288" s="95"/>
      <c r="O288" s="95"/>
      <c r="P288" s="95"/>
    </row>
    <row r="289" spans="1:16" s="91" customFormat="1" ht="15" customHeight="1" x14ac:dyDescent="0.25">
      <c r="A289" s="100"/>
      <c r="B289" s="100"/>
      <c r="C289" s="100"/>
      <c r="D289" s="100"/>
      <c r="E289" s="100">
        <v>18</v>
      </c>
      <c r="F289" s="100" t="s">
        <v>5892</v>
      </c>
      <c r="G289" s="100" t="s">
        <v>5990</v>
      </c>
      <c r="H289" s="100" t="s">
        <v>5991</v>
      </c>
      <c r="I289" s="100" t="s">
        <v>5992</v>
      </c>
      <c r="J289" s="100" t="s">
        <v>5993</v>
      </c>
      <c r="K289" s="100" t="s">
        <v>5994</v>
      </c>
      <c r="L289" s="95"/>
      <c r="M289" s="95"/>
      <c r="N289" s="95"/>
      <c r="O289" s="95"/>
      <c r="P289" s="95"/>
    </row>
    <row r="290" spans="1:16" s="91" customFormat="1" ht="15" customHeight="1" x14ac:dyDescent="0.25">
      <c r="A290" s="100"/>
      <c r="B290" s="100"/>
      <c r="C290" s="100"/>
      <c r="D290" s="100"/>
      <c r="E290" s="100">
        <v>19</v>
      </c>
      <c r="F290" s="100" t="s">
        <v>5893</v>
      </c>
      <c r="G290" s="100" t="s">
        <v>5995</v>
      </c>
      <c r="H290" s="100" t="s">
        <v>5996</v>
      </c>
      <c r="I290" s="100" t="s">
        <v>5997</v>
      </c>
      <c r="J290" s="100" t="s">
        <v>5998</v>
      </c>
      <c r="K290" s="100" t="s">
        <v>5999</v>
      </c>
      <c r="L290" s="95"/>
      <c r="M290" s="95"/>
      <c r="N290" s="95"/>
      <c r="O290" s="95"/>
      <c r="P290" s="95"/>
    </row>
    <row r="291" spans="1:16" s="91" customFormat="1" ht="15" customHeight="1" x14ac:dyDescent="0.25">
      <c r="A291" s="100"/>
      <c r="B291" s="100"/>
      <c r="C291" s="100"/>
      <c r="D291" s="100"/>
      <c r="E291" s="100">
        <v>20</v>
      </c>
      <c r="F291" s="100" t="s">
        <v>5894</v>
      </c>
      <c r="G291" s="100" t="s">
        <v>6000</v>
      </c>
      <c r="H291" s="100" t="s">
        <v>6001</v>
      </c>
      <c r="I291" s="100" t="s">
        <v>6002</v>
      </c>
      <c r="J291" s="100" t="s">
        <v>6003</v>
      </c>
      <c r="K291" s="100" t="s">
        <v>6004</v>
      </c>
      <c r="L291" s="95"/>
      <c r="M291" s="95"/>
      <c r="N291" s="95"/>
      <c r="O291" s="95"/>
      <c r="P291" s="95"/>
    </row>
    <row r="292" spans="1:16" s="91" customFormat="1" ht="15" customHeight="1" x14ac:dyDescent="0.25">
      <c r="A292" s="100"/>
      <c r="B292" s="100"/>
      <c r="C292" s="100"/>
      <c r="D292" s="100"/>
      <c r="E292" s="100">
        <v>21</v>
      </c>
      <c r="F292" s="100" t="s">
        <v>5895</v>
      </c>
      <c r="G292" s="100" t="s">
        <v>6005</v>
      </c>
      <c r="H292" s="100" t="s">
        <v>6006</v>
      </c>
      <c r="I292" s="100" t="s">
        <v>6007</v>
      </c>
      <c r="J292" s="100" t="s">
        <v>6008</v>
      </c>
      <c r="K292" s="100" t="s">
        <v>6009</v>
      </c>
      <c r="L292" s="95"/>
      <c r="M292" s="95"/>
      <c r="N292" s="95"/>
      <c r="O292" s="95"/>
      <c r="P292" s="95"/>
    </row>
    <row r="293" spans="1:16" s="91" customFormat="1" ht="15" customHeight="1" x14ac:dyDescent="0.25">
      <c r="A293" s="100"/>
      <c r="B293" s="100"/>
      <c r="C293" s="100"/>
      <c r="D293" s="100"/>
      <c r="E293" s="100">
        <v>22</v>
      </c>
      <c r="F293" s="100" t="s">
        <v>5896</v>
      </c>
      <c r="G293" s="100" t="s">
        <v>6010</v>
      </c>
      <c r="H293" s="100" t="s">
        <v>6011</v>
      </c>
      <c r="I293" s="100" t="s">
        <v>6012</v>
      </c>
      <c r="J293" s="100" t="s">
        <v>6013</v>
      </c>
      <c r="K293" s="100" t="s">
        <v>6014</v>
      </c>
      <c r="L293" s="95"/>
      <c r="M293" s="95"/>
      <c r="N293" s="95"/>
      <c r="O293" s="95"/>
      <c r="P293" s="95"/>
    </row>
    <row r="294" spans="1:16" s="91" customFormat="1" ht="15" customHeight="1" x14ac:dyDescent="0.25">
      <c r="A294" s="100"/>
      <c r="B294" s="100"/>
      <c r="C294" s="100"/>
      <c r="D294" s="100"/>
      <c r="E294" s="100">
        <v>23</v>
      </c>
      <c r="F294" s="100" t="s">
        <v>5897</v>
      </c>
      <c r="G294" s="100" t="s">
        <v>6015</v>
      </c>
      <c r="H294" s="100" t="s">
        <v>6016</v>
      </c>
      <c r="I294" s="100" t="s">
        <v>6017</v>
      </c>
      <c r="J294" s="100" t="s">
        <v>6018</v>
      </c>
      <c r="K294" s="100" t="s">
        <v>6019</v>
      </c>
      <c r="L294" s="95"/>
      <c r="M294" s="95"/>
      <c r="N294" s="95"/>
      <c r="O294" s="95"/>
      <c r="P294" s="95"/>
    </row>
    <row r="295" spans="1:16" s="91" customFormat="1" ht="15" customHeight="1" x14ac:dyDescent="0.25">
      <c r="A295" s="100"/>
      <c r="B295" s="100"/>
      <c r="C295" s="100"/>
      <c r="D295" s="100"/>
      <c r="E295" s="100">
        <v>24</v>
      </c>
      <c r="F295" s="100" t="s">
        <v>5898</v>
      </c>
      <c r="G295" s="100" t="s">
        <v>6020</v>
      </c>
      <c r="H295" s="100" t="s">
        <v>6021</v>
      </c>
      <c r="I295" s="100" t="s">
        <v>6022</v>
      </c>
      <c r="J295" s="100" t="s">
        <v>6023</v>
      </c>
      <c r="K295" s="100" t="s">
        <v>6024</v>
      </c>
      <c r="L295" s="95"/>
      <c r="M295" s="95"/>
      <c r="N295" s="95"/>
      <c r="O295" s="95"/>
      <c r="P295" s="95"/>
    </row>
    <row r="296" spans="1:16" s="91" customFormat="1" ht="15" customHeight="1" x14ac:dyDescent="0.25">
      <c r="A296" s="100"/>
      <c r="B296" s="100"/>
      <c r="C296" s="100"/>
      <c r="D296" s="100"/>
      <c r="E296" s="100">
        <v>25</v>
      </c>
      <c r="F296" s="100" t="s">
        <v>5899</v>
      </c>
      <c r="G296" s="100" t="s">
        <v>6025</v>
      </c>
      <c r="H296" s="100" t="s">
        <v>6026</v>
      </c>
      <c r="I296" s="100" t="s">
        <v>6027</v>
      </c>
      <c r="J296" s="100" t="s">
        <v>6028</v>
      </c>
      <c r="K296" s="100" t="s">
        <v>6029</v>
      </c>
      <c r="L296" s="95"/>
      <c r="M296" s="95"/>
      <c r="N296" s="95"/>
      <c r="O296" s="95"/>
      <c r="P296" s="95"/>
    </row>
    <row r="297" spans="1:16" s="91" customFormat="1" ht="15" customHeight="1" x14ac:dyDescent="0.25">
      <c r="A297" s="100"/>
      <c r="B297" s="100"/>
      <c r="C297" s="100"/>
      <c r="D297" s="100"/>
      <c r="E297" s="100">
        <v>26</v>
      </c>
      <c r="F297" s="100" t="s">
        <v>5900</v>
      </c>
      <c r="G297" s="100" t="s">
        <v>6030</v>
      </c>
      <c r="H297" s="100" t="s">
        <v>6031</v>
      </c>
      <c r="I297" s="100" t="s">
        <v>6032</v>
      </c>
      <c r="J297" s="100" t="s">
        <v>6033</v>
      </c>
      <c r="K297" s="100" t="s">
        <v>6034</v>
      </c>
      <c r="L297" s="95"/>
      <c r="M297" s="95"/>
      <c r="N297" s="95"/>
      <c r="O297" s="95"/>
      <c r="P297" s="95"/>
    </row>
    <row r="298" spans="1:16" s="91" customFormat="1" ht="15" customHeight="1" x14ac:dyDescent="0.25">
      <c r="A298" s="100"/>
      <c r="B298" s="100"/>
      <c r="C298" s="100"/>
      <c r="D298" s="100"/>
      <c r="E298" s="100">
        <v>27</v>
      </c>
      <c r="F298" s="100" t="s">
        <v>5901</v>
      </c>
      <c r="G298" s="100" t="s">
        <v>6035</v>
      </c>
      <c r="H298" s="100" t="s">
        <v>6036</v>
      </c>
      <c r="I298" s="100" t="s">
        <v>6037</v>
      </c>
      <c r="J298" s="100" t="s">
        <v>6038</v>
      </c>
      <c r="K298" s="100" t="s">
        <v>6039</v>
      </c>
      <c r="L298" s="95"/>
      <c r="M298" s="95"/>
      <c r="N298" s="95"/>
      <c r="O298" s="95"/>
      <c r="P298" s="95"/>
    </row>
    <row r="299" spans="1:16" s="91" customFormat="1" ht="15" customHeight="1" x14ac:dyDescent="0.25">
      <c r="A299" s="100"/>
      <c r="B299" s="100"/>
      <c r="C299" s="100"/>
      <c r="D299" s="100"/>
      <c r="E299" s="100">
        <v>28</v>
      </c>
      <c r="F299" s="100" t="s">
        <v>5902</v>
      </c>
      <c r="G299" s="100" t="s">
        <v>6040</v>
      </c>
      <c r="H299" s="100" t="s">
        <v>6041</v>
      </c>
      <c r="I299" s="100" t="s">
        <v>6042</v>
      </c>
      <c r="J299" s="100" t="s">
        <v>6043</v>
      </c>
      <c r="K299" s="100" t="s">
        <v>6044</v>
      </c>
      <c r="L299" s="95"/>
      <c r="M299" s="95"/>
      <c r="N299" s="95"/>
      <c r="O299" s="95"/>
      <c r="P299" s="95"/>
    </row>
    <row r="300" spans="1:16" s="91" customFormat="1" ht="15" customHeight="1" x14ac:dyDescent="0.25">
      <c r="A300" s="100"/>
      <c r="B300" s="100"/>
      <c r="C300" s="100"/>
      <c r="D300" s="100"/>
      <c r="E300" s="100">
        <v>29</v>
      </c>
      <c r="F300" s="100" t="s">
        <v>5903</v>
      </c>
      <c r="G300" s="100" t="s">
        <v>6045</v>
      </c>
      <c r="H300" s="100" t="s">
        <v>6046</v>
      </c>
      <c r="I300" s="100" t="s">
        <v>6047</v>
      </c>
      <c r="J300" s="100" t="s">
        <v>6048</v>
      </c>
      <c r="K300" s="100" t="s">
        <v>6049</v>
      </c>
      <c r="L300" s="95"/>
      <c r="M300" s="95"/>
      <c r="N300" s="95"/>
      <c r="O300" s="95"/>
      <c r="P300" s="95"/>
    </row>
    <row r="301" spans="1:16" s="91" customFormat="1" ht="15" customHeight="1" x14ac:dyDescent="0.25">
      <c r="A301" s="100"/>
      <c r="B301" s="100"/>
      <c r="C301" s="100"/>
      <c r="D301" s="100"/>
      <c r="E301" s="100">
        <v>30</v>
      </c>
      <c r="F301" s="100" t="s">
        <v>5904</v>
      </c>
      <c r="G301" s="100" t="s">
        <v>6050</v>
      </c>
      <c r="H301" s="100" t="s">
        <v>6051</v>
      </c>
      <c r="I301" s="100" t="s">
        <v>6052</v>
      </c>
      <c r="J301" s="100" t="s">
        <v>6053</v>
      </c>
      <c r="K301" s="100" t="s">
        <v>6054</v>
      </c>
      <c r="L301" s="95"/>
      <c r="M301" s="95"/>
      <c r="N301" s="95"/>
      <c r="O301" s="95"/>
      <c r="P301" s="95"/>
    </row>
    <row r="302" spans="1:16" s="91" customFormat="1" ht="15" customHeight="1" x14ac:dyDescent="0.25">
      <c r="A302" s="106"/>
      <c r="B302" s="106"/>
      <c r="C302" s="106">
        <v>104</v>
      </c>
      <c r="D302" s="106" t="s">
        <v>7068</v>
      </c>
      <c r="E302" s="106">
        <v>1</v>
      </c>
      <c r="F302" s="106" t="s">
        <v>7071</v>
      </c>
      <c r="G302" s="106" t="s">
        <v>7072</v>
      </c>
      <c r="H302" s="106" t="s">
        <v>7073</v>
      </c>
      <c r="I302" s="106" t="s">
        <v>7074</v>
      </c>
      <c r="J302" s="106" t="s">
        <v>7075</v>
      </c>
      <c r="K302" s="106" t="s">
        <v>7076</v>
      </c>
    </row>
    <row r="303" spans="1:16" s="91" customFormat="1" ht="15" customHeight="1" x14ac:dyDescent="0.25">
      <c r="A303" s="106"/>
      <c r="B303" s="106"/>
      <c r="C303" s="106"/>
      <c r="D303" s="107">
        <v>41365</v>
      </c>
      <c r="E303" s="106">
        <v>2</v>
      </c>
      <c r="F303" s="106" t="s">
        <v>7077</v>
      </c>
      <c r="G303" s="106" t="s">
        <v>7078</v>
      </c>
      <c r="H303" s="106" t="s">
        <v>7079</v>
      </c>
      <c r="I303" s="106" t="s">
        <v>7080</v>
      </c>
      <c r="J303" s="106" t="s">
        <v>7081</v>
      </c>
      <c r="K303" s="106" t="s">
        <v>7082</v>
      </c>
    </row>
    <row r="304" spans="1:16" s="91" customFormat="1" ht="15" customHeight="1" x14ac:dyDescent="0.25">
      <c r="A304" s="106"/>
      <c r="B304" s="106"/>
      <c r="C304" s="106"/>
      <c r="D304" s="106" t="s">
        <v>359</v>
      </c>
      <c r="E304" s="106">
        <v>3</v>
      </c>
      <c r="F304" s="106" t="s">
        <v>7083</v>
      </c>
      <c r="G304" s="106" t="s">
        <v>7084</v>
      </c>
      <c r="H304" s="106" t="s">
        <v>7085</v>
      </c>
      <c r="I304" s="106" t="s">
        <v>7086</v>
      </c>
      <c r="J304" s="106" t="s">
        <v>7087</v>
      </c>
      <c r="K304" s="106" t="s">
        <v>7088</v>
      </c>
    </row>
    <row r="305" spans="1:11" s="91" customFormat="1" ht="15" customHeight="1" x14ac:dyDescent="0.25">
      <c r="A305" s="106"/>
      <c r="B305" s="106"/>
      <c r="C305" s="106"/>
      <c r="D305" s="106"/>
      <c r="E305" s="106">
        <v>4</v>
      </c>
      <c r="F305" s="106" t="s">
        <v>7089</v>
      </c>
      <c r="G305" s="106" t="s">
        <v>7090</v>
      </c>
      <c r="H305" s="106" t="s">
        <v>7091</v>
      </c>
      <c r="I305" s="106" t="s">
        <v>7092</v>
      </c>
      <c r="J305" s="106" t="s">
        <v>7093</v>
      </c>
      <c r="K305" s="106" t="s">
        <v>7094</v>
      </c>
    </row>
    <row r="306" spans="1:11" s="91" customFormat="1" ht="15" customHeight="1" x14ac:dyDescent="0.25">
      <c r="A306" s="106"/>
      <c r="B306" s="106"/>
      <c r="C306" s="106"/>
      <c r="D306" s="106"/>
      <c r="E306" s="106">
        <v>5</v>
      </c>
      <c r="F306" s="106" t="s">
        <v>7095</v>
      </c>
      <c r="G306" s="106" t="s">
        <v>7096</v>
      </c>
      <c r="H306" s="106" t="s">
        <v>7097</v>
      </c>
      <c r="I306" s="106" t="s">
        <v>7098</v>
      </c>
      <c r="J306" s="106" t="s">
        <v>7099</v>
      </c>
      <c r="K306" s="106" t="s">
        <v>7100</v>
      </c>
    </row>
    <row r="307" spans="1:11" s="91" customFormat="1" ht="15" customHeight="1" x14ac:dyDescent="0.25">
      <c r="A307" s="106"/>
      <c r="B307" s="106"/>
      <c r="C307" s="106"/>
      <c r="D307" s="106"/>
      <c r="E307" s="106">
        <v>6</v>
      </c>
      <c r="F307" s="106" t="s">
        <v>7101</v>
      </c>
      <c r="G307" s="106" t="s">
        <v>7102</v>
      </c>
      <c r="H307" s="106" t="s">
        <v>7103</v>
      </c>
      <c r="I307" s="106" t="s">
        <v>7104</v>
      </c>
      <c r="J307" s="106" t="s">
        <v>7105</v>
      </c>
      <c r="K307" s="106" t="s">
        <v>7106</v>
      </c>
    </row>
    <row r="308" spans="1:11" s="91" customFormat="1" ht="15" customHeight="1" x14ac:dyDescent="0.25">
      <c r="A308" s="106"/>
      <c r="B308" s="106"/>
      <c r="C308" s="106"/>
      <c r="D308" s="106"/>
      <c r="E308" s="106">
        <v>7</v>
      </c>
      <c r="F308" s="106" t="s">
        <v>7107</v>
      </c>
      <c r="G308" s="106" t="s">
        <v>7108</v>
      </c>
      <c r="H308" s="106" t="s">
        <v>7109</v>
      </c>
      <c r="I308" s="106" t="s">
        <v>7110</v>
      </c>
      <c r="J308" s="106" t="s">
        <v>7111</v>
      </c>
      <c r="K308" s="106" t="s">
        <v>7112</v>
      </c>
    </row>
    <row r="309" spans="1:11" s="91" customFormat="1" ht="15" customHeight="1" x14ac:dyDescent="0.25">
      <c r="A309" s="106"/>
      <c r="B309" s="106"/>
      <c r="C309" s="106"/>
      <c r="D309" s="106"/>
      <c r="E309" s="106">
        <v>8</v>
      </c>
      <c r="F309" s="106" t="s">
        <v>7113</v>
      </c>
      <c r="G309" s="106" t="s">
        <v>7114</v>
      </c>
      <c r="H309" s="106" t="s">
        <v>7115</v>
      </c>
      <c r="I309" s="106" t="s">
        <v>7116</v>
      </c>
      <c r="J309" s="106" t="s">
        <v>7117</v>
      </c>
      <c r="K309" s="106" t="s">
        <v>7118</v>
      </c>
    </row>
    <row r="310" spans="1:11" s="91" customFormat="1" ht="15" customHeight="1" x14ac:dyDescent="0.25">
      <c r="A310" s="106"/>
      <c r="B310" s="106"/>
      <c r="C310" s="106"/>
      <c r="D310" s="106"/>
      <c r="E310" s="106">
        <v>9</v>
      </c>
      <c r="F310" s="106" t="s">
        <v>7119</v>
      </c>
      <c r="G310" s="106" t="s">
        <v>7120</v>
      </c>
      <c r="H310" s="106" t="s">
        <v>7121</v>
      </c>
      <c r="I310" s="106" t="s">
        <v>7122</v>
      </c>
      <c r="J310" s="106" t="s">
        <v>7123</v>
      </c>
      <c r="K310" s="106" t="s">
        <v>7124</v>
      </c>
    </row>
    <row r="311" spans="1:11" s="91" customFormat="1" ht="15" customHeight="1" x14ac:dyDescent="0.25">
      <c r="A311" s="106"/>
      <c r="B311" s="106"/>
      <c r="C311" s="106"/>
      <c r="D311" s="106"/>
      <c r="E311" s="106">
        <v>10</v>
      </c>
      <c r="F311" s="106" t="s">
        <v>7125</v>
      </c>
      <c r="G311" s="106" t="s">
        <v>7126</v>
      </c>
      <c r="H311" s="106" t="s">
        <v>7127</v>
      </c>
      <c r="I311" s="106" t="s">
        <v>7128</v>
      </c>
      <c r="J311" s="106" t="s">
        <v>7129</v>
      </c>
      <c r="K311" s="106" t="s">
        <v>7130</v>
      </c>
    </row>
    <row r="312" spans="1:11" s="91" customFormat="1" ht="15" customHeight="1" x14ac:dyDescent="0.25">
      <c r="A312" s="106"/>
      <c r="B312" s="106"/>
      <c r="C312" s="106"/>
      <c r="D312" s="106"/>
      <c r="E312" s="106">
        <v>11</v>
      </c>
      <c r="F312" s="106" t="s">
        <v>7131</v>
      </c>
      <c r="G312" s="106" t="s">
        <v>7132</v>
      </c>
      <c r="H312" s="106" t="s">
        <v>7133</v>
      </c>
      <c r="I312" s="106" t="s">
        <v>7134</v>
      </c>
      <c r="J312" s="106" t="s">
        <v>7135</v>
      </c>
      <c r="K312" s="106" t="s">
        <v>7136</v>
      </c>
    </row>
    <row r="313" spans="1:11" s="91" customFormat="1" ht="15" customHeight="1" x14ac:dyDescent="0.25">
      <c r="A313" s="106"/>
      <c r="B313" s="106"/>
      <c r="C313" s="106"/>
      <c r="D313" s="106"/>
      <c r="E313" s="106">
        <v>12</v>
      </c>
      <c r="F313" s="106" t="s">
        <v>7137</v>
      </c>
      <c r="G313" s="106" t="s">
        <v>7138</v>
      </c>
      <c r="H313" s="106" t="s">
        <v>7139</v>
      </c>
      <c r="I313" s="106" t="s">
        <v>7140</v>
      </c>
      <c r="J313" s="106" t="s">
        <v>7141</v>
      </c>
      <c r="K313" s="106" t="s">
        <v>7142</v>
      </c>
    </row>
    <row r="314" spans="1:11" s="91" customFormat="1" ht="15" customHeight="1" x14ac:dyDescent="0.25">
      <c r="A314" s="106"/>
      <c r="B314" s="106"/>
      <c r="C314" s="106"/>
      <c r="D314" s="106"/>
      <c r="E314" s="106">
        <v>13</v>
      </c>
      <c r="F314" s="106" t="s">
        <v>7143</v>
      </c>
      <c r="G314" s="106" t="s">
        <v>7144</v>
      </c>
      <c r="H314" s="106" t="s">
        <v>7145</v>
      </c>
      <c r="I314" s="106" t="s">
        <v>7146</v>
      </c>
      <c r="J314" s="106" t="s">
        <v>7147</v>
      </c>
      <c r="K314" s="106" t="s">
        <v>7148</v>
      </c>
    </row>
    <row r="315" spans="1:11" s="91" customFormat="1" ht="15" customHeight="1" x14ac:dyDescent="0.25">
      <c r="A315" s="106"/>
      <c r="B315" s="106"/>
      <c r="C315" s="106"/>
      <c r="D315" s="106"/>
      <c r="E315" s="106">
        <v>14</v>
      </c>
      <c r="F315" s="106" t="s">
        <v>7149</v>
      </c>
      <c r="G315" s="106" t="s">
        <v>7150</v>
      </c>
      <c r="H315" s="106" t="s">
        <v>7151</v>
      </c>
      <c r="I315" s="106" t="s">
        <v>7152</v>
      </c>
      <c r="J315" s="106" t="s">
        <v>7153</v>
      </c>
      <c r="K315" s="106" t="s">
        <v>7154</v>
      </c>
    </row>
    <row r="316" spans="1:11" s="91" customFormat="1" ht="15" customHeight="1" x14ac:dyDescent="0.25">
      <c r="A316" s="106"/>
      <c r="B316" s="106"/>
      <c r="C316" s="106"/>
      <c r="D316" s="106"/>
      <c r="E316" s="106">
        <v>15</v>
      </c>
      <c r="F316" s="106" t="s">
        <v>7155</v>
      </c>
      <c r="G316" s="106" t="s">
        <v>7156</v>
      </c>
      <c r="H316" s="106" t="s">
        <v>7157</v>
      </c>
      <c r="I316" s="106" t="s">
        <v>7158</v>
      </c>
      <c r="J316" s="106" t="s">
        <v>7159</v>
      </c>
      <c r="K316" s="106" t="s">
        <v>7160</v>
      </c>
    </row>
    <row r="317" spans="1:11" s="91" customFormat="1" ht="15" customHeight="1" x14ac:dyDescent="0.25">
      <c r="A317" s="106"/>
      <c r="B317" s="106"/>
      <c r="C317" s="106"/>
      <c r="D317" s="106"/>
      <c r="E317" s="106">
        <v>16</v>
      </c>
      <c r="F317" s="106" t="s">
        <v>7161</v>
      </c>
      <c r="G317" s="106" t="s">
        <v>6979</v>
      </c>
      <c r="H317" s="106" t="s">
        <v>6980</v>
      </c>
      <c r="I317" s="106" t="s">
        <v>6981</v>
      </c>
      <c r="J317" s="106" t="s">
        <v>6982</v>
      </c>
      <c r="K317" s="106" t="s">
        <v>6983</v>
      </c>
    </row>
    <row r="318" spans="1:11" s="91" customFormat="1" ht="15" customHeight="1" x14ac:dyDescent="0.25">
      <c r="A318" s="106"/>
      <c r="B318" s="106"/>
      <c r="C318" s="106"/>
      <c r="D318" s="106"/>
      <c r="E318" s="106">
        <v>17</v>
      </c>
      <c r="F318" s="106" t="s">
        <v>6984</v>
      </c>
      <c r="G318" s="106" t="s">
        <v>6985</v>
      </c>
      <c r="H318" s="106" t="s">
        <v>6986</v>
      </c>
      <c r="I318" s="106" t="s">
        <v>6987</v>
      </c>
      <c r="J318" s="106" t="s">
        <v>7162</v>
      </c>
      <c r="K318" s="106" t="s">
        <v>6989</v>
      </c>
    </row>
    <row r="319" spans="1:11" s="91" customFormat="1" ht="15" customHeight="1" x14ac:dyDescent="0.25">
      <c r="A319" s="106"/>
      <c r="B319" s="106"/>
      <c r="C319" s="106"/>
      <c r="D319" s="106"/>
      <c r="E319" s="106">
        <v>18</v>
      </c>
      <c r="F319" s="106" t="s">
        <v>6990</v>
      </c>
      <c r="G319" s="106" t="s">
        <v>6991</v>
      </c>
      <c r="H319" s="106" t="s">
        <v>6992</v>
      </c>
      <c r="I319" s="106" t="s">
        <v>6993</v>
      </c>
      <c r="J319" s="106" t="s">
        <v>6994</v>
      </c>
      <c r="K319" s="106" t="s">
        <v>6995</v>
      </c>
    </row>
    <row r="320" spans="1:11" s="91" customFormat="1" ht="15" customHeight="1" x14ac:dyDescent="0.25">
      <c r="A320" s="106"/>
      <c r="B320" s="106"/>
      <c r="C320" s="106"/>
      <c r="D320" s="106"/>
      <c r="E320" s="106">
        <v>19</v>
      </c>
      <c r="F320" s="106" t="s">
        <v>6996</v>
      </c>
      <c r="G320" s="106" t="s">
        <v>6997</v>
      </c>
      <c r="H320" s="106" t="s">
        <v>6998</v>
      </c>
      <c r="I320" s="106" t="s">
        <v>6999</v>
      </c>
      <c r="J320" s="106" t="s">
        <v>7000</v>
      </c>
      <c r="K320" s="106" t="s">
        <v>7001</v>
      </c>
    </row>
    <row r="321" spans="1:11" s="91" customFormat="1" ht="15" customHeight="1" x14ac:dyDescent="0.25">
      <c r="A321" s="106"/>
      <c r="B321" s="106"/>
      <c r="C321" s="106"/>
      <c r="D321" s="106"/>
      <c r="E321" s="106">
        <v>20</v>
      </c>
      <c r="F321" s="106" t="s">
        <v>7002</v>
      </c>
      <c r="G321" s="106" t="s">
        <v>7003</v>
      </c>
      <c r="H321" s="106" t="s">
        <v>7004</v>
      </c>
      <c r="I321" s="106" t="s">
        <v>7005</v>
      </c>
      <c r="J321" s="106" t="s">
        <v>7006</v>
      </c>
      <c r="K321" s="106" t="s">
        <v>7007</v>
      </c>
    </row>
    <row r="322" spans="1:11" s="91" customFormat="1" ht="15" customHeight="1" x14ac:dyDescent="0.25">
      <c r="A322" s="106"/>
      <c r="B322" s="106"/>
      <c r="C322" s="106"/>
      <c r="D322" s="106"/>
      <c r="E322" s="106">
        <v>21</v>
      </c>
      <c r="F322" s="106" t="s">
        <v>7008</v>
      </c>
      <c r="G322" s="106" t="s">
        <v>7009</v>
      </c>
      <c r="H322" s="106" t="s">
        <v>7010</v>
      </c>
      <c r="I322" s="106" t="s">
        <v>7011</v>
      </c>
      <c r="J322" s="106" t="s">
        <v>7012</v>
      </c>
      <c r="K322" s="106" t="s">
        <v>7013</v>
      </c>
    </row>
    <row r="323" spans="1:11" s="91" customFormat="1" ht="15" customHeight="1" x14ac:dyDescent="0.25">
      <c r="A323" s="106"/>
      <c r="B323" s="106"/>
      <c r="C323" s="106"/>
      <c r="D323" s="106"/>
      <c r="E323" s="106">
        <v>22</v>
      </c>
      <c r="F323" s="106" t="s">
        <v>7014</v>
      </c>
      <c r="G323" s="106" t="s">
        <v>7015</v>
      </c>
      <c r="H323" s="106" t="s">
        <v>7016</v>
      </c>
      <c r="I323" s="106" t="s">
        <v>7017</v>
      </c>
      <c r="J323" s="106" t="s">
        <v>7018</v>
      </c>
      <c r="K323" s="106" t="s">
        <v>7019</v>
      </c>
    </row>
    <row r="324" spans="1:11" s="91" customFormat="1" ht="15" customHeight="1" x14ac:dyDescent="0.25">
      <c r="A324" s="106"/>
      <c r="B324" s="106"/>
      <c r="C324" s="106"/>
      <c r="D324" s="106"/>
      <c r="E324" s="106">
        <v>23</v>
      </c>
      <c r="F324" s="106" t="s">
        <v>7020</v>
      </c>
      <c r="G324" s="106" t="s">
        <v>7021</v>
      </c>
      <c r="H324" s="106" t="s">
        <v>7022</v>
      </c>
      <c r="I324" s="106" t="s">
        <v>7023</v>
      </c>
      <c r="J324" s="106" t="s">
        <v>7024</v>
      </c>
      <c r="K324" s="106" t="s">
        <v>7025</v>
      </c>
    </row>
    <row r="325" spans="1:11" s="91" customFormat="1" ht="15" customHeight="1" x14ac:dyDescent="0.25">
      <c r="A325" s="106"/>
      <c r="B325" s="106"/>
      <c r="C325" s="106"/>
      <c r="D325" s="106"/>
      <c r="E325" s="106">
        <v>24</v>
      </c>
      <c r="F325" s="106" t="s">
        <v>7026</v>
      </c>
      <c r="G325" s="106" t="s">
        <v>7027</v>
      </c>
      <c r="H325" s="106" t="s">
        <v>7028</v>
      </c>
      <c r="I325" s="106" t="s">
        <v>7029</v>
      </c>
      <c r="J325" s="106" t="s">
        <v>7030</v>
      </c>
      <c r="K325" s="106" t="s">
        <v>7031</v>
      </c>
    </row>
    <row r="326" spans="1:11" s="91" customFormat="1" ht="15" customHeight="1" x14ac:dyDescent="0.25">
      <c r="A326" s="106"/>
      <c r="B326" s="106"/>
      <c r="C326" s="106"/>
      <c r="D326" s="106"/>
      <c r="E326" s="106">
        <v>25</v>
      </c>
      <c r="F326" s="106" t="s">
        <v>7032</v>
      </c>
      <c r="G326" s="106" t="s">
        <v>7033</v>
      </c>
      <c r="H326" s="106" t="s">
        <v>7034</v>
      </c>
      <c r="I326" s="106" t="s">
        <v>7035</v>
      </c>
      <c r="J326" s="106" t="s">
        <v>7036</v>
      </c>
      <c r="K326" s="106" t="s">
        <v>7037</v>
      </c>
    </row>
    <row r="327" spans="1:11" s="91" customFormat="1" ht="15" customHeight="1" x14ac:dyDescent="0.25">
      <c r="A327" s="106"/>
      <c r="B327" s="106"/>
      <c r="C327" s="106"/>
      <c r="D327" s="106"/>
      <c r="E327" s="106">
        <v>26</v>
      </c>
      <c r="F327" s="106" t="s">
        <v>7038</v>
      </c>
      <c r="G327" s="106" t="s">
        <v>7039</v>
      </c>
      <c r="H327" s="106" t="s">
        <v>7040</v>
      </c>
      <c r="I327" s="106" t="s">
        <v>7041</v>
      </c>
      <c r="J327" s="106" t="s">
        <v>7042</v>
      </c>
      <c r="K327" s="106" t="s">
        <v>7043</v>
      </c>
    </row>
    <row r="328" spans="1:11" s="91" customFormat="1" ht="15" customHeight="1" x14ac:dyDescent="0.25">
      <c r="A328" s="106"/>
      <c r="B328" s="106"/>
      <c r="C328" s="106"/>
      <c r="D328" s="106"/>
      <c r="E328" s="106">
        <v>27</v>
      </c>
      <c r="F328" s="106" t="s">
        <v>7044</v>
      </c>
      <c r="G328" s="106" t="s">
        <v>7045</v>
      </c>
      <c r="H328" s="106" t="s">
        <v>7046</v>
      </c>
      <c r="I328" s="106" t="s">
        <v>7047</v>
      </c>
      <c r="J328" s="106" t="s">
        <v>7048</v>
      </c>
      <c r="K328" s="106" t="s">
        <v>7049</v>
      </c>
    </row>
    <row r="329" spans="1:11" s="91" customFormat="1" ht="15" customHeight="1" x14ac:dyDescent="0.25">
      <c r="A329" s="106"/>
      <c r="B329" s="106"/>
      <c r="C329" s="106"/>
      <c r="D329" s="106"/>
      <c r="E329" s="106">
        <v>28</v>
      </c>
      <c r="F329" s="106" t="s">
        <v>7050</v>
      </c>
      <c r="G329" s="106" t="s">
        <v>7051</v>
      </c>
      <c r="H329" s="106" t="s">
        <v>7052</v>
      </c>
      <c r="I329" s="106" t="s">
        <v>7053</v>
      </c>
      <c r="J329" s="106" t="s">
        <v>7054</v>
      </c>
      <c r="K329" s="106" t="s">
        <v>7055</v>
      </c>
    </row>
    <row r="330" spans="1:11" s="91" customFormat="1" ht="15" customHeight="1" x14ac:dyDescent="0.25">
      <c r="A330" s="106"/>
      <c r="B330" s="106"/>
      <c r="C330" s="106"/>
      <c r="D330" s="106"/>
      <c r="E330" s="106">
        <v>29</v>
      </c>
      <c r="F330" s="106" t="s">
        <v>7056</v>
      </c>
      <c r="G330" s="106" t="s">
        <v>7057</v>
      </c>
      <c r="H330" s="106" t="s">
        <v>7058</v>
      </c>
      <c r="I330" s="106" t="s">
        <v>7059</v>
      </c>
      <c r="J330" s="106" t="s">
        <v>7060</v>
      </c>
      <c r="K330" s="106" t="s">
        <v>7061</v>
      </c>
    </row>
    <row r="331" spans="1:11" s="91" customFormat="1" ht="15" customHeight="1" x14ac:dyDescent="0.25">
      <c r="A331" s="106"/>
      <c r="B331" s="106"/>
      <c r="C331" s="106"/>
      <c r="D331" s="106"/>
      <c r="E331" s="106">
        <v>30</v>
      </c>
      <c r="F331" s="106" t="s">
        <v>7062</v>
      </c>
      <c r="G331" s="106" t="s">
        <v>7063</v>
      </c>
      <c r="H331" s="106" t="s">
        <v>7064</v>
      </c>
      <c r="I331" s="106" t="s">
        <v>7065</v>
      </c>
      <c r="J331" s="106" t="s">
        <v>7066</v>
      </c>
      <c r="K331" s="106" t="s">
        <v>7067</v>
      </c>
    </row>
    <row r="332" spans="1:11" s="91" customFormat="1" ht="15" customHeight="1" x14ac:dyDescent="0.25">
      <c r="A332" s="108"/>
      <c r="B332" s="108"/>
      <c r="C332" s="108">
        <v>104</v>
      </c>
      <c r="D332" s="108" t="s">
        <v>7069</v>
      </c>
      <c r="E332" s="108">
        <v>1</v>
      </c>
      <c r="F332" s="108" t="s">
        <v>7163</v>
      </c>
      <c r="G332" s="108" t="s">
        <v>6890</v>
      </c>
      <c r="H332" s="108" t="s">
        <v>6891</v>
      </c>
      <c r="I332" s="108" t="s">
        <v>6892</v>
      </c>
      <c r="J332" s="108" t="s">
        <v>6893</v>
      </c>
      <c r="K332" s="108" t="s">
        <v>6894</v>
      </c>
    </row>
    <row r="333" spans="1:11" s="91" customFormat="1" ht="15" customHeight="1" x14ac:dyDescent="0.25">
      <c r="A333" s="108"/>
      <c r="B333" s="108"/>
      <c r="C333" s="108"/>
      <c r="D333" s="109">
        <v>41365</v>
      </c>
      <c r="E333" s="108">
        <v>2</v>
      </c>
      <c r="F333" s="108" t="s">
        <v>6895</v>
      </c>
      <c r="G333" s="108" t="s">
        <v>6896</v>
      </c>
      <c r="H333" s="108" t="s">
        <v>6897</v>
      </c>
      <c r="I333" s="108" t="s">
        <v>6898</v>
      </c>
      <c r="J333" s="108" t="s">
        <v>6899</v>
      </c>
      <c r="K333" s="108" t="s">
        <v>6900</v>
      </c>
    </row>
    <row r="334" spans="1:11" s="91" customFormat="1" ht="15" customHeight="1" x14ac:dyDescent="0.25">
      <c r="A334" s="108"/>
      <c r="B334" s="108"/>
      <c r="C334" s="108"/>
      <c r="D334" s="108" t="s">
        <v>359</v>
      </c>
      <c r="E334" s="108">
        <v>3</v>
      </c>
      <c r="F334" s="108" t="s">
        <v>6901</v>
      </c>
      <c r="G334" s="108" t="s">
        <v>6902</v>
      </c>
      <c r="H334" s="108" t="s">
        <v>6903</v>
      </c>
      <c r="I334" s="108" t="s">
        <v>6904</v>
      </c>
      <c r="J334" s="108" t="s">
        <v>6905</v>
      </c>
      <c r="K334" s="108" t="s">
        <v>6906</v>
      </c>
    </row>
    <row r="335" spans="1:11" s="91" customFormat="1" ht="15" customHeight="1" x14ac:dyDescent="0.25">
      <c r="A335" s="108"/>
      <c r="B335" s="108"/>
      <c r="C335" s="108"/>
      <c r="D335" s="108"/>
      <c r="E335" s="108">
        <v>4</v>
      </c>
      <c r="F335" s="108" t="s">
        <v>6907</v>
      </c>
      <c r="G335" s="108" t="s">
        <v>6908</v>
      </c>
      <c r="H335" s="108" t="s">
        <v>6909</v>
      </c>
      <c r="I335" s="108" t="s">
        <v>6910</v>
      </c>
      <c r="J335" s="108" t="s">
        <v>6911</v>
      </c>
      <c r="K335" s="108" t="s">
        <v>6912</v>
      </c>
    </row>
    <row r="336" spans="1:11" s="91" customFormat="1" ht="15" customHeight="1" x14ac:dyDescent="0.25">
      <c r="A336" s="108"/>
      <c r="B336" s="108"/>
      <c r="C336" s="108"/>
      <c r="D336" s="108"/>
      <c r="E336" s="108">
        <v>5</v>
      </c>
      <c r="F336" s="108" t="s">
        <v>6913</v>
      </c>
      <c r="G336" s="108" t="s">
        <v>6914</v>
      </c>
      <c r="H336" s="108" t="s">
        <v>6915</v>
      </c>
      <c r="I336" s="108" t="s">
        <v>6916</v>
      </c>
      <c r="J336" s="108" t="s">
        <v>6917</v>
      </c>
      <c r="K336" s="108" t="s">
        <v>6918</v>
      </c>
    </row>
    <row r="337" spans="1:11" s="91" customFormat="1" ht="15" customHeight="1" x14ac:dyDescent="0.25">
      <c r="A337" s="108"/>
      <c r="B337" s="108"/>
      <c r="C337" s="108"/>
      <c r="D337" s="108"/>
      <c r="E337" s="108">
        <v>6</v>
      </c>
      <c r="F337" s="108" t="s">
        <v>7164</v>
      </c>
      <c r="G337" s="108" t="s">
        <v>6920</v>
      </c>
      <c r="H337" s="108" t="s">
        <v>6921</v>
      </c>
      <c r="I337" s="108" t="s">
        <v>6922</v>
      </c>
      <c r="J337" s="108" t="s">
        <v>6923</v>
      </c>
      <c r="K337" s="108" t="s">
        <v>6924</v>
      </c>
    </row>
    <row r="338" spans="1:11" s="91" customFormat="1" ht="15" customHeight="1" x14ac:dyDescent="0.25">
      <c r="A338" s="108"/>
      <c r="B338" s="108"/>
      <c r="C338" s="108"/>
      <c r="D338" s="108"/>
      <c r="E338" s="108">
        <v>7</v>
      </c>
      <c r="F338" s="108" t="s">
        <v>6925</v>
      </c>
      <c r="G338" s="108" t="s">
        <v>6926</v>
      </c>
      <c r="H338" s="108" t="s">
        <v>6927</v>
      </c>
      <c r="I338" s="108" t="s">
        <v>6928</v>
      </c>
      <c r="J338" s="108" t="s">
        <v>6929</v>
      </c>
      <c r="K338" s="108" t="s">
        <v>6930</v>
      </c>
    </row>
    <row r="339" spans="1:11" s="91" customFormat="1" ht="15" customHeight="1" x14ac:dyDescent="0.25">
      <c r="A339" s="108"/>
      <c r="B339" s="108"/>
      <c r="C339" s="108"/>
      <c r="D339" s="108"/>
      <c r="E339" s="108">
        <v>8</v>
      </c>
      <c r="F339" s="108" t="s">
        <v>6931</v>
      </c>
      <c r="G339" s="108" t="s">
        <v>6932</v>
      </c>
      <c r="H339" s="108" t="s">
        <v>6933</v>
      </c>
      <c r="I339" s="108" t="s">
        <v>6934</v>
      </c>
      <c r="J339" s="108" t="s">
        <v>6935</v>
      </c>
      <c r="K339" s="108" t="s">
        <v>6936</v>
      </c>
    </row>
    <row r="340" spans="1:11" s="91" customFormat="1" ht="15" customHeight="1" x14ac:dyDescent="0.25">
      <c r="A340" s="108"/>
      <c r="B340" s="108"/>
      <c r="C340" s="108"/>
      <c r="D340" s="108"/>
      <c r="E340" s="108">
        <v>9</v>
      </c>
      <c r="F340" s="108" t="s">
        <v>6937</v>
      </c>
      <c r="G340" s="108" t="s">
        <v>6938</v>
      </c>
      <c r="H340" s="108" t="s">
        <v>6939</v>
      </c>
      <c r="I340" s="108" t="s">
        <v>6940</v>
      </c>
      <c r="J340" s="108" t="s">
        <v>6941</v>
      </c>
      <c r="K340" s="108" t="s">
        <v>6942</v>
      </c>
    </row>
    <row r="341" spans="1:11" s="91" customFormat="1" ht="15" customHeight="1" x14ac:dyDescent="0.25">
      <c r="A341" s="108"/>
      <c r="B341" s="108"/>
      <c r="C341" s="108"/>
      <c r="D341" s="108"/>
      <c r="E341" s="108">
        <v>10</v>
      </c>
      <c r="F341" s="108" t="s">
        <v>7165</v>
      </c>
      <c r="G341" s="108" t="s">
        <v>6944</v>
      </c>
      <c r="H341" s="108" t="s">
        <v>6945</v>
      </c>
      <c r="I341" s="108" t="s">
        <v>6946</v>
      </c>
      <c r="J341" s="108" t="s">
        <v>6947</v>
      </c>
      <c r="K341" s="108" t="s">
        <v>6948</v>
      </c>
    </row>
    <row r="342" spans="1:11" s="91" customFormat="1" ht="15" customHeight="1" x14ac:dyDescent="0.25">
      <c r="A342" s="108"/>
      <c r="B342" s="108"/>
      <c r="C342" s="108"/>
      <c r="D342" s="108"/>
      <c r="E342" s="108">
        <v>11</v>
      </c>
      <c r="F342" s="108" t="s">
        <v>6949</v>
      </c>
      <c r="G342" s="108" t="s">
        <v>6950</v>
      </c>
      <c r="H342" s="108" t="s">
        <v>6951</v>
      </c>
      <c r="I342" s="108" t="s">
        <v>6952</v>
      </c>
      <c r="J342" s="108" t="s">
        <v>6953</v>
      </c>
      <c r="K342" s="108" t="s">
        <v>6954</v>
      </c>
    </row>
    <row r="343" spans="1:11" s="91" customFormat="1" ht="15" customHeight="1" x14ac:dyDescent="0.25">
      <c r="A343" s="108"/>
      <c r="B343" s="108"/>
      <c r="C343" s="108"/>
      <c r="D343" s="108"/>
      <c r="E343" s="108">
        <v>12</v>
      </c>
      <c r="F343" s="108" t="s">
        <v>6955</v>
      </c>
      <c r="G343" s="108" t="s">
        <v>6956</v>
      </c>
      <c r="H343" s="108" t="s">
        <v>6957</v>
      </c>
      <c r="I343" s="108" t="s">
        <v>6958</v>
      </c>
      <c r="J343" s="108" t="s">
        <v>6959</v>
      </c>
      <c r="K343" s="108" t="s">
        <v>6960</v>
      </c>
    </row>
    <row r="344" spans="1:11" s="91" customFormat="1" ht="15" customHeight="1" x14ac:dyDescent="0.25">
      <c r="A344" s="108"/>
      <c r="B344" s="108"/>
      <c r="C344" s="108"/>
      <c r="D344" s="108"/>
      <c r="E344" s="108">
        <v>13</v>
      </c>
      <c r="F344" s="108" t="s">
        <v>6961</v>
      </c>
      <c r="G344" s="108" t="s">
        <v>6962</v>
      </c>
      <c r="H344" s="108" t="s">
        <v>6963</v>
      </c>
      <c r="I344" s="108" t="s">
        <v>6964</v>
      </c>
      <c r="J344" s="108" t="s">
        <v>6965</v>
      </c>
      <c r="K344" s="108" t="s">
        <v>6966</v>
      </c>
    </row>
    <row r="345" spans="1:11" s="91" customFormat="1" ht="15" customHeight="1" x14ac:dyDescent="0.25">
      <c r="A345" s="108"/>
      <c r="B345" s="108"/>
      <c r="C345" s="108"/>
      <c r="D345" s="108"/>
      <c r="E345" s="108">
        <v>14</v>
      </c>
      <c r="F345" s="108" t="s">
        <v>7166</v>
      </c>
      <c r="G345" s="108" t="s">
        <v>6968</v>
      </c>
      <c r="H345" s="108" t="s">
        <v>6969</v>
      </c>
      <c r="I345" s="108" t="s">
        <v>6970</v>
      </c>
      <c r="J345" s="108" t="s">
        <v>6971</v>
      </c>
      <c r="K345" s="108" t="s">
        <v>6972</v>
      </c>
    </row>
    <row r="346" spans="1:11" s="91" customFormat="1" ht="15" customHeight="1" x14ac:dyDescent="0.25">
      <c r="A346" s="108"/>
      <c r="B346" s="108"/>
      <c r="C346" s="108"/>
      <c r="D346" s="108"/>
      <c r="E346" s="108">
        <v>15</v>
      </c>
      <c r="F346" s="108" t="s">
        <v>6973</v>
      </c>
      <c r="G346" s="108" t="s">
        <v>6974</v>
      </c>
      <c r="H346" s="108" t="s">
        <v>6975</v>
      </c>
      <c r="I346" s="108" t="s">
        <v>6976</v>
      </c>
      <c r="J346" s="108" t="s">
        <v>6977</v>
      </c>
      <c r="K346" s="108" t="s">
        <v>7167</v>
      </c>
    </row>
    <row r="347" spans="1:11" s="91" customFormat="1" ht="15" customHeight="1" x14ac:dyDescent="0.25">
      <c r="A347" s="108"/>
      <c r="B347" s="108"/>
      <c r="C347" s="108"/>
      <c r="D347" s="108"/>
      <c r="E347" s="108">
        <v>16</v>
      </c>
      <c r="F347" s="108" t="s">
        <v>7168</v>
      </c>
      <c r="G347" s="108" t="s">
        <v>7169</v>
      </c>
      <c r="H347" s="108" t="s">
        <v>7170</v>
      </c>
      <c r="I347" s="108" t="s">
        <v>7171</v>
      </c>
      <c r="J347" s="108" t="s">
        <v>7172</v>
      </c>
      <c r="K347" s="108" t="s">
        <v>7173</v>
      </c>
    </row>
    <row r="348" spans="1:11" s="91" customFormat="1" ht="15" customHeight="1" x14ac:dyDescent="0.25">
      <c r="A348" s="108"/>
      <c r="B348" s="108"/>
      <c r="C348" s="108"/>
      <c r="D348" s="108"/>
      <c r="E348" s="108">
        <v>17</v>
      </c>
      <c r="F348" s="108" t="s">
        <v>7174</v>
      </c>
      <c r="G348" s="108" t="s">
        <v>7175</v>
      </c>
      <c r="H348" s="108" t="s">
        <v>7176</v>
      </c>
      <c r="I348" s="108" t="s">
        <v>7177</v>
      </c>
      <c r="J348" s="108" t="s">
        <v>7178</v>
      </c>
      <c r="K348" s="108" t="s">
        <v>7179</v>
      </c>
    </row>
    <row r="349" spans="1:11" s="91" customFormat="1" ht="15" customHeight="1" x14ac:dyDescent="0.25">
      <c r="A349" s="108"/>
      <c r="B349" s="108"/>
      <c r="C349" s="108"/>
      <c r="D349" s="108"/>
      <c r="E349" s="108">
        <v>18</v>
      </c>
      <c r="F349" s="108" t="s">
        <v>7180</v>
      </c>
      <c r="G349" s="108" t="s">
        <v>7181</v>
      </c>
      <c r="H349" s="108" t="s">
        <v>7182</v>
      </c>
      <c r="I349" s="108" t="s">
        <v>7183</v>
      </c>
      <c r="J349" s="108" t="s">
        <v>7184</v>
      </c>
      <c r="K349" s="108" t="s">
        <v>7185</v>
      </c>
    </row>
    <row r="350" spans="1:11" s="91" customFormat="1" ht="15" customHeight="1" x14ac:dyDescent="0.25">
      <c r="A350" s="108"/>
      <c r="B350" s="108"/>
      <c r="C350" s="108"/>
      <c r="D350" s="108"/>
      <c r="E350" s="108">
        <v>19</v>
      </c>
      <c r="F350" s="108" t="s">
        <v>7186</v>
      </c>
      <c r="G350" s="108" t="s">
        <v>7187</v>
      </c>
      <c r="H350" s="108" t="s">
        <v>7188</v>
      </c>
      <c r="I350" s="108" t="s">
        <v>7189</v>
      </c>
      <c r="J350" s="108" t="s">
        <v>7190</v>
      </c>
      <c r="K350" s="108" t="s">
        <v>7191</v>
      </c>
    </row>
    <row r="351" spans="1:11" s="91" customFormat="1" ht="15" customHeight="1" x14ac:dyDescent="0.25">
      <c r="A351" s="108"/>
      <c r="B351" s="108"/>
      <c r="C351" s="108"/>
      <c r="D351" s="108"/>
      <c r="E351" s="108">
        <v>20</v>
      </c>
      <c r="F351" s="108" t="s">
        <v>7192</v>
      </c>
      <c r="G351" s="108" t="s">
        <v>7193</v>
      </c>
      <c r="H351" s="108" t="s">
        <v>7194</v>
      </c>
      <c r="I351" s="108" t="s">
        <v>7195</v>
      </c>
      <c r="J351" s="108" t="s">
        <v>7196</v>
      </c>
      <c r="K351" s="108" t="s">
        <v>7197</v>
      </c>
    </row>
    <row r="352" spans="1:11" s="91" customFormat="1" ht="15" customHeight="1" x14ac:dyDescent="0.25">
      <c r="A352" s="108"/>
      <c r="B352" s="108"/>
      <c r="C352" s="108"/>
      <c r="D352" s="108"/>
      <c r="E352" s="108">
        <v>21</v>
      </c>
      <c r="F352" s="108" t="s">
        <v>7198</v>
      </c>
      <c r="G352" s="108" t="s">
        <v>7199</v>
      </c>
      <c r="H352" s="108" t="s">
        <v>7200</v>
      </c>
      <c r="I352" s="108" t="s">
        <v>7201</v>
      </c>
      <c r="J352" s="108" t="s">
        <v>7202</v>
      </c>
      <c r="K352" s="108" t="s">
        <v>7203</v>
      </c>
    </row>
    <row r="353" spans="1:11" s="91" customFormat="1" ht="15" customHeight="1" x14ac:dyDescent="0.25">
      <c r="A353" s="108"/>
      <c r="B353" s="108"/>
      <c r="C353" s="108"/>
      <c r="D353" s="108"/>
      <c r="E353" s="108">
        <v>22</v>
      </c>
      <c r="F353" s="108" t="s">
        <v>7204</v>
      </c>
      <c r="G353" s="108" t="s">
        <v>7205</v>
      </c>
      <c r="H353" s="108" t="s">
        <v>7206</v>
      </c>
      <c r="I353" s="108" t="s">
        <v>7207</v>
      </c>
      <c r="J353" s="108" t="s">
        <v>7208</v>
      </c>
      <c r="K353" s="108" t="s">
        <v>7209</v>
      </c>
    </row>
    <row r="354" spans="1:11" s="91" customFormat="1" ht="15" customHeight="1" x14ac:dyDescent="0.25">
      <c r="A354" s="108"/>
      <c r="B354" s="108"/>
      <c r="C354" s="108"/>
      <c r="D354" s="108"/>
      <c r="E354" s="108">
        <v>23</v>
      </c>
      <c r="F354" s="108" t="s">
        <v>7210</v>
      </c>
      <c r="G354" s="108" t="s">
        <v>7211</v>
      </c>
      <c r="H354" s="108" t="s">
        <v>7212</v>
      </c>
      <c r="I354" s="108" t="s">
        <v>7213</v>
      </c>
      <c r="J354" s="108" t="s">
        <v>7214</v>
      </c>
      <c r="K354" s="108" t="s">
        <v>7215</v>
      </c>
    </row>
    <row r="355" spans="1:11" s="91" customFormat="1" ht="15" customHeight="1" x14ac:dyDescent="0.25">
      <c r="A355" s="108"/>
      <c r="B355" s="108"/>
      <c r="C355" s="108"/>
      <c r="D355" s="108"/>
      <c r="E355" s="108">
        <v>24</v>
      </c>
      <c r="F355" s="108" t="s">
        <v>7216</v>
      </c>
      <c r="G355" s="108" t="s">
        <v>7217</v>
      </c>
      <c r="H355" s="108" t="s">
        <v>7218</v>
      </c>
      <c r="I355" s="108" t="s">
        <v>7219</v>
      </c>
      <c r="J355" s="108" t="s">
        <v>7220</v>
      </c>
      <c r="K355" s="108" t="s">
        <v>7221</v>
      </c>
    </row>
    <row r="356" spans="1:11" s="91" customFormat="1" ht="15" customHeight="1" x14ac:dyDescent="0.25">
      <c r="A356" s="108"/>
      <c r="B356" s="108"/>
      <c r="C356" s="108"/>
      <c r="D356" s="108"/>
      <c r="E356" s="108">
        <v>25</v>
      </c>
      <c r="F356" s="108" t="s">
        <v>7222</v>
      </c>
      <c r="G356" s="108" t="s">
        <v>7223</v>
      </c>
      <c r="H356" s="108" t="s">
        <v>7224</v>
      </c>
      <c r="I356" s="108" t="s">
        <v>7225</v>
      </c>
      <c r="J356" s="108" t="s">
        <v>7226</v>
      </c>
      <c r="K356" s="108" t="s">
        <v>7227</v>
      </c>
    </row>
    <row r="357" spans="1:11" s="91" customFormat="1" ht="15" customHeight="1" x14ac:dyDescent="0.25">
      <c r="A357" s="108"/>
      <c r="B357" s="108"/>
      <c r="C357" s="108"/>
      <c r="D357" s="108"/>
      <c r="E357" s="108">
        <v>26</v>
      </c>
      <c r="F357" s="108" t="s">
        <v>7228</v>
      </c>
      <c r="G357" s="108" t="s">
        <v>7229</v>
      </c>
      <c r="H357" s="108" t="s">
        <v>7230</v>
      </c>
      <c r="I357" s="108" t="s">
        <v>7231</v>
      </c>
      <c r="J357" s="108" t="s">
        <v>7232</v>
      </c>
      <c r="K357" s="108" t="s">
        <v>7233</v>
      </c>
    </row>
    <row r="358" spans="1:11" s="91" customFormat="1" ht="15" customHeight="1" x14ac:dyDescent="0.25">
      <c r="A358" s="108"/>
      <c r="B358" s="108"/>
      <c r="C358" s="108"/>
      <c r="D358" s="108"/>
      <c r="E358" s="108">
        <v>27</v>
      </c>
      <c r="F358" s="108" t="s">
        <v>7234</v>
      </c>
      <c r="G358" s="108" t="s">
        <v>7235</v>
      </c>
      <c r="H358" s="108" t="s">
        <v>7236</v>
      </c>
      <c r="I358" s="108" t="s">
        <v>7237</v>
      </c>
      <c r="J358" s="108" t="s">
        <v>7238</v>
      </c>
      <c r="K358" s="108" t="s">
        <v>7239</v>
      </c>
    </row>
    <row r="359" spans="1:11" s="91" customFormat="1" ht="15" customHeight="1" x14ac:dyDescent="0.25">
      <c r="A359" s="108"/>
      <c r="B359" s="108"/>
      <c r="C359" s="108"/>
      <c r="D359" s="108"/>
      <c r="E359" s="108">
        <v>28</v>
      </c>
      <c r="F359" s="108" t="s">
        <v>7240</v>
      </c>
      <c r="G359" s="108" t="s">
        <v>7241</v>
      </c>
      <c r="H359" s="108" t="s">
        <v>7242</v>
      </c>
      <c r="I359" s="108" t="s">
        <v>7243</v>
      </c>
      <c r="J359" s="108" t="s">
        <v>7244</v>
      </c>
      <c r="K359" s="108" t="s">
        <v>7245</v>
      </c>
    </row>
    <row r="360" spans="1:11" s="91" customFormat="1" ht="15" customHeight="1" x14ac:dyDescent="0.25">
      <c r="A360" s="108"/>
      <c r="B360" s="108"/>
      <c r="C360" s="108"/>
      <c r="D360" s="108"/>
      <c r="E360" s="108">
        <v>29</v>
      </c>
      <c r="F360" s="108" t="s">
        <v>7246</v>
      </c>
      <c r="G360" s="108" t="s">
        <v>7247</v>
      </c>
      <c r="H360" s="108" t="s">
        <v>7248</v>
      </c>
      <c r="I360" s="108" t="s">
        <v>7249</v>
      </c>
      <c r="J360" s="108" t="s">
        <v>7250</v>
      </c>
      <c r="K360" s="108" t="s">
        <v>7251</v>
      </c>
    </row>
    <row r="361" spans="1:11" s="91" customFormat="1" ht="15" customHeight="1" x14ac:dyDescent="0.25">
      <c r="A361" s="108"/>
      <c r="B361" s="108"/>
      <c r="C361" s="108"/>
      <c r="D361" s="108"/>
      <c r="E361" s="108">
        <v>30</v>
      </c>
      <c r="F361" s="108" t="s">
        <v>7252</v>
      </c>
      <c r="G361" s="108" t="s">
        <v>7253</v>
      </c>
      <c r="H361" s="108" t="s">
        <v>7254</v>
      </c>
      <c r="I361" s="108" t="s">
        <v>7255</v>
      </c>
      <c r="J361" s="108" t="s">
        <v>7256</v>
      </c>
      <c r="K361" s="108" t="s">
        <v>7257</v>
      </c>
    </row>
    <row r="362" spans="1:11" s="91" customFormat="1" ht="15" customHeight="1" x14ac:dyDescent="0.25">
      <c r="A362" s="64"/>
      <c r="B362" s="64"/>
      <c r="C362" s="64">
        <v>104</v>
      </c>
      <c r="D362" s="64" t="s">
        <v>6888</v>
      </c>
      <c r="E362" s="64">
        <v>1</v>
      </c>
      <c r="F362" s="64" t="s">
        <v>6889</v>
      </c>
      <c r="G362" s="64" t="s">
        <v>6890</v>
      </c>
      <c r="H362" s="64" t="s">
        <v>6891</v>
      </c>
      <c r="I362" s="64" t="s">
        <v>6892</v>
      </c>
      <c r="J362" s="64" t="s">
        <v>6893</v>
      </c>
      <c r="K362" s="64" t="s">
        <v>6894</v>
      </c>
    </row>
    <row r="363" spans="1:11" s="91" customFormat="1" ht="15" customHeight="1" x14ac:dyDescent="0.25">
      <c r="A363" s="64"/>
      <c r="B363" s="64"/>
      <c r="C363" s="64"/>
      <c r="D363" s="105">
        <v>41365</v>
      </c>
      <c r="E363" s="64">
        <v>2</v>
      </c>
      <c r="F363" s="64" t="s">
        <v>6895</v>
      </c>
      <c r="G363" s="64" t="s">
        <v>6896</v>
      </c>
      <c r="H363" s="64" t="s">
        <v>6897</v>
      </c>
      <c r="I363" s="64" t="s">
        <v>6898</v>
      </c>
      <c r="J363" s="64" t="s">
        <v>6899</v>
      </c>
      <c r="K363" s="64" t="s">
        <v>6900</v>
      </c>
    </row>
    <row r="364" spans="1:11" s="91" customFormat="1" ht="15" customHeight="1" x14ac:dyDescent="0.25">
      <c r="A364" s="64"/>
      <c r="B364" s="64"/>
      <c r="C364" s="64"/>
      <c r="D364" s="64" t="s">
        <v>359</v>
      </c>
      <c r="E364" s="64">
        <v>3</v>
      </c>
      <c r="F364" s="64" t="s">
        <v>6901</v>
      </c>
      <c r="G364" s="64" t="s">
        <v>6902</v>
      </c>
      <c r="H364" s="64" t="s">
        <v>6903</v>
      </c>
      <c r="I364" s="64" t="s">
        <v>6904</v>
      </c>
      <c r="J364" s="64" t="s">
        <v>6905</v>
      </c>
      <c r="K364" s="64" t="s">
        <v>6906</v>
      </c>
    </row>
    <row r="365" spans="1:11" s="91" customFormat="1" ht="15" customHeight="1" x14ac:dyDescent="0.25">
      <c r="A365" s="64"/>
      <c r="B365" s="64"/>
      <c r="C365" s="64"/>
      <c r="D365" s="64"/>
      <c r="E365" s="64">
        <v>4</v>
      </c>
      <c r="F365" s="64" t="s">
        <v>6907</v>
      </c>
      <c r="G365" s="64" t="s">
        <v>6908</v>
      </c>
      <c r="H365" s="64" t="s">
        <v>6909</v>
      </c>
      <c r="I365" s="64" t="s">
        <v>6910</v>
      </c>
      <c r="J365" s="64" t="s">
        <v>6911</v>
      </c>
      <c r="K365" s="64" t="s">
        <v>6912</v>
      </c>
    </row>
    <row r="366" spans="1:11" s="91" customFormat="1" ht="15" customHeight="1" x14ac:dyDescent="0.25">
      <c r="A366" s="64"/>
      <c r="B366" s="64"/>
      <c r="C366" s="64"/>
      <c r="D366" s="64"/>
      <c r="E366" s="64">
        <v>5</v>
      </c>
      <c r="F366" s="64" t="s">
        <v>6913</v>
      </c>
      <c r="G366" s="64" t="s">
        <v>6914</v>
      </c>
      <c r="H366" s="64" t="s">
        <v>6915</v>
      </c>
      <c r="I366" s="64" t="s">
        <v>6916</v>
      </c>
      <c r="J366" s="64" t="s">
        <v>6917</v>
      </c>
      <c r="K366" s="64" t="s">
        <v>6918</v>
      </c>
    </row>
    <row r="367" spans="1:11" s="91" customFormat="1" ht="15" customHeight="1" x14ac:dyDescent="0.25">
      <c r="A367" s="64"/>
      <c r="B367" s="64"/>
      <c r="C367" s="64"/>
      <c r="D367" s="64"/>
      <c r="E367" s="64">
        <v>6</v>
      </c>
      <c r="F367" s="64" t="s">
        <v>6919</v>
      </c>
      <c r="G367" s="64" t="s">
        <v>6920</v>
      </c>
      <c r="H367" s="64" t="s">
        <v>6921</v>
      </c>
      <c r="I367" s="64" t="s">
        <v>6922</v>
      </c>
      <c r="J367" s="64" t="s">
        <v>6923</v>
      </c>
      <c r="K367" s="64" t="s">
        <v>6924</v>
      </c>
    </row>
    <row r="368" spans="1:11" s="91" customFormat="1" ht="15" customHeight="1" x14ac:dyDescent="0.25">
      <c r="A368" s="64"/>
      <c r="B368" s="64"/>
      <c r="C368" s="64"/>
      <c r="D368" s="64"/>
      <c r="E368" s="64">
        <v>7</v>
      </c>
      <c r="F368" s="64" t="s">
        <v>6925</v>
      </c>
      <c r="G368" s="64" t="s">
        <v>6926</v>
      </c>
      <c r="H368" s="64" t="s">
        <v>6927</v>
      </c>
      <c r="I368" s="64" t="s">
        <v>6928</v>
      </c>
      <c r="J368" s="64" t="s">
        <v>6929</v>
      </c>
      <c r="K368" s="64" t="s">
        <v>6930</v>
      </c>
    </row>
    <row r="369" spans="1:11" s="91" customFormat="1" ht="15" customHeight="1" x14ac:dyDescent="0.25">
      <c r="A369" s="64"/>
      <c r="B369" s="64"/>
      <c r="C369" s="64"/>
      <c r="D369" s="64"/>
      <c r="E369" s="64">
        <v>8</v>
      </c>
      <c r="F369" s="64" t="s">
        <v>6931</v>
      </c>
      <c r="G369" s="64" t="s">
        <v>6932</v>
      </c>
      <c r="H369" s="64" t="s">
        <v>6933</v>
      </c>
      <c r="I369" s="64" t="s">
        <v>6934</v>
      </c>
      <c r="J369" s="64" t="s">
        <v>6935</v>
      </c>
      <c r="K369" s="64" t="s">
        <v>6936</v>
      </c>
    </row>
    <row r="370" spans="1:11" s="91" customFormat="1" ht="15" customHeight="1" x14ac:dyDescent="0.25">
      <c r="A370" s="64"/>
      <c r="B370" s="64"/>
      <c r="C370" s="64"/>
      <c r="D370" s="64"/>
      <c r="E370" s="64">
        <v>9</v>
      </c>
      <c r="F370" s="64" t="s">
        <v>6937</v>
      </c>
      <c r="G370" s="64" t="s">
        <v>6938</v>
      </c>
      <c r="H370" s="64" t="s">
        <v>6939</v>
      </c>
      <c r="I370" s="64" t="s">
        <v>6940</v>
      </c>
      <c r="J370" s="64" t="s">
        <v>6941</v>
      </c>
      <c r="K370" s="64" t="s">
        <v>6942</v>
      </c>
    </row>
    <row r="371" spans="1:11" s="91" customFormat="1" ht="15" customHeight="1" x14ac:dyDescent="0.25">
      <c r="A371" s="64"/>
      <c r="B371" s="64"/>
      <c r="C371" s="64"/>
      <c r="D371" s="64"/>
      <c r="E371" s="64">
        <v>10</v>
      </c>
      <c r="F371" s="64" t="s">
        <v>6943</v>
      </c>
      <c r="G371" s="64" t="s">
        <v>6944</v>
      </c>
      <c r="H371" s="64" t="s">
        <v>6945</v>
      </c>
      <c r="I371" s="64" t="s">
        <v>6946</v>
      </c>
      <c r="J371" s="64" t="s">
        <v>6947</v>
      </c>
      <c r="K371" s="64" t="s">
        <v>6948</v>
      </c>
    </row>
    <row r="372" spans="1:11" s="91" customFormat="1" ht="15" customHeight="1" x14ac:dyDescent="0.25">
      <c r="A372" s="64"/>
      <c r="B372" s="64"/>
      <c r="C372" s="64"/>
      <c r="D372" s="64"/>
      <c r="E372" s="64">
        <v>11</v>
      </c>
      <c r="F372" s="64" t="s">
        <v>6949</v>
      </c>
      <c r="G372" s="64" t="s">
        <v>6950</v>
      </c>
      <c r="H372" s="64" t="s">
        <v>6951</v>
      </c>
      <c r="I372" s="64" t="s">
        <v>6952</v>
      </c>
      <c r="J372" s="64" t="s">
        <v>6953</v>
      </c>
      <c r="K372" s="64" t="s">
        <v>6954</v>
      </c>
    </row>
    <row r="373" spans="1:11" s="91" customFormat="1" ht="15" customHeight="1" x14ac:dyDescent="0.25">
      <c r="A373" s="64"/>
      <c r="B373" s="64"/>
      <c r="C373" s="64"/>
      <c r="D373" s="64"/>
      <c r="E373" s="64">
        <v>12</v>
      </c>
      <c r="F373" s="64" t="s">
        <v>6955</v>
      </c>
      <c r="G373" s="64" t="s">
        <v>6956</v>
      </c>
      <c r="H373" s="64" t="s">
        <v>6957</v>
      </c>
      <c r="I373" s="64" t="s">
        <v>6958</v>
      </c>
      <c r="J373" s="64" t="s">
        <v>6959</v>
      </c>
      <c r="K373" s="64" t="s">
        <v>6960</v>
      </c>
    </row>
    <row r="374" spans="1:11" s="91" customFormat="1" ht="15" customHeight="1" x14ac:dyDescent="0.25">
      <c r="A374" s="64"/>
      <c r="B374" s="64"/>
      <c r="C374" s="64"/>
      <c r="D374" s="64"/>
      <c r="E374" s="64">
        <v>13</v>
      </c>
      <c r="F374" s="64" t="s">
        <v>6961</v>
      </c>
      <c r="G374" s="64" t="s">
        <v>6962</v>
      </c>
      <c r="H374" s="64" t="s">
        <v>6963</v>
      </c>
      <c r="I374" s="64" t="s">
        <v>6964</v>
      </c>
      <c r="J374" s="64" t="s">
        <v>6965</v>
      </c>
      <c r="K374" s="64" t="s">
        <v>6966</v>
      </c>
    </row>
    <row r="375" spans="1:11" s="91" customFormat="1" ht="15" customHeight="1" x14ac:dyDescent="0.25">
      <c r="A375" s="64"/>
      <c r="B375" s="64"/>
      <c r="C375" s="64"/>
      <c r="D375" s="64"/>
      <c r="E375" s="64">
        <v>14</v>
      </c>
      <c r="F375" s="64" t="s">
        <v>6967</v>
      </c>
      <c r="G375" s="64" t="s">
        <v>6968</v>
      </c>
      <c r="H375" s="64" t="s">
        <v>6969</v>
      </c>
      <c r="I375" s="64" t="s">
        <v>6970</v>
      </c>
      <c r="J375" s="64" t="s">
        <v>6971</v>
      </c>
      <c r="K375" s="64" t="s">
        <v>6972</v>
      </c>
    </row>
    <row r="376" spans="1:11" s="91" customFormat="1" ht="15" customHeight="1" x14ac:dyDescent="0.25">
      <c r="A376" s="64"/>
      <c r="B376" s="64"/>
      <c r="C376" s="64"/>
      <c r="D376" s="64"/>
      <c r="E376" s="64">
        <v>15</v>
      </c>
      <c r="F376" s="64" t="s">
        <v>6973</v>
      </c>
      <c r="G376" s="64" t="s">
        <v>6974</v>
      </c>
      <c r="H376" s="64" t="s">
        <v>6975</v>
      </c>
      <c r="I376" s="64" t="s">
        <v>6976</v>
      </c>
      <c r="J376" s="64" t="s">
        <v>6977</v>
      </c>
      <c r="K376" s="64"/>
    </row>
    <row r="377" spans="1:11" s="91" customFormat="1" ht="15" customHeight="1" x14ac:dyDescent="0.25">
      <c r="A377" s="64"/>
      <c r="B377" s="64"/>
      <c r="C377" s="64"/>
      <c r="D377" s="64"/>
      <c r="E377" s="64">
        <v>16</v>
      </c>
      <c r="F377" s="64" t="s">
        <v>6978</v>
      </c>
      <c r="G377" s="64" t="s">
        <v>6979</v>
      </c>
      <c r="H377" s="64" t="s">
        <v>6980</v>
      </c>
      <c r="I377" s="64" t="s">
        <v>6981</v>
      </c>
      <c r="J377" s="64" t="s">
        <v>6982</v>
      </c>
      <c r="K377" s="64" t="s">
        <v>6983</v>
      </c>
    </row>
    <row r="378" spans="1:11" s="91" customFormat="1" ht="15" customHeight="1" x14ac:dyDescent="0.25">
      <c r="A378" s="64"/>
      <c r="B378" s="64"/>
      <c r="C378" s="64"/>
      <c r="D378" s="64"/>
      <c r="E378" s="64">
        <v>17</v>
      </c>
      <c r="F378" s="64" t="s">
        <v>6984</v>
      </c>
      <c r="G378" s="64" t="s">
        <v>6985</v>
      </c>
      <c r="H378" s="64" t="s">
        <v>6986</v>
      </c>
      <c r="I378" s="64" t="s">
        <v>6987</v>
      </c>
      <c r="J378" s="64" t="s">
        <v>6988</v>
      </c>
      <c r="K378" s="64" t="s">
        <v>6989</v>
      </c>
    </row>
    <row r="379" spans="1:11" s="91" customFormat="1" ht="15" customHeight="1" x14ac:dyDescent="0.25">
      <c r="A379" s="64"/>
      <c r="B379" s="64"/>
      <c r="C379" s="64"/>
      <c r="D379" s="64"/>
      <c r="E379" s="64">
        <v>18</v>
      </c>
      <c r="F379" s="64" t="s">
        <v>6990</v>
      </c>
      <c r="G379" s="64" t="s">
        <v>6991</v>
      </c>
      <c r="H379" s="64" t="s">
        <v>6992</v>
      </c>
      <c r="I379" s="64" t="s">
        <v>6993</v>
      </c>
      <c r="J379" s="64" t="s">
        <v>6994</v>
      </c>
      <c r="K379" s="64" t="s">
        <v>6995</v>
      </c>
    </row>
    <row r="380" spans="1:11" s="91" customFormat="1" ht="15" customHeight="1" x14ac:dyDescent="0.25">
      <c r="A380" s="64"/>
      <c r="B380" s="64"/>
      <c r="C380" s="64"/>
      <c r="D380" s="64"/>
      <c r="E380" s="64">
        <v>19</v>
      </c>
      <c r="F380" s="64" t="s">
        <v>6996</v>
      </c>
      <c r="G380" s="64" t="s">
        <v>6997</v>
      </c>
      <c r="H380" s="64" t="s">
        <v>6998</v>
      </c>
      <c r="I380" s="64" t="s">
        <v>6999</v>
      </c>
      <c r="J380" s="64" t="s">
        <v>7000</v>
      </c>
      <c r="K380" s="64" t="s">
        <v>7001</v>
      </c>
    </row>
    <row r="381" spans="1:11" s="91" customFormat="1" ht="15" customHeight="1" x14ac:dyDescent="0.25">
      <c r="A381" s="64"/>
      <c r="B381" s="64"/>
      <c r="C381" s="64"/>
      <c r="D381" s="64"/>
      <c r="E381" s="64">
        <v>20</v>
      </c>
      <c r="F381" s="64" t="s">
        <v>7002</v>
      </c>
      <c r="G381" s="64" t="s">
        <v>7003</v>
      </c>
      <c r="H381" s="64" t="s">
        <v>7004</v>
      </c>
      <c r="I381" s="64" t="s">
        <v>7005</v>
      </c>
      <c r="J381" s="64" t="s">
        <v>7006</v>
      </c>
      <c r="K381" s="64" t="s">
        <v>7007</v>
      </c>
    </row>
    <row r="382" spans="1:11" s="91" customFormat="1" ht="15" customHeight="1" x14ac:dyDescent="0.25">
      <c r="A382" s="64"/>
      <c r="B382" s="64"/>
      <c r="C382" s="64"/>
      <c r="D382" s="64"/>
      <c r="E382" s="64">
        <v>21</v>
      </c>
      <c r="F382" s="64" t="s">
        <v>7008</v>
      </c>
      <c r="G382" s="64" t="s">
        <v>7009</v>
      </c>
      <c r="H382" s="64" t="s">
        <v>7010</v>
      </c>
      <c r="I382" s="64" t="s">
        <v>7011</v>
      </c>
      <c r="J382" s="64" t="s">
        <v>7012</v>
      </c>
      <c r="K382" s="64" t="s">
        <v>7013</v>
      </c>
    </row>
    <row r="383" spans="1:11" s="91" customFormat="1" ht="15" customHeight="1" x14ac:dyDescent="0.25">
      <c r="A383" s="64"/>
      <c r="B383" s="64"/>
      <c r="C383" s="64"/>
      <c r="D383" s="64"/>
      <c r="E383" s="64">
        <v>22</v>
      </c>
      <c r="F383" s="64" t="s">
        <v>7014</v>
      </c>
      <c r="G383" s="64" t="s">
        <v>7015</v>
      </c>
      <c r="H383" s="64" t="s">
        <v>7016</v>
      </c>
      <c r="I383" s="64" t="s">
        <v>7017</v>
      </c>
      <c r="J383" s="64" t="s">
        <v>7018</v>
      </c>
      <c r="K383" s="64" t="s">
        <v>7019</v>
      </c>
    </row>
    <row r="384" spans="1:11" s="91" customFormat="1" ht="15" customHeight="1" x14ac:dyDescent="0.25">
      <c r="A384" s="64"/>
      <c r="B384" s="64"/>
      <c r="C384" s="64"/>
      <c r="D384" s="64"/>
      <c r="E384" s="64">
        <v>23</v>
      </c>
      <c r="F384" s="64" t="s">
        <v>7020</v>
      </c>
      <c r="G384" s="64" t="s">
        <v>7021</v>
      </c>
      <c r="H384" s="64" t="s">
        <v>7022</v>
      </c>
      <c r="I384" s="64" t="s">
        <v>7023</v>
      </c>
      <c r="J384" s="64" t="s">
        <v>7024</v>
      </c>
      <c r="K384" s="64" t="s">
        <v>7025</v>
      </c>
    </row>
    <row r="385" spans="1:16" s="91" customFormat="1" ht="15" customHeight="1" x14ac:dyDescent="0.25">
      <c r="A385" s="64"/>
      <c r="B385" s="64"/>
      <c r="C385" s="64"/>
      <c r="D385" s="64"/>
      <c r="E385" s="64">
        <v>24</v>
      </c>
      <c r="F385" s="64" t="s">
        <v>7026</v>
      </c>
      <c r="G385" s="64" t="s">
        <v>7027</v>
      </c>
      <c r="H385" s="64" t="s">
        <v>7028</v>
      </c>
      <c r="I385" s="64" t="s">
        <v>7029</v>
      </c>
      <c r="J385" s="64" t="s">
        <v>7030</v>
      </c>
      <c r="K385" s="64" t="s">
        <v>7031</v>
      </c>
    </row>
    <row r="386" spans="1:16" s="91" customFormat="1" ht="15" customHeight="1" x14ac:dyDescent="0.25">
      <c r="A386" s="64"/>
      <c r="B386" s="64"/>
      <c r="C386" s="64"/>
      <c r="D386" s="64"/>
      <c r="E386" s="64">
        <v>25</v>
      </c>
      <c r="F386" s="64" t="s">
        <v>7032</v>
      </c>
      <c r="G386" s="64" t="s">
        <v>7033</v>
      </c>
      <c r="H386" s="64" t="s">
        <v>7034</v>
      </c>
      <c r="I386" s="64" t="s">
        <v>7035</v>
      </c>
      <c r="J386" s="64" t="s">
        <v>7036</v>
      </c>
      <c r="K386" s="64" t="s">
        <v>7037</v>
      </c>
    </row>
    <row r="387" spans="1:16" s="91" customFormat="1" ht="15" customHeight="1" x14ac:dyDescent="0.25">
      <c r="A387" s="64"/>
      <c r="B387" s="64"/>
      <c r="C387" s="64"/>
      <c r="D387" s="64"/>
      <c r="E387" s="64">
        <v>26</v>
      </c>
      <c r="F387" s="64" t="s">
        <v>7038</v>
      </c>
      <c r="G387" s="64" t="s">
        <v>7039</v>
      </c>
      <c r="H387" s="64" t="s">
        <v>7040</v>
      </c>
      <c r="I387" s="64" t="s">
        <v>7041</v>
      </c>
      <c r="J387" s="64" t="s">
        <v>7042</v>
      </c>
      <c r="K387" s="64" t="s">
        <v>7043</v>
      </c>
    </row>
    <row r="388" spans="1:16" s="91" customFormat="1" ht="15" customHeight="1" x14ac:dyDescent="0.25">
      <c r="A388" s="64"/>
      <c r="B388" s="64"/>
      <c r="C388" s="64"/>
      <c r="D388" s="64"/>
      <c r="E388" s="64">
        <v>27</v>
      </c>
      <c r="F388" s="64" t="s">
        <v>7044</v>
      </c>
      <c r="G388" s="64" t="s">
        <v>7045</v>
      </c>
      <c r="H388" s="64" t="s">
        <v>7046</v>
      </c>
      <c r="I388" s="64" t="s">
        <v>7047</v>
      </c>
      <c r="J388" s="64" t="s">
        <v>7048</v>
      </c>
      <c r="K388" s="64" t="s">
        <v>7049</v>
      </c>
    </row>
    <row r="389" spans="1:16" ht="15" customHeight="1" x14ac:dyDescent="0.25">
      <c r="A389" s="64"/>
      <c r="B389" s="64"/>
      <c r="C389" s="64"/>
      <c r="D389" s="64"/>
      <c r="E389" s="64">
        <v>28</v>
      </c>
      <c r="F389" s="64" t="s">
        <v>7050</v>
      </c>
      <c r="G389" s="64" t="s">
        <v>7051</v>
      </c>
      <c r="H389" s="64" t="s">
        <v>7052</v>
      </c>
      <c r="I389" s="64" t="s">
        <v>7053</v>
      </c>
      <c r="J389" s="64" t="s">
        <v>7054</v>
      </c>
      <c r="K389" s="64" t="s">
        <v>7055</v>
      </c>
      <c r="L389" s="91"/>
      <c r="M389" s="91"/>
      <c r="N389" s="91"/>
      <c r="O389" s="91"/>
      <c r="P389" s="91"/>
    </row>
    <row r="390" spans="1:16" ht="15" customHeight="1" x14ac:dyDescent="0.25">
      <c r="A390" s="64"/>
      <c r="B390" s="64"/>
      <c r="C390" s="64"/>
      <c r="D390" s="64"/>
      <c r="E390" s="64">
        <v>29</v>
      </c>
      <c r="F390" s="64" t="s">
        <v>7056</v>
      </c>
      <c r="G390" s="64" t="s">
        <v>7057</v>
      </c>
      <c r="H390" s="64" t="s">
        <v>7058</v>
      </c>
      <c r="I390" s="64" t="s">
        <v>7059</v>
      </c>
      <c r="J390" s="64" t="s">
        <v>7060</v>
      </c>
      <c r="K390" s="64" t="s">
        <v>7061</v>
      </c>
      <c r="L390" s="91"/>
      <c r="M390" s="91"/>
      <c r="N390" s="91"/>
      <c r="O390" s="91"/>
      <c r="P390" s="91"/>
    </row>
    <row r="391" spans="1:16" ht="15" customHeight="1" x14ac:dyDescent="0.25">
      <c r="A391" s="64"/>
      <c r="B391" s="64"/>
      <c r="C391" s="64"/>
      <c r="D391" s="64"/>
      <c r="E391" s="64">
        <v>30</v>
      </c>
      <c r="F391" s="64" t="s">
        <v>7062</v>
      </c>
      <c r="G391" s="64" t="s">
        <v>7063</v>
      </c>
      <c r="H391" s="64" t="s">
        <v>7064</v>
      </c>
      <c r="I391" s="64" t="s">
        <v>7065</v>
      </c>
      <c r="J391" s="64" t="s">
        <v>7066</v>
      </c>
      <c r="K391" s="64" t="s">
        <v>7067</v>
      </c>
      <c r="L391" s="91"/>
      <c r="M391" s="91"/>
      <c r="N391" s="91"/>
      <c r="O391" s="91"/>
      <c r="P391" s="91"/>
    </row>
    <row r="392" spans="1:16" ht="15" customHeight="1" x14ac:dyDescent="0.25">
      <c r="A392" s="26"/>
      <c r="B392" s="26"/>
      <c r="C392" s="26">
        <v>104</v>
      </c>
      <c r="D392" s="26" t="s">
        <v>7070</v>
      </c>
      <c r="E392" s="26">
        <v>1</v>
      </c>
      <c r="F392" s="26" t="s">
        <v>7071</v>
      </c>
      <c r="G392" s="26" t="s">
        <v>7072</v>
      </c>
      <c r="H392" s="26" t="s">
        <v>7073</v>
      </c>
      <c r="I392" s="26" t="s">
        <v>7074</v>
      </c>
      <c r="J392" s="26" t="s">
        <v>7075</v>
      </c>
      <c r="K392" s="26" t="s">
        <v>7076</v>
      </c>
      <c r="L392" s="91"/>
      <c r="M392" s="91"/>
      <c r="N392" s="91"/>
      <c r="O392" s="91"/>
      <c r="P392" s="91"/>
    </row>
    <row r="393" spans="1:16" ht="15" customHeight="1" x14ac:dyDescent="0.25">
      <c r="A393" s="26"/>
      <c r="B393" s="26"/>
      <c r="C393" s="26"/>
      <c r="D393" s="110">
        <v>41365</v>
      </c>
      <c r="E393" s="26">
        <v>2</v>
      </c>
      <c r="F393" s="26" t="s">
        <v>7077</v>
      </c>
      <c r="G393" s="26" t="s">
        <v>7078</v>
      </c>
      <c r="H393" s="26" t="s">
        <v>7079</v>
      </c>
      <c r="I393" s="26" t="s">
        <v>7080</v>
      </c>
      <c r="J393" s="26" t="s">
        <v>7081</v>
      </c>
      <c r="K393" s="26" t="s">
        <v>7082</v>
      </c>
      <c r="L393" s="91"/>
      <c r="M393" s="91"/>
      <c r="N393" s="91"/>
      <c r="O393" s="91"/>
      <c r="P393" s="91"/>
    </row>
    <row r="394" spans="1:16" ht="15" customHeight="1" x14ac:dyDescent="0.25">
      <c r="A394" s="26"/>
      <c r="B394" s="26"/>
      <c r="C394" s="26"/>
      <c r="D394" s="26" t="s">
        <v>359</v>
      </c>
      <c r="E394" s="26">
        <v>3</v>
      </c>
      <c r="F394" s="26" t="s">
        <v>7083</v>
      </c>
      <c r="G394" s="26" t="s">
        <v>7084</v>
      </c>
      <c r="H394" s="26" t="s">
        <v>7085</v>
      </c>
      <c r="I394" s="26" t="s">
        <v>7086</v>
      </c>
      <c r="J394" s="26" t="s">
        <v>7087</v>
      </c>
      <c r="K394" s="26" t="s">
        <v>7088</v>
      </c>
      <c r="L394" s="91"/>
      <c r="M394" s="91"/>
      <c r="N394" s="91"/>
      <c r="O394" s="91"/>
      <c r="P394" s="91"/>
    </row>
    <row r="395" spans="1:16" ht="15" customHeight="1" x14ac:dyDescent="0.25">
      <c r="A395" s="26"/>
      <c r="B395" s="26"/>
      <c r="C395" s="26"/>
      <c r="D395" s="26"/>
      <c r="E395" s="26">
        <v>4</v>
      </c>
      <c r="F395" s="26" t="s">
        <v>7089</v>
      </c>
      <c r="G395" s="26" t="s">
        <v>7090</v>
      </c>
      <c r="H395" s="26" t="s">
        <v>7091</v>
      </c>
      <c r="I395" s="26" t="s">
        <v>7092</v>
      </c>
      <c r="J395" s="26" t="s">
        <v>7093</v>
      </c>
      <c r="K395" s="26" t="s">
        <v>7094</v>
      </c>
      <c r="L395" s="91"/>
      <c r="M395" s="91"/>
      <c r="N395" s="91"/>
      <c r="O395" s="91"/>
      <c r="P395" s="91"/>
    </row>
    <row r="396" spans="1:16" ht="15" customHeight="1" x14ac:dyDescent="0.25">
      <c r="A396" s="26"/>
      <c r="B396" s="26"/>
      <c r="C396" s="26"/>
      <c r="D396" s="26"/>
      <c r="E396" s="26">
        <v>5</v>
      </c>
      <c r="F396" s="26" t="s">
        <v>7095</v>
      </c>
      <c r="G396" s="26" t="s">
        <v>7096</v>
      </c>
      <c r="H396" s="26" t="s">
        <v>7097</v>
      </c>
      <c r="I396" s="26" t="s">
        <v>7098</v>
      </c>
      <c r="J396" s="26" t="s">
        <v>7099</v>
      </c>
      <c r="K396" s="26" t="s">
        <v>7100</v>
      </c>
      <c r="L396" s="91"/>
      <c r="M396" s="91"/>
      <c r="N396" s="91"/>
      <c r="O396" s="91"/>
      <c r="P396" s="91"/>
    </row>
    <row r="397" spans="1:16" ht="15" customHeight="1" x14ac:dyDescent="0.25">
      <c r="A397" s="26"/>
      <c r="B397" s="26"/>
      <c r="C397" s="26"/>
      <c r="D397" s="26"/>
      <c r="E397" s="26">
        <v>6</v>
      </c>
      <c r="F397" s="26" t="s">
        <v>7101</v>
      </c>
      <c r="G397" s="26" t="s">
        <v>7102</v>
      </c>
      <c r="H397" s="26" t="s">
        <v>7103</v>
      </c>
      <c r="I397" s="26" t="s">
        <v>7104</v>
      </c>
      <c r="J397" s="26" t="s">
        <v>7105</v>
      </c>
      <c r="K397" s="26" t="s">
        <v>7106</v>
      </c>
      <c r="L397" s="91"/>
      <c r="M397" s="91"/>
      <c r="N397" s="91"/>
      <c r="O397" s="91"/>
      <c r="P397" s="91"/>
    </row>
    <row r="398" spans="1:16" ht="15" customHeight="1" x14ac:dyDescent="0.25">
      <c r="A398" s="26"/>
      <c r="B398" s="26"/>
      <c r="C398" s="26"/>
      <c r="D398" s="26"/>
      <c r="E398" s="26">
        <v>7</v>
      </c>
      <c r="F398" s="26" t="s">
        <v>7107</v>
      </c>
      <c r="G398" s="26" t="s">
        <v>7108</v>
      </c>
      <c r="H398" s="26" t="s">
        <v>7109</v>
      </c>
      <c r="I398" s="26" t="s">
        <v>7110</v>
      </c>
      <c r="J398" s="26" t="s">
        <v>7111</v>
      </c>
      <c r="K398" s="26" t="s">
        <v>7112</v>
      </c>
      <c r="L398" s="91"/>
      <c r="M398" s="91"/>
      <c r="N398" s="91"/>
      <c r="O398" s="91"/>
      <c r="P398" s="91"/>
    </row>
    <row r="399" spans="1:16" ht="15" customHeight="1" x14ac:dyDescent="0.25">
      <c r="A399" s="26"/>
      <c r="B399" s="26"/>
      <c r="C399" s="26"/>
      <c r="D399" s="26"/>
      <c r="E399" s="26">
        <v>8</v>
      </c>
      <c r="F399" s="26" t="s">
        <v>7113</v>
      </c>
      <c r="G399" s="26" t="s">
        <v>7114</v>
      </c>
      <c r="H399" s="26" t="s">
        <v>7115</v>
      </c>
      <c r="I399" s="26" t="s">
        <v>7116</v>
      </c>
      <c r="J399" s="26" t="s">
        <v>7117</v>
      </c>
      <c r="K399" s="26" t="s">
        <v>7118</v>
      </c>
      <c r="L399" s="91"/>
      <c r="M399" s="91"/>
      <c r="N399" s="91"/>
      <c r="O399" s="91"/>
      <c r="P399" s="91"/>
    </row>
    <row r="400" spans="1:16" ht="15" customHeight="1" x14ac:dyDescent="0.25">
      <c r="A400" s="26"/>
      <c r="B400" s="26"/>
      <c r="C400" s="26"/>
      <c r="D400" s="26"/>
      <c r="E400" s="26">
        <v>9</v>
      </c>
      <c r="F400" s="26" t="s">
        <v>7119</v>
      </c>
      <c r="G400" s="26" t="s">
        <v>7120</v>
      </c>
      <c r="H400" s="26" t="s">
        <v>7121</v>
      </c>
      <c r="I400" s="26" t="s">
        <v>7122</v>
      </c>
      <c r="J400" s="26" t="s">
        <v>7123</v>
      </c>
      <c r="K400" s="26" t="s">
        <v>7124</v>
      </c>
      <c r="L400" s="91"/>
      <c r="M400" s="91"/>
      <c r="N400" s="91"/>
      <c r="O400" s="91"/>
      <c r="P400" s="91"/>
    </row>
    <row r="401" spans="1:16" ht="15" customHeight="1" x14ac:dyDescent="0.25">
      <c r="A401" s="26"/>
      <c r="B401" s="26"/>
      <c r="C401" s="26"/>
      <c r="D401" s="26"/>
      <c r="E401" s="26">
        <v>10</v>
      </c>
      <c r="F401" s="26" t="s">
        <v>7125</v>
      </c>
      <c r="G401" s="26" t="s">
        <v>7126</v>
      </c>
      <c r="H401" s="26" t="s">
        <v>7127</v>
      </c>
      <c r="I401" s="26" t="s">
        <v>7128</v>
      </c>
      <c r="J401" s="26" t="s">
        <v>7129</v>
      </c>
      <c r="K401" s="26" t="s">
        <v>7130</v>
      </c>
      <c r="L401" s="91"/>
      <c r="M401" s="91"/>
      <c r="N401" s="91"/>
      <c r="O401" s="91"/>
      <c r="P401" s="91"/>
    </row>
    <row r="402" spans="1:16" ht="15" customHeight="1" x14ac:dyDescent="0.25">
      <c r="A402" s="26"/>
      <c r="B402" s="26"/>
      <c r="C402" s="26"/>
      <c r="D402" s="26"/>
      <c r="E402" s="26">
        <v>11</v>
      </c>
      <c r="F402" s="26" t="s">
        <v>7131</v>
      </c>
      <c r="G402" s="26" t="s">
        <v>7132</v>
      </c>
      <c r="H402" s="26" t="s">
        <v>7133</v>
      </c>
      <c r="I402" s="26" t="s">
        <v>7134</v>
      </c>
      <c r="J402" s="26" t="s">
        <v>7135</v>
      </c>
      <c r="K402" s="26" t="s">
        <v>7136</v>
      </c>
      <c r="L402" s="91"/>
      <c r="M402" s="91"/>
      <c r="N402" s="91"/>
      <c r="O402" s="91"/>
      <c r="P402" s="91"/>
    </row>
    <row r="403" spans="1:16" ht="15" customHeight="1" x14ac:dyDescent="0.25">
      <c r="A403" s="26"/>
      <c r="B403" s="26"/>
      <c r="C403" s="26"/>
      <c r="D403" s="26"/>
      <c r="E403" s="26">
        <v>12</v>
      </c>
      <c r="F403" s="26" t="s">
        <v>7137</v>
      </c>
      <c r="G403" s="26" t="s">
        <v>7138</v>
      </c>
      <c r="H403" s="26" t="s">
        <v>7139</v>
      </c>
      <c r="I403" s="26" t="s">
        <v>7140</v>
      </c>
      <c r="J403" s="26" t="s">
        <v>7141</v>
      </c>
      <c r="K403" s="26" t="s">
        <v>7142</v>
      </c>
      <c r="L403" s="91"/>
      <c r="M403" s="91"/>
      <c r="N403" s="91"/>
      <c r="O403" s="91"/>
      <c r="P403" s="91"/>
    </row>
    <row r="404" spans="1:16" ht="15" customHeight="1" x14ac:dyDescent="0.25">
      <c r="A404" s="26"/>
      <c r="B404" s="26"/>
      <c r="C404" s="26"/>
      <c r="D404" s="26"/>
      <c r="E404" s="26">
        <v>13</v>
      </c>
      <c r="F404" s="26" t="s">
        <v>7143</v>
      </c>
      <c r="G404" s="26" t="s">
        <v>7144</v>
      </c>
      <c r="H404" s="26" t="s">
        <v>7145</v>
      </c>
      <c r="I404" s="26" t="s">
        <v>7146</v>
      </c>
      <c r="J404" s="26" t="s">
        <v>7147</v>
      </c>
      <c r="K404" s="26" t="s">
        <v>7148</v>
      </c>
      <c r="L404" s="91"/>
      <c r="M404" s="91"/>
      <c r="N404" s="91"/>
      <c r="O404" s="91"/>
      <c r="P404" s="91"/>
    </row>
    <row r="405" spans="1:16" ht="15" customHeight="1" x14ac:dyDescent="0.25">
      <c r="A405" s="26"/>
      <c r="B405" s="26"/>
      <c r="C405" s="26"/>
      <c r="D405" s="26"/>
      <c r="E405" s="26">
        <v>14</v>
      </c>
      <c r="F405" s="26" t="s">
        <v>7149</v>
      </c>
      <c r="G405" s="26" t="s">
        <v>7150</v>
      </c>
      <c r="H405" s="26" t="s">
        <v>7151</v>
      </c>
      <c r="I405" s="26" t="s">
        <v>7152</v>
      </c>
      <c r="J405" s="26" t="s">
        <v>7153</v>
      </c>
      <c r="K405" s="26" t="s">
        <v>7154</v>
      </c>
      <c r="L405" s="91"/>
      <c r="M405" s="91"/>
      <c r="N405" s="91"/>
      <c r="O405" s="91"/>
      <c r="P405" s="91"/>
    </row>
    <row r="406" spans="1:16" ht="15" customHeight="1" x14ac:dyDescent="0.25">
      <c r="A406" s="26"/>
      <c r="B406" s="26"/>
      <c r="C406" s="26"/>
      <c r="D406" s="26"/>
      <c r="E406" s="26">
        <v>15</v>
      </c>
      <c r="F406" s="26" t="s">
        <v>7155</v>
      </c>
      <c r="G406" s="26" t="s">
        <v>7156</v>
      </c>
      <c r="H406" s="26" t="s">
        <v>7157</v>
      </c>
      <c r="I406" s="26" t="s">
        <v>7158</v>
      </c>
      <c r="J406" s="26" t="s">
        <v>7159</v>
      </c>
      <c r="K406" s="26" t="s">
        <v>7160</v>
      </c>
      <c r="L406" s="91"/>
      <c r="M406" s="91"/>
      <c r="N406" s="91"/>
      <c r="O406" s="91"/>
      <c r="P406" s="91"/>
    </row>
    <row r="407" spans="1:16" ht="15" customHeight="1" x14ac:dyDescent="0.25">
      <c r="A407" s="26"/>
      <c r="B407" s="26"/>
      <c r="C407" s="26"/>
      <c r="D407" s="26"/>
      <c r="E407" s="26">
        <v>16</v>
      </c>
      <c r="F407" s="26" t="s">
        <v>7168</v>
      </c>
      <c r="G407" s="26" t="s">
        <v>7169</v>
      </c>
      <c r="H407" s="26" t="s">
        <v>7170</v>
      </c>
      <c r="I407" s="26" t="s">
        <v>7171</v>
      </c>
      <c r="J407" s="26" t="s">
        <v>7172</v>
      </c>
      <c r="K407" s="26" t="s">
        <v>7173</v>
      </c>
      <c r="L407" s="91"/>
      <c r="M407" s="91"/>
      <c r="N407" s="91"/>
      <c r="O407" s="91"/>
      <c r="P407" s="91"/>
    </row>
    <row r="408" spans="1:16" ht="15" customHeight="1" x14ac:dyDescent="0.25">
      <c r="A408" s="26"/>
      <c r="B408" s="26"/>
      <c r="C408" s="26"/>
      <c r="D408" s="26"/>
      <c r="E408" s="26">
        <v>17</v>
      </c>
      <c r="F408" s="26" t="s">
        <v>7174</v>
      </c>
      <c r="G408" s="26" t="s">
        <v>7175</v>
      </c>
      <c r="H408" s="26" t="s">
        <v>7176</v>
      </c>
      <c r="I408" s="26" t="s">
        <v>7177</v>
      </c>
      <c r="J408" s="26" t="s">
        <v>7178</v>
      </c>
      <c r="K408" s="26" t="s">
        <v>7179</v>
      </c>
      <c r="L408" s="91"/>
      <c r="M408" s="91"/>
      <c r="N408" s="91"/>
      <c r="O408" s="91"/>
      <c r="P408" s="91"/>
    </row>
    <row r="409" spans="1:16" ht="15" customHeight="1" x14ac:dyDescent="0.25">
      <c r="A409" s="26"/>
      <c r="B409" s="26"/>
      <c r="C409" s="26"/>
      <c r="D409" s="26"/>
      <c r="E409" s="26">
        <v>18</v>
      </c>
      <c r="F409" s="26" t="s">
        <v>7180</v>
      </c>
      <c r="G409" s="26" t="s">
        <v>7181</v>
      </c>
      <c r="H409" s="26" t="s">
        <v>7182</v>
      </c>
      <c r="I409" s="26" t="s">
        <v>7183</v>
      </c>
      <c r="J409" s="26" t="s">
        <v>7184</v>
      </c>
      <c r="K409" s="26" t="s">
        <v>7185</v>
      </c>
      <c r="L409" s="91"/>
      <c r="M409" s="91"/>
      <c r="N409" s="91"/>
      <c r="O409" s="91"/>
      <c r="P409" s="91"/>
    </row>
    <row r="410" spans="1:16" ht="15" customHeight="1" x14ac:dyDescent="0.25">
      <c r="A410" s="26"/>
      <c r="B410" s="26"/>
      <c r="C410" s="26"/>
      <c r="D410" s="26"/>
      <c r="E410" s="26">
        <v>19</v>
      </c>
      <c r="F410" s="26" t="s">
        <v>7186</v>
      </c>
      <c r="G410" s="26" t="s">
        <v>7187</v>
      </c>
      <c r="H410" s="26" t="s">
        <v>7188</v>
      </c>
      <c r="I410" s="26" t="s">
        <v>7189</v>
      </c>
      <c r="J410" s="26" t="s">
        <v>7190</v>
      </c>
      <c r="K410" s="26" t="s">
        <v>7258</v>
      </c>
      <c r="L410" s="91"/>
      <c r="M410" s="91"/>
      <c r="N410" s="91"/>
      <c r="O410" s="91"/>
      <c r="P410" s="91"/>
    </row>
    <row r="411" spans="1:16" ht="15" customHeight="1" x14ac:dyDescent="0.25">
      <c r="A411" s="26"/>
      <c r="B411" s="26"/>
      <c r="C411" s="26"/>
      <c r="D411" s="26"/>
      <c r="E411" s="26">
        <v>20</v>
      </c>
      <c r="F411" s="26" t="s">
        <v>7192</v>
      </c>
      <c r="G411" s="26" t="s">
        <v>7193</v>
      </c>
      <c r="H411" s="26" t="s">
        <v>7194</v>
      </c>
      <c r="I411" s="26" t="s">
        <v>7195</v>
      </c>
      <c r="J411" s="26" t="s">
        <v>7196</v>
      </c>
      <c r="K411" s="26" t="s">
        <v>7197</v>
      </c>
      <c r="L411" s="91"/>
      <c r="M411" s="91"/>
      <c r="N411" s="91"/>
      <c r="O411" s="91"/>
      <c r="P411" s="91"/>
    </row>
    <row r="412" spans="1:16" ht="15" customHeight="1" x14ac:dyDescent="0.25">
      <c r="A412" s="26"/>
      <c r="B412" s="26"/>
      <c r="C412" s="26"/>
      <c r="D412" s="26"/>
      <c r="E412" s="26">
        <v>21</v>
      </c>
      <c r="F412" s="26" t="s">
        <v>7204</v>
      </c>
      <c r="G412" s="26" t="s">
        <v>7259</v>
      </c>
      <c r="H412" s="26" t="s">
        <v>7206</v>
      </c>
      <c r="I412" s="26" t="s">
        <v>7207</v>
      </c>
      <c r="J412" s="26" t="s">
        <v>7208</v>
      </c>
      <c r="K412" s="26" t="s">
        <v>7260</v>
      </c>
      <c r="L412" s="91"/>
      <c r="M412" s="91"/>
      <c r="N412" s="91"/>
      <c r="O412" s="91"/>
      <c r="P412" s="91"/>
    </row>
    <row r="413" spans="1:16" ht="15" customHeight="1" x14ac:dyDescent="0.25">
      <c r="A413" s="26"/>
      <c r="B413" s="26"/>
      <c r="C413" s="26"/>
      <c r="D413" s="26"/>
      <c r="E413" s="26">
        <v>22</v>
      </c>
      <c r="F413" s="26" t="s">
        <v>7198</v>
      </c>
      <c r="G413" s="26" t="s">
        <v>7261</v>
      </c>
      <c r="H413" s="26" t="s">
        <v>7200</v>
      </c>
      <c r="I413" s="26" t="s">
        <v>7201</v>
      </c>
      <c r="J413" s="26" t="s">
        <v>7202</v>
      </c>
      <c r="K413" s="26" t="s">
        <v>7203</v>
      </c>
      <c r="L413" s="91"/>
      <c r="M413" s="91"/>
      <c r="N413" s="91"/>
      <c r="O413" s="91"/>
      <c r="P413" s="91"/>
    </row>
    <row r="414" spans="1:16" ht="15" customHeight="1" x14ac:dyDescent="0.25">
      <c r="A414" s="26"/>
      <c r="B414" s="26"/>
      <c r="C414" s="26"/>
      <c r="D414" s="26"/>
      <c r="E414" s="26">
        <v>23</v>
      </c>
      <c r="F414" s="26" t="s">
        <v>7210</v>
      </c>
      <c r="G414" s="26" t="s">
        <v>7211</v>
      </c>
      <c r="H414" s="26" t="s">
        <v>7212</v>
      </c>
      <c r="I414" s="26" t="s">
        <v>7213</v>
      </c>
      <c r="J414" s="26" t="s">
        <v>7214</v>
      </c>
      <c r="K414" s="26" t="s">
        <v>7215</v>
      </c>
      <c r="L414" s="91"/>
      <c r="M414" s="91"/>
      <c r="N414" s="91"/>
      <c r="O414" s="91"/>
      <c r="P414" s="91"/>
    </row>
    <row r="415" spans="1:16" ht="15" customHeight="1" x14ac:dyDescent="0.25">
      <c r="A415" s="26"/>
      <c r="B415" s="26"/>
      <c r="C415" s="26"/>
      <c r="D415" s="26"/>
      <c r="E415" s="26">
        <v>24</v>
      </c>
      <c r="F415" s="26" t="s">
        <v>7216</v>
      </c>
      <c r="G415" s="26" t="s">
        <v>7217</v>
      </c>
      <c r="H415" s="26" t="s">
        <v>7218</v>
      </c>
      <c r="I415" s="26" t="s">
        <v>7219</v>
      </c>
      <c r="J415" s="26" t="s">
        <v>7220</v>
      </c>
      <c r="K415" s="26" t="s">
        <v>7221</v>
      </c>
      <c r="L415" s="91"/>
      <c r="M415" s="91"/>
      <c r="N415" s="91"/>
      <c r="O415" s="91"/>
      <c r="P415" s="91"/>
    </row>
    <row r="416" spans="1:16" ht="15" customHeight="1" x14ac:dyDescent="0.25">
      <c r="A416" s="26"/>
      <c r="B416" s="26"/>
      <c r="C416" s="26"/>
      <c r="D416" s="26"/>
      <c r="E416" s="26">
        <v>25</v>
      </c>
      <c r="F416" s="26" t="s">
        <v>7222</v>
      </c>
      <c r="G416" s="26" t="s">
        <v>7223</v>
      </c>
      <c r="H416" s="26" t="s">
        <v>7224</v>
      </c>
      <c r="I416" s="26" t="s">
        <v>7225</v>
      </c>
      <c r="J416" s="26" t="s">
        <v>7226</v>
      </c>
      <c r="K416" s="26" t="s">
        <v>7227</v>
      </c>
      <c r="L416" s="91"/>
      <c r="M416" s="91"/>
      <c r="N416" s="91"/>
      <c r="O416" s="91"/>
      <c r="P416" s="91"/>
    </row>
    <row r="417" spans="1:16" ht="15" customHeight="1" x14ac:dyDescent="0.25">
      <c r="A417" s="26"/>
      <c r="B417" s="26"/>
      <c r="C417" s="26"/>
      <c r="D417" s="26"/>
      <c r="E417" s="26">
        <v>26</v>
      </c>
      <c r="F417" s="26" t="s">
        <v>7228</v>
      </c>
      <c r="G417" s="26" t="s">
        <v>7229</v>
      </c>
      <c r="H417" s="26" t="s">
        <v>7230</v>
      </c>
      <c r="I417" s="26" t="s">
        <v>7231</v>
      </c>
      <c r="J417" s="26" t="s">
        <v>7232</v>
      </c>
      <c r="K417" s="26" t="s">
        <v>7233</v>
      </c>
      <c r="L417" s="91"/>
      <c r="M417" s="91"/>
      <c r="N417" s="91"/>
      <c r="O417" s="91"/>
      <c r="P417" s="91"/>
    </row>
    <row r="418" spans="1:16" ht="15" customHeight="1" x14ac:dyDescent="0.25">
      <c r="A418" s="26"/>
      <c r="B418" s="26"/>
      <c r="C418" s="26"/>
      <c r="D418" s="26"/>
      <c r="E418" s="26">
        <v>27</v>
      </c>
      <c r="F418" s="26" t="s">
        <v>7234</v>
      </c>
      <c r="G418" s="26" t="s">
        <v>7235</v>
      </c>
      <c r="H418" s="26" t="s">
        <v>7236</v>
      </c>
      <c r="I418" s="26" t="s">
        <v>7237</v>
      </c>
      <c r="J418" s="26" t="s">
        <v>7238</v>
      </c>
      <c r="K418" s="26" t="s">
        <v>7239</v>
      </c>
      <c r="L418" s="91"/>
      <c r="M418" s="91"/>
      <c r="N418" s="91"/>
      <c r="O418" s="91"/>
      <c r="P418" s="91"/>
    </row>
    <row r="419" spans="1:16" ht="15" customHeight="1" x14ac:dyDescent="0.25">
      <c r="A419" s="26"/>
      <c r="B419" s="26"/>
      <c r="C419" s="26"/>
      <c r="D419" s="26"/>
      <c r="E419" s="26">
        <v>28</v>
      </c>
      <c r="F419" s="26" t="s">
        <v>7240</v>
      </c>
      <c r="G419" s="26" t="s">
        <v>7241</v>
      </c>
      <c r="H419" s="26" t="s">
        <v>7242</v>
      </c>
      <c r="I419" s="26" t="s">
        <v>7243</v>
      </c>
      <c r="J419" s="26" t="s">
        <v>7244</v>
      </c>
      <c r="K419" s="26" t="s">
        <v>7245</v>
      </c>
      <c r="L419" s="91"/>
      <c r="M419" s="91"/>
      <c r="N419" s="91"/>
      <c r="O419" s="91"/>
      <c r="P419" s="91"/>
    </row>
    <row r="420" spans="1:16" ht="15" customHeight="1" x14ac:dyDescent="0.25">
      <c r="A420" s="26"/>
      <c r="B420" s="26"/>
      <c r="C420" s="26"/>
      <c r="D420" s="26"/>
      <c r="E420" s="26">
        <v>29</v>
      </c>
      <c r="F420" s="26" t="s">
        <v>7246</v>
      </c>
      <c r="G420" s="26" t="s">
        <v>7247</v>
      </c>
      <c r="H420" s="26" t="s">
        <v>7248</v>
      </c>
      <c r="I420" s="26" t="s">
        <v>7249</v>
      </c>
      <c r="J420" s="26" t="s">
        <v>7250</v>
      </c>
      <c r="K420" s="26" t="s">
        <v>7251</v>
      </c>
      <c r="L420" s="91"/>
      <c r="M420" s="91"/>
      <c r="N420" s="91"/>
      <c r="O420" s="91"/>
      <c r="P420" s="91"/>
    </row>
    <row r="421" spans="1:16" ht="15" customHeight="1" x14ac:dyDescent="0.25">
      <c r="A421" s="26"/>
      <c r="B421" s="26"/>
      <c r="C421" s="26"/>
      <c r="D421" s="26"/>
      <c r="E421" s="26">
        <v>30</v>
      </c>
      <c r="F421" s="26" t="s">
        <v>7252</v>
      </c>
      <c r="G421" s="26" t="s">
        <v>7253</v>
      </c>
      <c r="H421" s="26" t="s">
        <v>7254</v>
      </c>
      <c r="I421" s="26" t="s">
        <v>7255</v>
      </c>
      <c r="J421" s="26" t="s">
        <v>7256</v>
      </c>
      <c r="K421" s="26" t="s">
        <v>7262</v>
      </c>
      <c r="L421" s="91"/>
      <c r="M421" s="91"/>
      <c r="N421" s="91"/>
      <c r="O421" s="91"/>
      <c r="P421" s="91"/>
    </row>
    <row r="422" spans="1:16" ht="15" customHeight="1" x14ac:dyDescent="0.25">
      <c r="A422" s="112"/>
      <c r="B422" s="112"/>
      <c r="C422" s="112" t="s">
        <v>8971</v>
      </c>
      <c r="D422" s="112" t="s">
        <v>7393</v>
      </c>
      <c r="E422" s="112">
        <v>1</v>
      </c>
      <c r="F422" s="112" t="s">
        <v>7395</v>
      </c>
      <c r="G422" s="112" t="s">
        <v>7424</v>
      </c>
      <c r="H422" s="112" t="s">
        <v>7425</v>
      </c>
      <c r="I422" s="112" t="s">
        <v>7426</v>
      </c>
      <c r="J422" s="112" t="s">
        <v>7427</v>
      </c>
      <c r="K422" s="112" t="s">
        <v>7428</v>
      </c>
      <c r="L422" s="91"/>
      <c r="M422" s="91"/>
      <c r="N422" s="91"/>
      <c r="O422" s="91"/>
      <c r="P422" s="91"/>
    </row>
    <row r="423" spans="1:16" ht="15" customHeight="1" x14ac:dyDescent="0.25">
      <c r="A423" s="112"/>
      <c r="B423" s="112"/>
      <c r="C423" s="112"/>
      <c r="D423" s="113" t="s">
        <v>7394</v>
      </c>
      <c r="E423" s="112">
        <v>2</v>
      </c>
      <c r="F423" s="112" t="s">
        <v>7396</v>
      </c>
      <c r="G423" s="112" t="s">
        <v>7429</v>
      </c>
      <c r="H423" s="112" t="s">
        <v>7430</v>
      </c>
      <c r="I423" s="112" t="s">
        <v>7431</v>
      </c>
      <c r="J423" s="112" t="s">
        <v>7432</v>
      </c>
      <c r="K423" s="112" t="s">
        <v>7433</v>
      </c>
      <c r="L423" s="91"/>
      <c r="M423" s="91"/>
      <c r="N423" s="91"/>
      <c r="O423" s="91"/>
      <c r="P423" s="91"/>
    </row>
    <row r="424" spans="1:16" ht="15" customHeight="1" x14ac:dyDescent="0.25">
      <c r="A424" s="112"/>
      <c r="B424" s="112"/>
      <c r="C424" s="112"/>
      <c r="D424" s="112" t="s">
        <v>359</v>
      </c>
      <c r="E424" s="112">
        <v>3</v>
      </c>
      <c r="F424" s="112" t="s">
        <v>7397</v>
      </c>
      <c r="G424" s="112" t="s">
        <v>7434</v>
      </c>
      <c r="H424" s="112" t="s">
        <v>7435</v>
      </c>
      <c r="I424" s="112" t="s">
        <v>7436</v>
      </c>
      <c r="J424" s="112" t="s">
        <v>7437</v>
      </c>
      <c r="K424" s="112" t="s">
        <v>7438</v>
      </c>
      <c r="L424" s="91"/>
      <c r="M424" s="91"/>
      <c r="N424" s="91"/>
      <c r="O424" s="91"/>
      <c r="P424" s="91"/>
    </row>
    <row r="425" spans="1:16" ht="15" customHeight="1" x14ac:dyDescent="0.25">
      <c r="A425" s="112"/>
      <c r="B425" s="112"/>
      <c r="C425" s="112"/>
      <c r="D425" s="112"/>
      <c r="E425" s="112">
        <v>4</v>
      </c>
      <c r="F425" s="112" t="s">
        <v>7398</v>
      </c>
      <c r="G425" s="112" t="s">
        <v>7439</v>
      </c>
      <c r="H425" s="112" t="s">
        <v>7440</v>
      </c>
      <c r="I425" s="112" t="s">
        <v>7441</v>
      </c>
      <c r="J425" s="112" t="s">
        <v>7442</v>
      </c>
      <c r="K425" s="112" t="s">
        <v>7443</v>
      </c>
      <c r="L425" s="91"/>
      <c r="M425" s="91"/>
      <c r="N425" s="91"/>
      <c r="O425" s="91"/>
      <c r="P425" s="91"/>
    </row>
    <row r="426" spans="1:16" ht="15" customHeight="1" x14ac:dyDescent="0.25">
      <c r="A426" s="112"/>
      <c r="B426" s="112"/>
      <c r="C426" s="112"/>
      <c r="D426" s="112"/>
      <c r="E426" s="112">
        <v>5</v>
      </c>
      <c r="F426" s="112" t="s">
        <v>7399</v>
      </c>
      <c r="G426" s="112" t="s">
        <v>7444</v>
      </c>
      <c r="H426" s="112" t="s">
        <v>7445</v>
      </c>
      <c r="I426" s="112" t="s">
        <v>7446</v>
      </c>
      <c r="J426" s="112" t="s">
        <v>7447</v>
      </c>
      <c r="K426" s="112" t="s">
        <v>7448</v>
      </c>
      <c r="L426" s="91"/>
      <c r="M426" s="91"/>
      <c r="N426" s="91"/>
      <c r="O426" s="91"/>
      <c r="P426" s="91"/>
    </row>
    <row r="427" spans="1:16" ht="15" customHeight="1" x14ac:dyDescent="0.25">
      <c r="A427" s="112"/>
      <c r="B427" s="112"/>
      <c r="C427" s="112"/>
      <c r="D427" s="112"/>
      <c r="E427" s="112">
        <v>6</v>
      </c>
      <c r="F427" s="112" t="s">
        <v>7400</v>
      </c>
      <c r="G427" s="112" t="s">
        <v>7449</v>
      </c>
      <c r="H427" s="112" t="s">
        <v>7450</v>
      </c>
      <c r="I427" s="112" t="s">
        <v>7451</v>
      </c>
      <c r="J427" s="112" t="s">
        <v>7452</v>
      </c>
      <c r="K427" s="112" t="s">
        <v>7453</v>
      </c>
      <c r="L427" s="91"/>
      <c r="M427" s="91"/>
      <c r="N427" s="91"/>
      <c r="O427" s="91"/>
      <c r="P427" s="91"/>
    </row>
    <row r="428" spans="1:16" ht="15" customHeight="1" x14ac:dyDescent="0.25">
      <c r="A428" s="112"/>
      <c r="B428" s="112"/>
      <c r="C428" s="112"/>
      <c r="D428" s="112"/>
      <c r="E428" s="112">
        <v>7</v>
      </c>
      <c r="F428" s="112" t="s">
        <v>7401</v>
      </c>
      <c r="G428" s="112" t="s">
        <v>7454</v>
      </c>
      <c r="H428" s="112" t="s">
        <v>7455</v>
      </c>
      <c r="I428" s="112" t="s">
        <v>7456</v>
      </c>
      <c r="J428" s="112" t="s">
        <v>7457</v>
      </c>
      <c r="K428" s="112" t="s">
        <v>7458</v>
      </c>
      <c r="L428" s="91"/>
      <c r="M428" s="91"/>
      <c r="N428" s="91"/>
      <c r="O428" s="91"/>
      <c r="P428" s="91"/>
    </row>
    <row r="429" spans="1:16" ht="15" customHeight="1" x14ac:dyDescent="0.25">
      <c r="A429" s="112"/>
      <c r="B429" s="112"/>
      <c r="C429" s="112"/>
      <c r="D429" s="112"/>
      <c r="E429" s="112">
        <v>8</v>
      </c>
      <c r="F429" s="112" t="s">
        <v>7402</v>
      </c>
      <c r="G429" s="112" t="s">
        <v>7459</v>
      </c>
      <c r="H429" s="112" t="s">
        <v>7460</v>
      </c>
      <c r="I429" s="112" t="s">
        <v>7461</v>
      </c>
      <c r="J429" s="112" t="s">
        <v>7462</v>
      </c>
      <c r="K429" s="112" t="s">
        <v>7463</v>
      </c>
      <c r="L429" s="91"/>
      <c r="M429" s="91"/>
      <c r="N429" s="91"/>
      <c r="O429" s="91"/>
      <c r="P429" s="91"/>
    </row>
    <row r="430" spans="1:16" ht="15" customHeight="1" x14ac:dyDescent="0.25">
      <c r="A430" s="112"/>
      <c r="B430" s="112"/>
      <c r="C430" s="112"/>
      <c r="D430" s="112"/>
      <c r="E430" s="112">
        <v>9</v>
      </c>
      <c r="F430" s="112" t="s">
        <v>7403</v>
      </c>
      <c r="G430" s="112" t="s">
        <v>7464</v>
      </c>
      <c r="H430" s="112" t="s">
        <v>7465</v>
      </c>
      <c r="I430" s="112" t="s">
        <v>7466</v>
      </c>
      <c r="J430" s="112" t="s">
        <v>7467</v>
      </c>
      <c r="K430" s="112" t="s">
        <v>7468</v>
      </c>
      <c r="L430" s="91"/>
      <c r="M430" s="91"/>
      <c r="N430" s="91"/>
      <c r="O430" s="91"/>
      <c r="P430" s="91"/>
    </row>
    <row r="431" spans="1:16" ht="15" customHeight="1" x14ac:dyDescent="0.25">
      <c r="A431" s="112"/>
      <c r="B431" s="112"/>
      <c r="C431" s="112"/>
      <c r="D431" s="112"/>
      <c r="E431" s="112">
        <v>10</v>
      </c>
      <c r="F431" s="112" t="s">
        <v>7404</v>
      </c>
      <c r="G431" s="112" t="s">
        <v>7469</v>
      </c>
      <c r="H431" s="112" t="s">
        <v>7470</v>
      </c>
      <c r="I431" s="112" t="s">
        <v>7471</v>
      </c>
      <c r="J431" s="112" t="s">
        <v>7472</v>
      </c>
      <c r="K431" s="112" t="s">
        <v>7473</v>
      </c>
      <c r="L431" s="91"/>
      <c r="M431" s="91"/>
      <c r="N431" s="91"/>
      <c r="O431" s="91"/>
      <c r="P431" s="91"/>
    </row>
    <row r="432" spans="1:16" ht="15" customHeight="1" x14ac:dyDescent="0.25">
      <c r="A432" s="112"/>
      <c r="B432" s="112"/>
      <c r="C432" s="112"/>
      <c r="D432" s="112"/>
      <c r="E432" s="112">
        <v>11</v>
      </c>
      <c r="F432" s="112" t="s">
        <v>7405</v>
      </c>
      <c r="G432" s="112" t="s">
        <v>7474</v>
      </c>
      <c r="H432" s="112" t="s">
        <v>7475</v>
      </c>
      <c r="I432" s="112" t="s">
        <v>7476</v>
      </c>
      <c r="J432" s="112" t="s">
        <v>7477</v>
      </c>
      <c r="K432" s="112" t="s">
        <v>7478</v>
      </c>
      <c r="L432" s="91"/>
      <c r="M432" s="91"/>
      <c r="N432" s="91"/>
      <c r="O432" s="91"/>
      <c r="P432" s="91"/>
    </row>
    <row r="433" spans="1:16" ht="15" customHeight="1" x14ac:dyDescent="0.25">
      <c r="A433" s="112"/>
      <c r="B433" s="112"/>
      <c r="C433" s="112"/>
      <c r="D433" s="112"/>
      <c r="E433" s="112">
        <v>12</v>
      </c>
      <c r="F433" s="112" t="s">
        <v>7406</v>
      </c>
      <c r="G433" s="112" t="s">
        <v>7479</v>
      </c>
      <c r="H433" s="112" t="s">
        <v>7480</v>
      </c>
      <c r="I433" s="112" t="s">
        <v>7481</v>
      </c>
      <c r="J433" s="112" t="s">
        <v>7482</v>
      </c>
      <c r="K433" s="112" t="s">
        <v>7483</v>
      </c>
      <c r="L433" s="91"/>
      <c r="M433" s="91"/>
      <c r="N433" s="91"/>
      <c r="O433" s="91"/>
      <c r="P433" s="91"/>
    </row>
    <row r="434" spans="1:16" ht="15" customHeight="1" x14ac:dyDescent="0.25">
      <c r="A434" s="112"/>
      <c r="B434" s="112"/>
      <c r="C434" s="112"/>
      <c r="D434" s="112"/>
      <c r="E434" s="112">
        <v>13</v>
      </c>
      <c r="F434" s="112" t="s">
        <v>7407</v>
      </c>
      <c r="G434" s="112" t="s">
        <v>7484</v>
      </c>
      <c r="H434" s="112" t="s">
        <v>7485</v>
      </c>
      <c r="I434" s="112" t="s">
        <v>7486</v>
      </c>
      <c r="J434" s="112" t="s">
        <v>7487</v>
      </c>
      <c r="K434" s="112" t="s">
        <v>7488</v>
      </c>
      <c r="L434" s="91"/>
      <c r="M434" s="91"/>
      <c r="N434" s="91"/>
      <c r="O434" s="91"/>
      <c r="P434" s="91"/>
    </row>
    <row r="435" spans="1:16" ht="15" customHeight="1" x14ac:dyDescent="0.25">
      <c r="A435" s="112"/>
      <c r="B435" s="112"/>
      <c r="C435" s="112"/>
      <c r="D435" s="112"/>
      <c r="E435" s="112">
        <v>14</v>
      </c>
      <c r="F435" s="112" t="s">
        <v>7408</v>
      </c>
      <c r="G435" s="112" t="s">
        <v>7489</v>
      </c>
      <c r="H435" s="112" t="s">
        <v>7490</v>
      </c>
      <c r="I435" s="112" t="s">
        <v>7491</v>
      </c>
      <c r="J435" s="112" t="s">
        <v>7492</v>
      </c>
      <c r="K435" s="112" t="s">
        <v>7493</v>
      </c>
      <c r="L435" s="91"/>
      <c r="M435" s="91"/>
      <c r="N435" s="91"/>
      <c r="O435" s="91"/>
      <c r="P435" s="91"/>
    </row>
    <row r="436" spans="1:16" ht="15" customHeight="1" x14ac:dyDescent="0.25">
      <c r="A436" s="112"/>
      <c r="B436" s="112"/>
      <c r="C436" s="112"/>
      <c r="D436" s="112"/>
      <c r="E436" s="112">
        <v>15</v>
      </c>
      <c r="F436" s="112" t="s">
        <v>7409</v>
      </c>
      <c r="G436" s="112" t="s">
        <v>7494</v>
      </c>
      <c r="H436" s="112" t="s">
        <v>7495</v>
      </c>
      <c r="I436" s="112" t="s">
        <v>7496</v>
      </c>
      <c r="J436" s="112" t="s">
        <v>7497</v>
      </c>
      <c r="K436" s="112" t="s">
        <v>7498</v>
      </c>
      <c r="L436" s="91"/>
      <c r="M436" s="91"/>
      <c r="N436" s="91"/>
      <c r="O436" s="91"/>
      <c r="P436" s="91"/>
    </row>
    <row r="437" spans="1:16" ht="15" customHeight="1" x14ac:dyDescent="0.25">
      <c r="A437" s="112"/>
      <c r="B437" s="112"/>
      <c r="C437" s="112"/>
      <c r="D437" s="112"/>
      <c r="E437" s="112">
        <v>16</v>
      </c>
      <c r="F437" s="112" t="s">
        <v>7410</v>
      </c>
      <c r="G437" s="112" t="s">
        <v>7499</v>
      </c>
      <c r="H437" s="112" t="s">
        <v>7500</v>
      </c>
      <c r="I437" s="112" t="s">
        <v>7501</v>
      </c>
      <c r="J437" s="112" t="s">
        <v>7502</v>
      </c>
      <c r="K437" s="112" t="s">
        <v>7503</v>
      </c>
      <c r="L437" s="91"/>
      <c r="M437" s="91"/>
      <c r="N437" s="91"/>
      <c r="O437" s="91"/>
      <c r="P437" s="91"/>
    </row>
    <row r="438" spans="1:16" ht="15" customHeight="1" x14ac:dyDescent="0.25">
      <c r="A438" s="112"/>
      <c r="B438" s="112"/>
      <c r="C438" s="112"/>
      <c r="D438" s="112"/>
      <c r="E438" s="112">
        <v>17</v>
      </c>
      <c r="F438" s="112" t="s">
        <v>7410</v>
      </c>
      <c r="G438" s="112" t="s">
        <v>7504</v>
      </c>
      <c r="H438" s="112" t="s">
        <v>7500</v>
      </c>
      <c r="I438" s="112" t="s">
        <v>7501</v>
      </c>
      <c r="J438" s="112" t="s">
        <v>7502</v>
      </c>
      <c r="K438" s="112" t="s">
        <v>7503</v>
      </c>
      <c r="L438" s="91"/>
      <c r="M438" s="91"/>
      <c r="N438" s="91"/>
      <c r="O438" s="91"/>
      <c r="P438" s="91"/>
    </row>
    <row r="439" spans="1:16" ht="15" customHeight="1" x14ac:dyDescent="0.25">
      <c r="A439" s="112"/>
      <c r="B439" s="112"/>
      <c r="C439" s="112"/>
      <c r="D439" s="112"/>
      <c r="E439" s="112">
        <v>18</v>
      </c>
      <c r="F439" s="112" t="s">
        <v>7411</v>
      </c>
      <c r="G439" s="112" t="s">
        <v>7505</v>
      </c>
      <c r="H439" s="112" t="s">
        <v>7506</v>
      </c>
      <c r="I439" s="112" t="s">
        <v>7507</v>
      </c>
      <c r="J439" s="112" t="s">
        <v>7508</v>
      </c>
      <c r="K439" s="112" t="s">
        <v>7509</v>
      </c>
      <c r="L439" s="91"/>
      <c r="M439" s="91"/>
      <c r="N439" s="91"/>
      <c r="O439" s="91"/>
      <c r="P439" s="91"/>
    </row>
    <row r="440" spans="1:16" ht="15" customHeight="1" x14ac:dyDescent="0.25">
      <c r="A440" s="112"/>
      <c r="B440" s="112"/>
      <c r="C440" s="112"/>
      <c r="D440" s="112"/>
      <c r="E440" s="112">
        <v>19</v>
      </c>
      <c r="F440" s="112" t="s">
        <v>7412</v>
      </c>
      <c r="G440" s="112" t="s">
        <v>7510</v>
      </c>
      <c r="H440" s="112" t="s">
        <v>7511</v>
      </c>
      <c r="I440" s="112" t="s">
        <v>7512</v>
      </c>
      <c r="J440" s="112" t="s">
        <v>7513</v>
      </c>
      <c r="K440" s="112" t="s">
        <v>7569</v>
      </c>
      <c r="L440" s="91"/>
      <c r="M440" s="91"/>
      <c r="N440" s="91"/>
      <c r="O440" s="91"/>
      <c r="P440" s="91"/>
    </row>
    <row r="441" spans="1:16" ht="15" customHeight="1" x14ac:dyDescent="0.25">
      <c r="A441" s="112"/>
      <c r="B441" s="112"/>
      <c r="C441" s="112"/>
      <c r="D441" s="112"/>
      <c r="E441" s="112">
        <v>20</v>
      </c>
      <c r="F441" s="112" t="s">
        <v>7413</v>
      </c>
      <c r="G441" s="112" t="s">
        <v>7514</v>
      </c>
      <c r="H441" s="112" t="s">
        <v>7515</v>
      </c>
      <c r="I441" s="112" t="s">
        <v>7516</v>
      </c>
      <c r="J441" s="112" t="s">
        <v>7517</v>
      </c>
      <c r="K441" s="112" t="s">
        <v>7518</v>
      </c>
      <c r="L441" s="91"/>
      <c r="M441" s="91"/>
      <c r="N441" s="91"/>
      <c r="O441" s="91"/>
      <c r="P441" s="91"/>
    </row>
    <row r="442" spans="1:16" ht="15" customHeight="1" x14ac:dyDescent="0.25">
      <c r="A442" s="112"/>
      <c r="B442" s="112"/>
      <c r="C442" s="112"/>
      <c r="D442" s="112"/>
      <c r="E442" s="112">
        <v>21</v>
      </c>
      <c r="F442" s="112" t="s">
        <v>7414</v>
      </c>
      <c r="G442" s="112" t="s">
        <v>7519</v>
      </c>
      <c r="H442" s="112" t="s">
        <v>7520</v>
      </c>
      <c r="I442" s="112" t="s">
        <v>7521</v>
      </c>
      <c r="J442" s="112" t="s">
        <v>7522</v>
      </c>
      <c r="K442" s="112" t="s">
        <v>7523</v>
      </c>
      <c r="L442" s="91"/>
      <c r="M442" s="91"/>
      <c r="N442" s="91"/>
      <c r="O442" s="91"/>
      <c r="P442" s="91"/>
    </row>
    <row r="443" spans="1:16" ht="15" customHeight="1" x14ac:dyDescent="0.25">
      <c r="A443" s="112"/>
      <c r="B443" s="112"/>
      <c r="C443" s="112"/>
      <c r="D443" s="112"/>
      <c r="E443" s="112">
        <v>22</v>
      </c>
      <c r="F443" s="112" t="s">
        <v>7415</v>
      </c>
      <c r="G443" s="112" t="s">
        <v>7524</v>
      </c>
      <c r="H443" s="112" t="s">
        <v>7525</v>
      </c>
      <c r="I443" s="112" t="s">
        <v>7526</v>
      </c>
      <c r="J443" s="112" t="s">
        <v>7527</v>
      </c>
      <c r="K443" s="112" t="s">
        <v>7528</v>
      </c>
      <c r="L443" s="91"/>
      <c r="M443" s="91"/>
      <c r="N443" s="91"/>
      <c r="O443" s="91"/>
      <c r="P443" s="91"/>
    </row>
    <row r="444" spans="1:16" ht="15" customHeight="1" x14ac:dyDescent="0.25">
      <c r="A444" s="112"/>
      <c r="B444" s="112"/>
      <c r="C444" s="112"/>
      <c r="D444" s="112"/>
      <c r="E444" s="112">
        <v>23</v>
      </c>
      <c r="F444" s="112" t="s">
        <v>7416</v>
      </c>
      <c r="G444" s="112" t="s">
        <v>7529</v>
      </c>
      <c r="H444" s="112" t="s">
        <v>7530</v>
      </c>
      <c r="I444" s="112" t="s">
        <v>7531</v>
      </c>
      <c r="J444" s="112" t="s">
        <v>7532</v>
      </c>
      <c r="K444" s="112" t="s">
        <v>7533</v>
      </c>
      <c r="L444" s="91"/>
      <c r="M444" s="91"/>
      <c r="N444" s="91"/>
      <c r="O444" s="91"/>
      <c r="P444" s="91"/>
    </row>
    <row r="445" spans="1:16" ht="15" customHeight="1" x14ac:dyDescent="0.25">
      <c r="A445" s="112"/>
      <c r="B445" s="112"/>
      <c r="C445" s="112"/>
      <c r="D445" s="112"/>
      <c r="E445" s="112">
        <v>24</v>
      </c>
      <c r="F445" s="112" t="s">
        <v>7417</v>
      </c>
      <c r="G445" s="112" t="s">
        <v>7534</v>
      </c>
      <c r="H445" s="112" t="s">
        <v>7535</v>
      </c>
      <c r="I445" s="112" t="s">
        <v>7536</v>
      </c>
      <c r="J445" s="112" t="s">
        <v>7537</v>
      </c>
      <c r="K445" s="112" t="s">
        <v>7538</v>
      </c>
      <c r="L445" s="91"/>
      <c r="M445" s="91"/>
      <c r="N445" s="91"/>
      <c r="O445" s="91"/>
      <c r="P445" s="91"/>
    </row>
    <row r="446" spans="1:16" ht="15" customHeight="1" x14ac:dyDescent="0.25">
      <c r="A446" s="112"/>
      <c r="B446" s="112"/>
      <c r="C446" s="112"/>
      <c r="D446" s="112"/>
      <c r="E446" s="112">
        <v>25</v>
      </c>
      <c r="F446" s="112" t="s">
        <v>7418</v>
      </c>
      <c r="G446" s="112" t="s">
        <v>7539</v>
      </c>
      <c r="H446" s="112" t="s">
        <v>7540</v>
      </c>
      <c r="I446" s="112" t="s">
        <v>7541</v>
      </c>
      <c r="J446" s="112" t="s">
        <v>7542</v>
      </c>
      <c r="K446" s="112" t="s">
        <v>7543</v>
      </c>
      <c r="L446" s="91"/>
      <c r="M446" s="91"/>
      <c r="N446" s="91"/>
      <c r="O446" s="91"/>
      <c r="P446" s="91"/>
    </row>
    <row r="447" spans="1:16" ht="15" customHeight="1" x14ac:dyDescent="0.25">
      <c r="A447" s="112"/>
      <c r="B447" s="112"/>
      <c r="C447" s="112"/>
      <c r="D447" s="112"/>
      <c r="E447" s="112">
        <v>26</v>
      </c>
      <c r="F447" s="112" t="s">
        <v>7419</v>
      </c>
      <c r="G447" s="112" t="s">
        <v>7544</v>
      </c>
      <c r="H447" s="112" t="s">
        <v>7545</v>
      </c>
      <c r="I447" s="112" t="s">
        <v>7546</v>
      </c>
      <c r="J447" s="112" t="s">
        <v>7547</v>
      </c>
      <c r="K447" s="112" t="s">
        <v>7548</v>
      </c>
      <c r="L447" s="91"/>
      <c r="M447" s="91"/>
      <c r="N447" s="91"/>
      <c r="O447" s="91"/>
      <c r="P447" s="91"/>
    </row>
    <row r="448" spans="1:16" ht="15" customHeight="1" x14ac:dyDescent="0.25">
      <c r="A448" s="112"/>
      <c r="B448" s="112"/>
      <c r="C448" s="112"/>
      <c r="D448" s="112"/>
      <c r="E448" s="112">
        <v>27</v>
      </c>
      <c r="F448" s="112" t="s">
        <v>7420</v>
      </c>
      <c r="G448" s="112" t="s">
        <v>7549</v>
      </c>
      <c r="H448" s="112" t="s">
        <v>7550</v>
      </c>
      <c r="I448" s="112" t="s">
        <v>7551</v>
      </c>
      <c r="J448" s="112" t="s">
        <v>7552</v>
      </c>
      <c r="K448" s="112" t="s">
        <v>7553</v>
      </c>
      <c r="L448" s="91"/>
      <c r="M448" s="91"/>
      <c r="N448" s="91"/>
      <c r="O448" s="91"/>
      <c r="P448" s="91"/>
    </row>
    <row r="449" spans="1:11" ht="15" customHeight="1" x14ac:dyDescent="0.25">
      <c r="A449" s="112"/>
      <c r="B449" s="112"/>
      <c r="C449" s="112"/>
      <c r="D449" s="112"/>
      <c r="E449" s="112">
        <v>28</v>
      </c>
      <c r="F449" s="112" t="s">
        <v>7421</v>
      </c>
      <c r="G449" s="112" t="s">
        <v>7554</v>
      </c>
      <c r="H449" s="112" t="s">
        <v>7555</v>
      </c>
      <c r="I449" s="112" t="s">
        <v>7556</v>
      </c>
      <c r="J449" s="112" t="s">
        <v>7557</v>
      </c>
      <c r="K449" s="112" t="s">
        <v>7558</v>
      </c>
    </row>
    <row r="450" spans="1:11" ht="15" customHeight="1" x14ac:dyDescent="0.25">
      <c r="A450" s="112"/>
      <c r="B450" s="112"/>
      <c r="C450" s="112"/>
      <c r="D450" s="112"/>
      <c r="E450" s="112">
        <v>29</v>
      </c>
      <c r="F450" s="112" t="s">
        <v>7422</v>
      </c>
      <c r="G450" s="112" t="s">
        <v>7559</v>
      </c>
      <c r="H450" s="112" t="s">
        <v>7560</v>
      </c>
      <c r="I450" s="112" t="s">
        <v>7561</v>
      </c>
      <c r="J450" s="112" t="s">
        <v>7562</v>
      </c>
      <c r="K450" s="112" t="s">
        <v>7563</v>
      </c>
    </row>
    <row r="451" spans="1:11" ht="15" customHeight="1" x14ac:dyDescent="0.25">
      <c r="A451" s="112"/>
      <c r="B451" s="112"/>
      <c r="C451" s="112"/>
      <c r="D451" s="112"/>
      <c r="E451" s="112">
        <v>30</v>
      </c>
      <c r="F451" s="112" t="s">
        <v>7423</v>
      </c>
      <c r="G451" s="112" t="s">
        <v>7564</v>
      </c>
      <c r="H451" s="112" t="s">
        <v>7565</v>
      </c>
      <c r="I451" s="112" t="s">
        <v>7566</v>
      </c>
      <c r="J451" s="112" t="s">
        <v>7567</v>
      </c>
      <c r="K451" s="112" t="s">
        <v>7568</v>
      </c>
    </row>
    <row r="452" spans="1:11" ht="20.100000000000001" customHeight="1" x14ac:dyDescent="0.25">
      <c r="A452" s="95"/>
      <c r="B452" s="95"/>
      <c r="C452" s="95" t="s">
        <v>8970</v>
      </c>
      <c r="D452" s="95" t="s">
        <v>4877</v>
      </c>
      <c r="E452" s="95">
        <v>1</v>
      </c>
      <c r="F452" s="95" t="s">
        <v>8563</v>
      </c>
      <c r="G452" s="95" t="s">
        <v>8593</v>
      </c>
      <c r="H452" s="95" t="s">
        <v>7430</v>
      </c>
      <c r="I452" s="95" t="s">
        <v>7431</v>
      </c>
      <c r="J452" s="95" t="s">
        <v>7432</v>
      </c>
      <c r="K452" s="95" t="s">
        <v>8594</v>
      </c>
    </row>
    <row r="453" spans="1:11" ht="20.100000000000001" customHeight="1" x14ac:dyDescent="0.25">
      <c r="A453" s="95"/>
      <c r="B453" s="95"/>
      <c r="C453" s="95"/>
      <c r="D453" s="95" t="s">
        <v>8521</v>
      </c>
      <c r="E453" s="95">
        <v>2</v>
      </c>
      <c r="F453" s="95" t="s">
        <v>8564</v>
      </c>
      <c r="G453" s="95" t="s">
        <v>8595</v>
      </c>
      <c r="H453" s="95" t="s">
        <v>8596</v>
      </c>
      <c r="I453" s="95" t="s">
        <v>8597</v>
      </c>
      <c r="J453" s="95" t="s">
        <v>8598</v>
      </c>
      <c r="K453" s="95" t="s">
        <v>8599</v>
      </c>
    </row>
    <row r="454" spans="1:11" ht="20.100000000000001" customHeight="1" x14ac:dyDescent="0.25">
      <c r="A454" s="95"/>
      <c r="B454" s="95"/>
      <c r="C454" s="95"/>
      <c r="D454" s="95"/>
      <c r="E454" s="95">
        <v>3</v>
      </c>
      <c r="F454" s="95" t="s">
        <v>8565</v>
      </c>
      <c r="G454" s="95" t="s">
        <v>8600</v>
      </c>
      <c r="H454" s="95" t="s">
        <v>8601</v>
      </c>
      <c r="I454" s="95" t="s">
        <v>8602</v>
      </c>
      <c r="J454" s="95" t="s">
        <v>8603</v>
      </c>
      <c r="K454" s="95" t="s">
        <v>8604</v>
      </c>
    </row>
    <row r="455" spans="1:11" ht="20.100000000000001" customHeight="1" x14ac:dyDescent="0.25">
      <c r="A455" s="95"/>
      <c r="B455" s="95"/>
      <c r="C455" s="95"/>
      <c r="D455" s="95"/>
      <c r="E455" s="95">
        <v>4</v>
      </c>
      <c r="F455" s="95" t="s">
        <v>8566</v>
      </c>
      <c r="G455" s="95" t="s">
        <v>8605</v>
      </c>
      <c r="H455" s="95" t="s">
        <v>8606</v>
      </c>
      <c r="I455" s="95" t="s">
        <v>8607</v>
      </c>
      <c r="J455" s="95" t="s">
        <v>8608</v>
      </c>
      <c r="K455" s="95" t="s">
        <v>8609</v>
      </c>
    </row>
    <row r="456" spans="1:11" ht="20.100000000000001" customHeight="1" x14ac:dyDescent="0.25">
      <c r="A456" s="95"/>
      <c r="B456" s="95"/>
      <c r="C456" s="95"/>
      <c r="D456" s="95"/>
      <c r="E456" s="95">
        <v>5</v>
      </c>
      <c r="F456" s="95" t="s">
        <v>8567</v>
      </c>
      <c r="G456" s="95" t="s">
        <v>8610</v>
      </c>
      <c r="H456" s="95" t="s">
        <v>8611</v>
      </c>
      <c r="I456" s="95" t="s">
        <v>8612</v>
      </c>
      <c r="J456" s="95" t="s">
        <v>8613</v>
      </c>
      <c r="K456" s="95" t="s">
        <v>8614</v>
      </c>
    </row>
    <row r="457" spans="1:11" ht="20.100000000000001" customHeight="1" x14ac:dyDescent="0.25">
      <c r="A457" s="95"/>
      <c r="B457" s="95"/>
      <c r="C457" s="95"/>
      <c r="D457" s="95"/>
      <c r="E457" s="95">
        <v>6</v>
      </c>
      <c r="F457" s="95" t="s">
        <v>8568</v>
      </c>
      <c r="G457" s="95" t="s">
        <v>8615</v>
      </c>
      <c r="H457" s="95" t="s">
        <v>8616</v>
      </c>
      <c r="I457" s="95" t="s">
        <v>8617</v>
      </c>
      <c r="J457" s="95" t="s">
        <v>8618</v>
      </c>
      <c r="K457" s="95" t="s">
        <v>8619</v>
      </c>
    </row>
    <row r="458" spans="1:11" ht="20.100000000000001" customHeight="1" x14ac:dyDescent="0.25">
      <c r="A458" s="95"/>
      <c r="B458" s="95"/>
      <c r="C458" s="95"/>
      <c r="D458" s="95"/>
      <c r="E458" s="95">
        <v>7</v>
      </c>
      <c r="F458" s="95" t="s">
        <v>8569</v>
      </c>
      <c r="G458" s="95" t="s">
        <v>8620</v>
      </c>
      <c r="H458" s="95" t="s">
        <v>8621</v>
      </c>
      <c r="I458" s="95" t="s">
        <v>8622</v>
      </c>
      <c r="J458" s="95" t="s">
        <v>8623</v>
      </c>
      <c r="K458" s="95" t="s">
        <v>8624</v>
      </c>
    </row>
    <row r="459" spans="1:11" ht="20.100000000000001" customHeight="1" x14ac:dyDescent="0.25">
      <c r="A459" s="95"/>
      <c r="B459" s="95"/>
      <c r="C459" s="95"/>
      <c r="D459" s="95"/>
      <c r="E459" s="95">
        <v>8</v>
      </c>
      <c r="F459" s="95" t="s">
        <v>8570</v>
      </c>
      <c r="G459" s="95" t="s">
        <v>8625</v>
      </c>
      <c r="H459" s="95" t="s">
        <v>8626</v>
      </c>
      <c r="I459" s="95" t="s">
        <v>8627</v>
      </c>
      <c r="J459" s="95" t="s">
        <v>8628</v>
      </c>
      <c r="K459" s="95" t="s">
        <v>8629</v>
      </c>
    </row>
    <row r="460" spans="1:11" ht="20.100000000000001" customHeight="1" x14ac:dyDescent="0.25">
      <c r="A460" s="95"/>
      <c r="B460" s="95"/>
      <c r="C460" s="95"/>
      <c r="D460" s="95"/>
      <c r="E460" s="95">
        <v>9</v>
      </c>
      <c r="F460" s="95" t="s">
        <v>8571</v>
      </c>
      <c r="G460" s="95" t="s">
        <v>8630</v>
      </c>
      <c r="H460" s="95" t="s">
        <v>8631</v>
      </c>
      <c r="I460" s="95" t="s">
        <v>8632</v>
      </c>
      <c r="J460" s="95" t="s">
        <v>8633</v>
      </c>
      <c r="K460" s="95" t="s">
        <v>8634</v>
      </c>
    </row>
    <row r="461" spans="1:11" ht="20.100000000000001" customHeight="1" x14ac:dyDescent="0.25">
      <c r="A461" s="95"/>
      <c r="B461" s="95"/>
      <c r="C461" s="95"/>
      <c r="D461" s="95"/>
      <c r="E461" s="95">
        <v>10</v>
      </c>
      <c r="F461" s="95" t="s">
        <v>8572</v>
      </c>
      <c r="G461" s="95" t="s">
        <v>8635</v>
      </c>
      <c r="H461" s="95" t="s">
        <v>8636</v>
      </c>
      <c r="I461" s="95" t="s">
        <v>8637</v>
      </c>
      <c r="J461" s="95" t="s">
        <v>8638</v>
      </c>
      <c r="K461" s="95" t="s">
        <v>8639</v>
      </c>
    </row>
    <row r="462" spans="1:11" ht="20.100000000000001" customHeight="1" x14ac:dyDescent="0.25">
      <c r="A462" s="95"/>
      <c r="B462" s="95"/>
      <c r="C462" s="95"/>
      <c r="D462" s="95"/>
      <c r="E462" s="95">
        <v>11</v>
      </c>
      <c r="F462" s="95" t="s">
        <v>8573</v>
      </c>
      <c r="G462" s="95" t="s">
        <v>8640</v>
      </c>
      <c r="H462" s="95" t="s">
        <v>8641</v>
      </c>
      <c r="I462" s="95" t="s">
        <v>8642</v>
      </c>
      <c r="J462" s="95" t="s">
        <v>8643</v>
      </c>
      <c r="K462" s="95" t="s">
        <v>8644</v>
      </c>
    </row>
    <row r="463" spans="1:11" ht="20.100000000000001" customHeight="1" x14ac:dyDescent="0.25">
      <c r="A463" s="95"/>
      <c r="B463" s="95"/>
      <c r="C463" s="95"/>
      <c r="D463" s="95"/>
      <c r="E463" s="95">
        <v>12</v>
      </c>
      <c r="F463" s="95" t="s">
        <v>8574</v>
      </c>
      <c r="G463" s="95" t="s">
        <v>8645</v>
      </c>
      <c r="H463" s="95" t="s">
        <v>8646</v>
      </c>
      <c r="I463" s="95" t="s">
        <v>8647</v>
      </c>
      <c r="J463" s="95" t="s">
        <v>8648</v>
      </c>
      <c r="K463" s="95" t="s">
        <v>8649</v>
      </c>
    </row>
    <row r="464" spans="1:11" ht="20.100000000000001" customHeight="1" x14ac:dyDescent="0.25">
      <c r="A464" s="95"/>
      <c r="B464" s="95"/>
      <c r="C464" s="95"/>
      <c r="D464" s="95"/>
      <c r="E464" s="95">
        <v>13</v>
      </c>
      <c r="F464" s="95" t="s">
        <v>8575</v>
      </c>
      <c r="G464" s="95" t="s">
        <v>8650</v>
      </c>
      <c r="H464" s="95" t="s">
        <v>8651</v>
      </c>
      <c r="I464" s="95" t="s">
        <v>8652</v>
      </c>
      <c r="J464" s="95" t="s">
        <v>8653</v>
      </c>
      <c r="K464" s="95" t="s">
        <v>8654</v>
      </c>
    </row>
    <row r="465" spans="1:11" ht="20.100000000000001" customHeight="1" x14ac:dyDescent="0.25">
      <c r="A465" s="95"/>
      <c r="B465" s="95"/>
      <c r="C465" s="95"/>
      <c r="D465" s="95"/>
      <c r="E465" s="95">
        <v>14</v>
      </c>
      <c r="F465" s="95" t="s">
        <v>8576</v>
      </c>
      <c r="G465" s="95" t="s">
        <v>8655</v>
      </c>
      <c r="H465" s="95" t="s">
        <v>8656</v>
      </c>
      <c r="I465" s="95" t="s">
        <v>8657</v>
      </c>
      <c r="J465" s="95" t="s">
        <v>8658</v>
      </c>
      <c r="K465" s="95" t="s">
        <v>8659</v>
      </c>
    </row>
    <row r="466" spans="1:11" ht="20.100000000000001" customHeight="1" x14ac:dyDescent="0.25">
      <c r="A466" s="95"/>
      <c r="B466" s="95"/>
      <c r="C466" s="95"/>
      <c r="D466" s="95"/>
      <c r="E466" s="95">
        <v>15</v>
      </c>
      <c r="F466" s="95" t="s">
        <v>8577</v>
      </c>
      <c r="G466" s="95" t="s">
        <v>8660</v>
      </c>
      <c r="H466" s="95" t="s">
        <v>8661</v>
      </c>
      <c r="I466" s="95" t="s">
        <v>8662</v>
      </c>
      <c r="J466" s="95" t="s">
        <v>8663</v>
      </c>
      <c r="K466" s="95" t="s">
        <v>8664</v>
      </c>
    </row>
    <row r="467" spans="1:11" ht="20.100000000000001" customHeight="1" x14ac:dyDescent="0.25">
      <c r="A467" s="95"/>
      <c r="B467" s="95"/>
      <c r="C467" s="95"/>
      <c r="D467" s="95"/>
      <c r="E467" s="95">
        <v>16</v>
      </c>
      <c r="F467" s="95" t="s">
        <v>8578</v>
      </c>
      <c r="G467" s="95" t="s">
        <v>8665</v>
      </c>
      <c r="H467" s="95" t="s">
        <v>8666</v>
      </c>
      <c r="I467" s="95" t="s">
        <v>8667</v>
      </c>
      <c r="J467" s="95" t="s">
        <v>8668</v>
      </c>
      <c r="K467" s="95" t="s">
        <v>8669</v>
      </c>
    </row>
    <row r="468" spans="1:11" ht="20.100000000000001" customHeight="1" x14ac:dyDescent="0.25">
      <c r="A468" s="95"/>
      <c r="B468" s="95"/>
      <c r="C468" s="95"/>
      <c r="D468" s="95"/>
      <c r="E468" s="95">
        <v>17</v>
      </c>
      <c r="F468" s="95" t="s">
        <v>8579</v>
      </c>
      <c r="G468" s="95" t="s">
        <v>8670</v>
      </c>
      <c r="H468" s="95" t="s">
        <v>8671</v>
      </c>
      <c r="I468" s="95" t="s">
        <v>8672</v>
      </c>
      <c r="J468" s="95" t="s">
        <v>8673</v>
      </c>
      <c r="K468" s="95" t="s">
        <v>8674</v>
      </c>
    </row>
    <row r="469" spans="1:11" ht="20.100000000000001" customHeight="1" x14ac:dyDescent="0.25">
      <c r="A469" s="95"/>
      <c r="B469" s="95"/>
      <c r="C469" s="95"/>
      <c r="D469" s="95"/>
      <c r="E469" s="95">
        <v>18</v>
      </c>
      <c r="F469" s="95" t="s">
        <v>8580</v>
      </c>
      <c r="G469" s="95" t="s">
        <v>8675</v>
      </c>
      <c r="H469" s="95" t="s">
        <v>8676</v>
      </c>
      <c r="I469" s="95" t="s">
        <v>8677</v>
      </c>
      <c r="J469" s="95" t="s">
        <v>8678</v>
      </c>
      <c r="K469" s="95" t="s">
        <v>8679</v>
      </c>
    </row>
    <row r="470" spans="1:11" ht="20.100000000000001" customHeight="1" x14ac:dyDescent="0.25">
      <c r="A470" s="95"/>
      <c r="B470" s="95"/>
      <c r="C470" s="95"/>
      <c r="D470" s="95"/>
      <c r="E470" s="95">
        <v>19</v>
      </c>
      <c r="F470" s="95" t="s">
        <v>8581</v>
      </c>
      <c r="G470" s="95" t="s">
        <v>8680</v>
      </c>
      <c r="H470" s="95" t="s">
        <v>8681</v>
      </c>
      <c r="I470" s="95" t="s">
        <v>8682</v>
      </c>
      <c r="J470" s="95" t="s">
        <v>8683</v>
      </c>
      <c r="K470" s="95" t="s">
        <v>8684</v>
      </c>
    </row>
    <row r="471" spans="1:11" ht="20.100000000000001" customHeight="1" x14ac:dyDescent="0.25">
      <c r="A471" s="95"/>
      <c r="B471" s="95"/>
      <c r="C471" s="95"/>
      <c r="D471" s="95"/>
      <c r="E471" s="95">
        <v>20</v>
      </c>
      <c r="F471" s="95" t="s">
        <v>8582</v>
      </c>
      <c r="G471" s="95" t="s">
        <v>8685</v>
      </c>
      <c r="H471" s="95" t="s">
        <v>8686</v>
      </c>
      <c r="I471" s="95" t="s">
        <v>8687</v>
      </c>
      <c r="J471" s="95" t="s">
        <v>8688</v>
      </c>
      <c r="K471" s="95" t="s">
        <v>8689</v>
      </c>
    </row>
    <row r="472" spans="1:11" ht="20.100000000000001" customHeight="1" x14ac:dyDescent="0.25">
      <c r="A472" s="95"/>
      <c r="B472" s="95"/>
      <c r="C472" s="95"/>
      <c r="D472" s="95"/>
      <c r="E472" s="95">
        <v>21</v>
      </c>
      <c r="F472" s="95" t="s">
        <v>8583</v>
      </c>
      <c r="G472" s="95" t="s">
        <v>8690</v>
      </c>
      <c r="H472" s="95" t="s">
        <v>8691</v>
      </c>
      <c r="I472" s="95" t="s">
        <v>8692</v>
      </c>
      <c r="J472" s="95" t="s">
        <v>8693</v>
      </c>
      <c r="K472" s="95" t="s">
        <v>8694</v>
      </c>
    </row>
    <row r="473" spans="1:11" ht="20.100000000000001" customHeight="1" x14ac:dyDescent="0.25">
      <c r="A473" s="95"/>
      <c r="B473" s="95"/>
      <c r="C473" s="95"/>
      <c r="D473" s="95"/>
      <c r="E473" s="95">
        <v>22</v>
      </c>
      <c r="F473" s="95" t="s">
        <v>8584</v>
      </c>
      <c r="G473" s="95" t="s">
        <v>8695</v>
      </c>
      <c r="H473" s="95" t="s">
        <v>8696</v>
      </c>
      <c r="I473" s="95" t="s">
        <v>8697</v>
      </c>
      <c r="J473" s="95" t="s">
        <v>8698</v>
      </c>
      <c r="K473" s="95" t="s">
        <v>8699</v>
      </c>
    </row>
    <row r="474" spans="1:11" ht="20.100000000000001" customHeight="1" x14ac:dyDescent="0.25">
      <c r="A474" s="95"/>
      <c r="B474" s="95"/>
      <c r="C474" s="95"/>
      <c r="D474" s="95"/>
      <c r="E474" s="95">
        <v>23</v>
      </c>
      <c r="F474" s="95" t="s">
        <v>8585</v>
      </c>
      <c r="G474" s="95" t="s">
        <v>8700</v>
      </c>
      <c r="H474" s="95" t="s">
        <v>8701</v>
      </c>
      <c r="I474" s="95" t="s">
        <v>8702</v>
      </c>
      <c r="J474" s="95" t="s">
        <v>8703</v>
      </c>
      <c r="K474" s="95" t="s">
        <v>8704</v>
      </c>
    </row>
    <row r="475" spans="1:11" ht="20.100000000000001" customHeight="1" x14ac:dyDescent="0.25">
      <c r="A475" s="95"/>
      <c r="B475" s="95"/>
      <c r="C475" s="95"/>
      <c r="D475" s="95"/>
      <c r="E475" s="95">
        <v>24</v>
      </c>
      <c r="F475" s="95" t="s">
        <v>8586</v>
      </c>
      <c r="G475" s="95" t="s">
        <v>8705</v>
      </c>
      <c r="H475" s="95" t="s">
        <v>8706</v>
      </c>
      <c r="I475" s="95" t="s">
        <v>8707</v>
      </c>
      <c r="J475" s="95" t="s">
        <v>8708</v>
      </c>
      <c r="K475" s="95" t="s">
        <v>8709</v>
      </c>
    </row>
    <row r="476" spans="1:11" ht="20.100000000000001" customHeight="1" x14ac:dyDescent="0.25">
      <c r="A476" s="95"/>
      <c r="B476" s="95"/>
      <c r="C476" s="95"/>
      <c r="D476" s="95"/>
      <c r="E476" s="95">
        <v>25</v>
      </c>
      <c r="F476" s="95" t="s">
        <v>8587</v>
      </c>
      <c r="G476" s="95" t="s">
        <v>8710</v>
      </c>
      <c r="H476" s="95" t="s">
        <v>8711</v>
      </c>
      <c r="I476" s="95" t="s">
        <v>8712</v>
      </c>
      <c r="J476" s="95" t="s">
        <v>8713</v>
      </c>
      <c r="K476" s="95" t="s">
        <v>8714</v>
      </c>
    </row>
    <row r="477" spans="1:11" ht="20.100000000000001" customHeight="1" x14ac:dyDescent="0.25">
      <c r="A477" s="95"/>
      <c r="B477" s="95"/>
      <c r="C477" s="95"/>
      <c r="D477" s="95"/>
      <c r="E477" s="95">
        <v>26</v>
      </c>
      <c r="F477" s="95" t="s">
        <v>8588</v>
      </c>
      <c r="G477" s="95" t="s">
        <v>8715</v>
      </c>
      <c r="H477" s="95" t="s">
        <v>8716</v>
      </c>
      <c r="I477" s="95" t="s">
        <v>8717</v>
      </c>
      <c r="J477" s="95" t="s">
        <v>8718</v>
      </c>
      <c r="K477" s="95" t="s">
        <v>8719</v>
      </c>
    </row>
    <row r="478" spans="1:11" ht="20.100000000000001" customHeight="1" x14ac:dyDescent="0.25">
      <c r="A478" s="95"/>
      <c r="B478" s="95"/>
      <c r="C478" s="95"/>
      <c r="D478" s="95"/>
      <c r="E478" s="95">
        <v>27</v>
      </c>
      <c r="F478" s="95" t="s">
        <v>8589</v>
      </c>
      <c r="G478" s="95" t="s">
        <v>8720</v>
      </c>
      <c r="H478" s="95" t="s">
        <v>8721</v>
      </c>
      <c r="I478" s="95" t="s">
        <v>8722</v>
      </c>
      <c r="J478" s="95" t="s">
        <v>8723</v>
      </c>
      <c r="K478" s="95" t="s">
        <v>8724</v>
      </c>
    </row>
    <row r="479" spans="1:11" ht="20.100000000000001" customHeight="1" x14ac:dyDescent="0.25">
      <c r="A479" s="95"/>
      <c r="B479" s="95"/>
      <c r="C479" s="95"/>
      <c r="D479" s="95"/>
      <c r="E479" s="95">
        <v>28</v>
      </c>
      <c r="F479" s="95" t="s">
        <v>8590</v>
      </c>
      <c r="G479" s="95" t="s">
        <v>8725</v>
      </c>
      <c r="H479" s="95" t="s">
        <v>8726</v>
      </c>
      <c r="I479" s="95" t="s">
        <v>8727</v>
      </c>
      <c r="J479" s="95" t="s">
        <v>8728</v>
      </c>
      <c r="K479" s="95" t="s">
        <v>8729</v>
      </c>
    </row>
    <row r="480" spans="1:11" ht="20.100000000000001" customHeight="1" x14ac:dyDescent="0.25">
      <c r="A480" s="95"/>
      <c r="B480" s="95"/>
      <c r="C480" s="95"/>
      <c r="D480" s="95"/>
      <c r="E480" s="95">
        <v>29</v>
      </c>
      <c r="F480" s="95" t="s">
        <v>8591</v>
      </c>
      <c r="G480" s="95" t="s">
        <v>8730</v>
      </c>
      <c r="H480" s="95" t="s">
        <v>8731</v>
      </c>
      <c r="I480" s="95" t="s">
        <v>8732</v>
      </c>
      <c r="J480" s="95" t="s">
        <v>8733</v>
      </c>
      <c r="K480" s="95" t="s">
        <v>8734</v>
      </c>
    </row>
    <row r="481" spans="1:11" ht="20.100000000000001" customHeight="1" x14ac:dyDescent="0.25">
      <c r="A481" s="95"/>
      <c r="B481" s="95"/>
      <c r="C481" s="95"/>
      <c r="D481" s="95"/>
      <c r="E481" s="95">
        <v>30</v>
      </c>
      <c r="F481" s="95" t="s">
        <v>8592</v>
      </c>
      <c r="G481" s="95" t="s">
        <v>8735</v>
      </c>
      <c r="H481" s="95" t="s">
        <v>8736</v>
      </c>
      <c r="I481" s="95" t="s">
        <v>8737</v>
      </c>
      <c r="J481" s="95" t="s">
        <v>8738</v>
      </c>
      <c r="K481" s="95" t="s">
        <v>8739</v>
      </c>
    </row>
    <row r="482" spans="1:11" ht="20.100000000000001" customHeight="1" x14ac:dyDescent="0.25">
      <c r="A482" s="96"/>
      <c r="B482" s="96"/>
      <c r="C482" s="96" t="s">
        <v>4875</v>
      </c>
      <c r="D482" s="96" t="s">
        <v>4876</v>
      </c>
      <c r="E482" s="96">
        <v>1</v>
      </c>
      <c r="F482" s="96" t="s">
        <v>8740</v>
      </c>
      <c r="G482" s="96" t="s">
        <v>8770</v>
      </c>
      <c r="H482" s="96" t="s">
        <v>8601</v>
      </c>
      <c r="I482" s="96" t="s">
        <v>8602</v>
      </c>
      <c r="J482" s="96" t="s">
        <v>8603</v>
      </c>
      <c r="K482" s="96" t="s">
        <v>8604</v>
      </c>
    </row>
    <row r="483" spans="1:11" ht="20.100000000000001" customHeight="1" x14ac:dyDescent="0.25">
      <c r="A483" s="96"/>
      <c r="B483" s="96"/>
      <c r="C483" s="96"/>
      <c r="D483" s="96" t="s">
        <v>4872</v>
      </c>
      <c r="E483" s="96">
        <v>2</v>
      </c>
      <c r="F483" s="96" t="s">
        <v>8741</v>
      </c>
      <c r="G483" s="96" t="s">
        <v>8771</v>
      </c>
      <c r="H483" s="96" t="s">
        <v>7435</v>
      </c>
      <c r="I483" s="96" t="s">
        <v>7436</v>
      </c>
      <c r="J483" s="96" t="s">
        <v>7437</v>
      </c>
      <c r="K483" s="96" t="s">
        <v>7438</v>
      </c>
    </row>
    <row r="484" spans="1:11" ht="20.100000000000001" customHeight="1" x14ac:dyDescent="0.25">
      <c r="A484" s="96"/>
      <c r="B484" s="96"/>
      <c r="C484" s="96"/>
      <c r="D484" s="96"/>
      <c r="E484" s="96">
        <v>3</v>
      </c>
      <c r="F484" s="96" t="s">
        <v>8742</v>
      </c>
      <c r="G484" s="96" t="s">
        <v>8772</v>
      </c>
      <c r="H484" s="96" t="s">
        <v>8773</v>
      </c>
      <c r="I484" s="96" t="s">
        <v>8774</v>
      </c>
      <c r="J484" s="96" t="s">
        <v>8775</v>
      </c>
      <c r="K484" s="96" t="s">
        <v>8776</v>
      </c>
    </row>
    <row r="485" spans="1:11" ht="20.100000000000001" customHeight="1" x14ac:dyDescent="0.25">
      <c r="A485" s="96"/>
      <c r="B485" s="96"/>
      <c r="C485" s="96"/>
      <c r="D485" s="96"/>
      <c r="E485" s="96">
        <v>4</v>
      </c>
      <c r="F485" s="96" t="s">
        <v>8743</v>
      </c>
      <c r="G485" s="96" t="s">
        <v>8777</v>
      </c>
      <c r="H485" s="96" t="s">
        <v>8778</v>
      </c>
      <c r="I485" s="96" t="s">
        <v>8779</v>
      </c>
      <c r="J485" s="96" t="s">
        <v>8780</v>
      </c>
      <c r="K485" s="96" t="s">
        <v>8781</v>
      </c>
    </row>
    <row r="486" spans="1:11" ht="20.100000000000001" customHeight="1" x14ac:dyDescent="0.25">
      <c r="A486" s="96"/>
      <c r="B486" s="96"/>
      <c r="C486" s="96"/>
      <c r="D486" s="96"/>
      <c r="E486" s="96">
        <v>5</v>
      </c>
      <c r="F486" s="96" t="s">
        <v>8744</v>
      </c>
      <c r="G486" s="96" t="s">
        <v>8782</v>
      </c>
      <c r="H486" s="96" t="s">
        <v>8783</v>
      </c>
      <c r="I486" s="96" t="s">
        <v>8784</v>
      </c>
      <c r="J486" s="96" t="s">
        <v>8785</v>
      </c>
      <c r="K486" s="96" t="s">
        <v>8786</v>
      </c>
    </row>
    <row r="487" spans="1:11" ht="20.100000000000001" customHeight="1" x14ac:dyDescent="0.25">
      <c r="A487" s="96"/>
      <c r="B487" s="96"/>
      <c r="C487" s="96"/>
      <c r="D487" s="96"/>
      <c r="E487" s="96">
        <v>6</v>
      </c>
      <c r="F487" s="96" t="s">
        <v>8745</v>
      </c>
      <c r="G487" s="96" t="s">
        <v>8787</v>
      </c>
      <c r="H487" s="96" t="s">
        <v>8788</v>
      </c>
      <c r="I487" s="96" t="s">
        <v>8789</v>
      </c>
      <c r="J487" s="96" t="s">
        <v>8790</v>
      </c>
      <c r="K487" s="96" t="s">
        <v>8791</v>
      </c>
    </row>
    <row r="488" spans="1:11" ht="20.100000000000001" customHeight="1" x14ac:dyDescent="0.25">
      <c r="A488" s="96"/>
      <c r="B488" s="96"/>
      <c r="C488" s="96"/>
      <c r="D488" s="96"/>
      <c r="E488" s="96">
        <v>7</v>
      </c>
      <c r="F488" s="96" t="s">
        <v>8746</v>
      </c>
      <c r="G488" s="96" t="s">
        <v>8792</v>
      </c>
      <c r="H488" s="96" t="s">
        <v>8793</v>
      </c>
      <c r="I488" s="96" t="s">
        <v>8794</v>
      </c>
      <c r="J488" s="96" t="s">
        <v>8795</v>
      </c>
      <c r="K488" s="96" t="s">
        <v>8796</v>
      </c>
    </row>
    <row r="489" spans="1:11" ht="20.100000000000001" customHeight="1" x14ac:dyDescent="0.25">
      <c r="A489" s="96"/>
      <c r="B489" s="96"/>
      <c r="C489" s="96"/>
      <c r="D489" s="96"/>
      <c r="E489" s="96">
        <v>8</v>
      </c>
      <c r="F489" s="96" t="s">
        <v>8747</v>
      </c>
      <c r="G489" s="96" t="s">
        <v>8797</v>
      </c>
      <c r="H489" s="96" t="s">
        <v>8798</v>
      </c>
      <c r="I489" s="96" t="s">
        <v>8799</v>
      </c>
      <c r="J489" s="96" t="s">
        <v>8800</v>
      </c>
      <c r="K489" s="96" t="s">
        <v>8801</v>
      </c>
    </row>
    <row r="490" spans="1:11" ht="20.100000000000001" customHeight="1" x14ac:dyDescent="0.25">
      <c r="A490" s="96"/>
      <c r="B490" s="96"/>
      <c r="C490" s="96"/>
      <c r="D490" s="96"/>
      <c r="E490" s="96">
        <v>9</v>
      </c>
      <c r="F490" s="96" t="s">
        <v>8748</v>
      </c>
      <c r="G490" s="96" t="s">
        <v>8802</v>
      </c>
      <c r="H490" s="96" t="s">
        <v>8803</v>
      </c>
      <c r="I490" s="96" t="s">
        <v>8804</v>
      </c>
      <c r="J490" s="96" t="s">
        <v>8805</v>
      </c>
      <c r="K490" s="96" t="s">
        <v>8806</v>
      </c>
    </row>
    <row r="491" spans="1:11" ht="20.100000000000001" customHeight="1" x14ac:dyDescent="0.25">
      <c r="A491" s="96"/>
      <c r="B491" s="96"/>
      <c r="C491" s="96"/>
      <c r="D491" s="96"/>
      <c r="E491" s="96">
        <v>10</v>
      </c>
      <c r="F491" s="96" t="s">
        <v>8749</v>
      </c>
      <c r="G491" s="96" t="s">
        <v>8807</v>
      </c>
      <c r="H491" s="96" t="s">
        <v>8808</v>
      </c>
      <c r="I491" s="96" t="s">
        <v>8809</v>
      </c>
      <c r="J491" s="96" t="s">
        <v>8810</v>
      </c>
      <c r="K491" s="96" t="s">
        <v>8811</v>
      </c>
    </row>
    <row r="492" spans="1:11" ht="20.100000000000001" customHeight="1" x14ac:dyDescent="0.25">
      <c r="A492" s="96"/>
      <c r="B492" s="96"/>
      <c r="C492" s="96"/>
      <c r="D492" s="96"/>
      <c r="E492" s="96">
        <v>11</v>
      </c>
      <c r="F492" s="96" t="s">
        <v>8750</v>
      </c>
      <c r="G492" s="96" t="s">
        <v>8812</v>
      </c>
      <c r="H492" s="96" t="s">
        <v>8813</v>
      </c>
      <c r="I492" s="96" t="s">
        <v>8814</v>
      </c>
      <c r="J492" s="96" t="s">
        <v>8815</v>
      </c>
      <c r="K492" s="96" t="s">
        <v>8816</v>
      </c>
    </row>
    <row r="493" spans="1:11" ht="20.100000000000001" customHeight="1" x14ac:dyDescent="0.25">
      <c r="A493" s="96"/>
      <c r="B493" s="96"/>
      <c r="C493" s="96"/>
      <c r="D493" s="96"/>
      <c r="E493" s="96">
        <v>12</v>
      </c>
      <c r="F493" s="96" t="s">
        <v>8751</v>
      </c>
      <c r="G493" s="96" t="s">
        <v>8817</v>
      </c>
      <c r="H493" s="96" t="s">
        <v>8818</v>
      </c>
      <c r="I493" s="96" t="s">
        <v>8819</v>
      </c>
      <c r="J493" s="96" t="s">
        <v>8820</v>
      </c>
      <c r="K493" s="96" t="s">
        <v>8821</v>
      </c>
    </row>
    <row r="494" spans="1:11" ht="20.100000000000001" customHeight="1" x14ac:dyDescent="0.25">
      <c r="A494" s="96"/>
      <c r="B494" s="96"/>
      <c r="C494" s="96"/>
      <c r="D494" s="96"/>
      <c r="E494" s="96">
        <v>13</v>
      </c>
      <c r="F494" s="96" t="s">
        <v>8752</v>
      </c>
      <c r="G494" s="96" t="s">
        <v>8822</v>
      </c>
      <c r="H494" s="96" t="s">
        <v>7480</v>
      </c>
      <c r="I494" s="96" t="s">
        <v>7481</v>
      </c>
      <c r="J494" s="96" t="s">
        <v>7482</v>
      </c>
      <c r="K494" s="96" t="s">
        <v>7483</v>
      </c>
    </row>
    <row r="495" spans="1:11" ht="20.100000000000001" customHeight="1" x14ac:dyDescent="0.25">
      <c r="A495" s="96"/>
      <c r="B495" s="96"/>
      <c r="C495" s="96"/>
      <c r="D495" s="96"/>
      <c r="E495" s="96">
        <v>14</v>
      </c>
      <c r="F495" s="96" t="s">
        <v>8753</v>
      </c>
      <c r="G495" s="96" t="s">
        <v>8823</v>
      </c>
      <c r="H495" s="96" t="s">
        <v>8824</v>
      </c>
      <c r="I495" s="96" t="s">
        <v>8825</v>
      </c>
      <c r="J495" s="96" t="s">
        <v>8826</v>
      </c>
      <c r="K495" s="96" t="s">
        <v>8827</v>
      </c>
    </row>
    <row r="496" spans="1:11" ht="20.100000000000001" customHeight="1" x14ac:dyDescent="0.25">
      <c r="A496" s="96"/>
      <c r="B496" s="96"/>
      <c r="C496" s="96"/>
      <c r="D496" s="96"/>
      <c r="E496" s="96">
        <v>15</v>
      </c>
      <c r="F496" s="96" t="s">
        <v>8754</v>
      </c>
      <c r="G496" s="96" t="s">
        <v>8828</v>
      </c>
      <c r="H496" s="96" t="s">
        <v>8829</v>
      </c>
      <c r="I496" s="96" t="s">
        <v>8830</v>
      </c>
      <c r="J496" s="96" t="s">
        <v>8831</v>
      </c>
      <c r="K496" s="96" t="s">
        <v>8832</v>
      </c>
    </row>
    <row r="497" spans="1:11" ht="20.100000000000001" customHeight="1" x14ac:dyDescent="0.25">
      <c r="A497" s="96"/>
      <c r="B497" s="96"/>
      <c r="C497" s="96"/>
      <c r="D497" s="96"/>
      <c r="E497" s="96">
        <v>16</v>
      </c>
      <c r="F497" s="96" t="s">
        <v>8755</v>
      </c>
      <c r="G497" s="96" t="s">
        <v>8833</v>
      </c>
      <c r="H497" s="96" t="s">
        <v>8834</v>
      </c>
      <c r="I497" s="96" t="s">
        <v>8835</v>
      </c>
      <c r="J497" s="96" t="s">
        <v>8836</v>
      </c>
      <c r="K497" s="96" t="s">
        <v>8837</v>
      </c>
    </row>
    <row r="498" spans="1:11" ht="20.100000000000001" customHeight="1" x14ac:dyDescent="0.25">
      <c r="A498" s="96"/>
      <c r="B498" s="96"/>
      <c r="C498" s="96"/>
      <c r="D498" s="96"/>
      <c r="E498" s="96">
        <v>17</v>
      </c>
      <c r="F498" s="96" t="s">
        <v>8756</v>
      </c>
      <c r="G498" s="96" t="s">
        <v>8838</v>
      </c>
      <c r="H498" s="96" t="s">
        <v>8839</v>
      </c>
      <c r="I498" s="96" t="s">
        <v>8840</v>
      </c>
      <c r="J498" s="96" t="s">
        <v>8841</v>
      </c>
      <c r="K498" s="96" t="s">
        <v>8842</v>
      </c>
    </row>
    <row r="499" spans="1:11" ht="20.100000000000001" customHeight="1" x14ac:dyDescent="0.25">
      <c r="A499" s="96"/>
      <c r="B499" s="96"/>
      <c r="C499" s="96"/>
      <c r="D499" s="96"/>
      <c r="E499" s="96">
        <v>18</v>
      </c>
      <c r="F499" s="96" t="s">
        <v>8757</v>
      </c>
      <c r="G499" s="96" t="s">
        <v>8843</v>
      </c>
      <c r="H499" s="96" t="s">
        <v>8844</v>
      </c>
      <c r="I499" s="96" t="s">
        <v>8845</v>
      </c>
      <c r="J499" s="96" t="s">
        <v>8846</v>
      </c>
      <c r="K499" s="96" t="s">
        <v>8847</v>
      </c>
    </row>
    <row r="500" spans="1:11" ht="20.100000000000001" customHeight="1" x14ac:dyDescent="0.25">
      <c r="A500" s="96"/>
      <c r="B500" s="96"/>
      <c r="C500" s="96"/>
      <c r="D500" s="96"/>
      <c r="E500" s="96">
        <v>19</v>
      </c>
      <c r="F500" s="96" t="s">
        <v>8758</v>
      </c>
      <c r="G500" s="96" t="s">
        <v>8848</v>
      </c>
      <c r="H500" s="96" t="s">
        <v>8849</v>
      </c>
      <c r="I500" s="96" t="s">
        <v>8850</v>
      </c>
      <c r="J500" s="96" t="s">
        <v>8851</v>
      </c>
      <c r="K500" s="96" t="s">
        <v>8852</v>
      </c>
    </row>
    <row r="501" spans="1:11" ht="20.100000000000001" customHeight="1" x14ac:dyDescent="0.25">
      <c r="A501" s="96"/>
      <c r="B501" s="96"/>
      <c r="C501" s="96"/>
      <c r="D501" s="96"/>
      <c r="E501" s="96">
        <v>20</v>
      </c>
      <c r="F501" s="96" t="s">
        <v>8759</v>
      </c>
      <c r="G501" s="96" t="s">
        <v>8853</v>
      </c>
      <c r="H501" s="96" t="s">
        <v>8854</v>
      </c>
      <c r="I501" s="96" t="s">
        <v>8855</v>
      </c>
      <c r="J501" s="96" t="s">
        <v>8856</v>
      </c>
      <c r="K501" s="96" t="s">
        <v>8857</v>
      </c>
    </row>
    <row r="502" spans="1:11" ht="20.100000000000001" customHeight="1" x14ac:dyDescent="0.25">
      <c r="A502" s="96"/>
      <c r="B502" s="96"/>
      <c r="C502" s="96"/>
      <c r="D502" s="96"/>
      <c r="E502" s="96">
        <v>21</v>
      </c>
      <c r="F502" s="96" t="s">
        <v>8760</v>
      </c>
      <c r="G502" s="96" t="s">
        <v>8858</v>
      </c>
      <c r="H502" s="96" t="s">
        <v>8859</v>
      </c>
      <c r="I502" s="96" t="s">
        <v>8860</v>
      </c>
      <c r="J502" s="96" t="s">
        <v>8861</v>
      </c>
      <c r="K502" s="96" t="s">
        <v>8862</v>
      </c>
    </row>
    <row r="503" spans="1:11" ht="20.100000000000001" customHeight="1" x14ac:dyDescent="0.25">
      <c r="A503" s="96"/>
      <c r="B503" s="96"/>
      <c r="C503" s="96"/>
      <c r="D503" s="96"/>
      <c r="E503" s="96">
        <v>22</v>
      </c>
      <c r="F503" s="96" t="s">
        <v>8761</v>
      </c>
      <c r="G503" s="96" t="s">
        <v>8695</v>
      </c>
      <c r="H503" s="96" t="s">
        <v>8863</v>
      </c>
      <c r="I503" s="96" t="s">
        <v>8864</v>
      </c>
      <c r="J503" s="96" t="s">
        <v>8865</v>
      </c>
      <c r="K503" s="96" t="s">
        <v>8866</v>
      </c>
    </row>
    <row r="504" spans="1:11" ht="20.100000000000001" customHeight="1" x14ac:dyDescent="0.25">
      <c r="A504" s="96"/>
      <c r="B504" s="96"/>
      <c r="C504" s="96"/>
      <c r="D504" s="96"/>
      <c r="E504" s="96">
        <v>23</v>
      </c>
      <c r="F504" s="96" t="s">
        <v>8762</v>
      </c>
      <c r="G504" s="96" t="s">
        <v>8867</v>
      </c>
      <c r="H504" s="96" t="s">
        <v>8868</v>
      </c>
      <c r="I504" s="96" t="s">
        <v>8869</v>
      </c>
      <c r="J504" s="96" t="s">
        <v>8870</v>
      </c>
      <c r="K504" s="96" t="s">
        <v>8871</v>
      </c>
    </row>
    <row r="505" spans="1:11" ht="20.100000000000001" customHeight="1" x14ac:dyDescent="0.25">
      <c r="A505" s="96"/>
      <c r="B505" s="96"/>
      <c r="C505" s="96"/>
      <c r="D505" s="96"/>
      <c r="E505" s="96">
        <v>24</v>
      </c>
      <c r="F505" s="96" t="s">
        <v>8763</v>
      </c>
      <c r="G505" s="96" t="s">
        <v>8872</v>
      </c>
      <c r="H505" s="96" t="s">
        <v>8873</v>
      </c>
      <c r="I505" s="96" t="s">
        <v>8874</v>
      </c>
      <c r="J505" s="96" t="s">
        <v>8875</v>
      </c>
      <c r="K505" s="96" t="s">
        <v>8876</v>
      </c>
    </row>
    <row r="506" spans="1:11" ht="20.100000000000001" customHeight="1" x14ac:dyDescent="0.25">
      <c r="A506" s="96"/>
      <c r="B506" s="96"/>
      <c r="C506" s="96"/>
      <c r="D506" s="96"/>
      <c r="E506" s="96">
        <v>25</v>
      </c>
      <c r="F506" s="96" t="s">
        <v>8764</v>
      </c>
      <c r="G506" s="96" t="s">
        <v>8877</v>
      </c>
      <c r="H506" s="96" t="s">
        <v>8878</v>
      </c>
      <c r="I506" s="96" t="s">
        <v>8879</v>
      </c>
      <c r="J506" s="96" t="s">
        <v>8880</v>
      </c>
      <c r="K506" s="96" t="s">
        <v>8881</v>
      </c>
    </row>
    <row r="507" spans="1:11" ht="20.100000000000001" customHeight="1" x14ac:dyDescent="0.25">
      <c r="A507" s="96"/>
      <c r="B507" s="96"/>
      <c r="C507" s="96"/>
      <c r="D507" s="96"/>
      <c r="E507" s="96">
        <v>26</v>
      </c>
      <c r="F507" s="96" t="s">
        <v>8765</v>
      </c>
      <c r="G507" s="96" t="s">
        <v>8882</v>
      </c>
      <c r="H507" s="96" t="s">
        <v>8883</v>
      </c>
      <c r="I507" s="96" t="s">
        <v>8884</v>
      </c>
      <c r="J507" s="96" t="s">
        <v>8885</v>
      </c>
      <c r="K507" s="96" t="s">
        <v>8886</v>
      </c>
    </row>
    <row r="508" spans="1:11" ht="20.100000000000001" customHeight="1" x14ac:dyDescent="0.25">
      <c r="A508" s="96"/>
      <c r="B508" s="96"/>
      <c r="C508" s="96"/>
      <c r="D508" s="96"/>
      <c r="E508" s="96">
        <v>27</v>
      </c>
      <c r="F508" s="96" t="s">
        <v>8766</v>
      </c>
      <c r="G508" s="96" t="s">
        <v>8887</v>
      </c>
      <c r="H508" s="96" t="s">
        <v>8888</v>
      </c>
      <c r="I508" s="96" t="s">
        <v>8889</v>
      </c>
      <c r="J508" s="96" t="s">
        <v>8890</v>
      </c>
      <c r="K508" s="96" t="s">
        <v>8891</v>
      </c>
    </row>
    <row r="509" spans="1:11" ht="20.100000000000001" customHeight="1" x14ac:dyDescent="0.25">
      <c r="A509" s="96"/>
      <c r="B509" s="96"/>
      <c r="C509" s="96"/>
      <c r="D509" s="96"/>
      <c r="E509" s="96">
        <v>28</v>
      </c>
      <c r="F509" s="96" t="s">
        <v>8767</v>
      </c>
      <c r="G509" s="96" t="s">
        <v>8892</v>
      </c>
      <c r="H509" s="96" t="s">
        <v>8893</v>
      </c>
      <c r="I509" s="96" t="s">
        <v>8894</v>
      </c>
      <c r="J509" s="96" t="s">
        <v>8895</v>
      </c>
      <c r="K509" s="96" t="s">
        <v>8896</v>
      </c>
    </row>
    <row r="510" spans="1:11" ht="20.100000000000001" customHeight="1" x14ac:dyDescent="0.25">
      <c r="A510" s="96"/>
      <c r="B510" s="96"/>
      <c r="C510" s="96"/>
      <c r="D510" s="96"/>
      <c r="E510" s="96">
        <v>29</v>
      </c>
      <c r="F510" s="96" t="s">
        <v>8768</v>
      </c>
      <c r="G510" s="96" t="s">
        <v>8897</v>
      </c>
      <c r="H510" s="96" t="s">
        <v>8898</v>
      </c>
      <c r="I510" s="96" t="s">
        <v>8899</v>
      </c>
      <c r="J510" s="96" t="s">
        <v>8900</v>
      </c>
      <c r="K510" s="96" t="s">
        <v>8901</v>
      </c>
    </row>
    <row r="511" spans="1:11" ht="20.100000000000001" customHeight="1" x14ac:dyDescent="0.25">
      <c r="A511" s="96"/>
      <c r="B511" s="96"/>
      <c r="C511" s="96"/>
      <c r="D511" s="96"/>
      <c r="E511" s="96">
        <v>30</v>
      </c>
      <c r="F511" s="96" t="s">
        <v>8769</v>
      </c>
      <c r="G511" s="96" t="s">
        <v>8902</v>
      </c>
      <c r="H511" s="96" t="s">
        <v>8903</v>
      </c>
      <c r="I511" s="96" t="s">
        <v>8904</v>
      </c>
      <c r="J511" s="96" t="s">
        <v>8905</v>
      </c>
      <c r="K511" s="96" t="s">
        <v>8906</v>
      </c>
    </row>
    <row r="512" spans="1:11" ht="20.100000000000001" customHeight="1" x14ac:dyDescent="0.25">
      <c r="A512" s="97"/>
      <c r="B512" s="97"/>
      <c r="C512" s="97" t="s">
        <v>4874</v>
      </c>
      <c r="D512" s="97" t="s">
        <v>4878</v>
      </c>
      <c r="E512" s="97">
        <v>1</v>
      </c>
      <c r="F512" s="97" t="s">
        <v>8918</v>
      </c>
      <c r="G512" s="97" t="s">
        <v>8921</v>
      </c>
      <c r="H512" s="97" t="s">
        <v>7435</v>
      </c>
      <c r="I512" s="97" t="s">
        <v>7436</v>
      </c>
      <c r="J512" s="97" t="s">
        <v>7437</v>
      </c>
      <c r="K512" s="97" t="s">
        <v>7438</v>
      </c>
    </row>
    <row r="513" spans="1:11" ht="20.100000000000001" customHeight="1" x14ac:dyDescent="0.25">
      <c r="A513" s="97"/>
      <c r="B513" s="97"/>
      <c r="C513" s="97"/>
      <c r="D513" s="97" t="s">
        <v>4872</v>
      </c>
      <c r="E513" s="97">
        <v>2</v>
      </c>
      <c r="F513" s="97" t="s">
        <v>8907</v>
      </c>
      <c r="G513" s="97" t="s">
        <v>8595</v>
      </c>
      <c r="H513" s="97" t="s">
        <v>8596</v>
      </c>
      <c r="I513" s="97" t="s">
        <v>8597</v>
      </c>
      <c r="J513" s="97" t="s">
        <v>8598</v>
      </c>
      <c r="K513" s="97" t="s">
        <v>8599</v>
      </c>
    </row>
    <row r="514" spans="1:11" ht="20.100000000000001" customHeight="1" x14ac:dyDescent="0.25">
      <c r="A514" s="97"/>
      <c r="B514" s="97"/>
      <c r="C514" s="97"/>
      <c r="D514" s="97"/>
      <c r="E514" s="97">
        <v>3</v>
      </c>
      <c r="F514" s="97" t="s">
        <v>8743</v>
      </c>
      <c r="G514" s="97" t="s">
        <v>8922</v>
      </c>
      <c r="H514" s="97" t="s">
        <v>8778</v>
      </c>
      <c r="I514" s="97" t="s">
        <v>8779</v>
      </c>
      <c r="J514" s="97" t="s">
        <v>8923</v>
      </c>
      <c r="K514" s="97" t="s">
        <v>8781</v>
      </c>
    </row>
    <row r="515" spans="1:11" ht="20.100000000000001" customHeight="1" x14ac:dyDescent="0.25">
      <c r="A515" s="97"/>
      <c r="B515" s="97"/>
      <c r="C515" s="97"/>
      <c r="D515" s="97"/>
      <c r="E515" s="97">
        <v>4</v>
      </c>
      <c r="F515" s="97" t="s">
        <v>8919</v>
      </c>
      <c r="G515" s="97" t="s">
        <v>8605</v>
      </c>
      <c r="H515" s="97" t="s">
        <v>8606</v>
      </c>
      <c r="I515" s="97" t="s">
        <v>8607</v>
      </c>
      <c r="J515" s="97" t="s">
        <v>8608</v>
      </c>
      <c r="K515" s="97" t="s">
        <v>8609</v>
      </c>
    </row>
    <row r="516" spans="1:11" ht="20.100000000000001" customHeight="1" x14ac:dyDescent="0.25">
      <c r="A516" s="97"/>
      <c r="B516" s="97"/>
      <c r="C516" s="97"/>
      <c r="D516" s="97"/>
      <c r="E516" s="97">
        <v>5</v>
      </c>
      <c r="F516" s="97" t="s">
        <v>8920</v>
      </c>
      <c r="G516" s="97" t="s">
        <v>8924</v>
      </c>
      <c r="H516" s="97" t="s">
        <v>8788</v>
      </c>
      <c r="I516" s="97" t="s">
        <v>8789</v>
      </c>
      <c r="J516" s="97" t="s">
        <v>8790</v>
      </c>
      <c r="K516" s="97" t="s">
        <v>8791</v>
      </c>
    </row>
    <row r="517" spans="1:11" ht="20.100000000000001" customHeight="1" x14ac:dyDescent="0.25">
      <c r="A517" s="97"/>
      <c r="B517" s="97"/>
      <c r="C517" s="97"/>
      <c r="D517" s="97"/>
      <c r="E517" s="97">
        <v>6</v>
      </c>
      <c r="F517" s="97" t="s">
        <v>8568</v>
      </c>
      <c r="G517" s="97" t="s">
        <v>8615</v>
      </c>
      <c r="H517" s="97" t="s">
        <v>8616</v>
      </c>
      <c r="I517" s="97" t="s">
        <v>8617</v>
      </c>
      <c r="J517" s="97" t="s">
        <v>8618</v>
      </c>
      <c r="K517" s="97" t="s">
        <v>8619</v>
      </c>
    </row>
    <row r="518" spans="1:11" ht="20.100000000000001" customHeight="1" x14ac:dyDescent="0.25">
      <c r="A518" s="97"/>
      <c r="B518" s="97"/>
      <c r="C518" s="97"/>
      <c r="D518" s="97"/>
      <c r="E518" s="97">
        <v>7</v>
      </c>
      <c r="F518" s="97" t="s">
        <v>8747</v>
      </c>
      <c r="G518" s="97" t="s">
        <v>8925</v>
      </c>
      <c r="H518" s="97" t="s">
        <v>8798</v>
      </c>
      <c r="I518" s="97" t="s">
        <v>8799</v>
      </c>
      <c r="J518" s="97" t="s">
        <v>8800</v>
      </c>
      <c r="K518" s="97" t="s">
        <v>8801</v>
      </c>
    </row>
    <row r="519" spans="1:11" ht="20.100000000000001" customHeight="1" x14ac:dyDescent="0.25">
      <c r="A519" s="97"/>
      <c r="B519" s="97"/>
      <c r="C519" s="97"/>
      <c r="D519" s="97"/>
      <c r="E519" s="97">
        <v>8</v>
      </c>
      <c r="F519" s="97" t="s">
        <v>8570</v>
      </c>
      <c r="G519" s="97" t="s">
        <v>8625</v>
      </c>
      <c r="H519" s="97" t="s">
        <v>8626</v>
      </c>
      <c r="I519" s="97" t="s">
        <v>8627</v>
      </c>
      <c r="J519" s="97" t="s">
        <v>8628</v>
      </c>
      <c r="K519" s="97" t="s">
        <v>8629</v>
      </c>
    </row>
    <row r="520" spans="1:11" ht="20.100000000000001" customHeight="1" x14ac:dyDescent="0.25">
      <c r="A520" s="97"/>
      <c r="B520" s="97"/>
      <c r="C520" s="97"/>
      <c r="D520" s="97"/>
      <c r="E520" s="97">
        <v>9</v>
      </c>
      <c r="F520" s="97" t="s">
        <v>8748</v>
      </c>
      <c r="G520" s="97" t="s">
        <v>8802</v>
      </c>
      <c r="H520" s="97" t="s">
        <v>8803</v>
      </c>
      <c r="I520" s="97" t="s">
        <v>8804</v>
      </c>
      <c r="J520" s="97" t="s">
        <v>8805</v>
      </c>
      <c r="K520" s="97" t="s">
        <v>8806</v>
      </c>
    </row>
    <row r="521" spans="1:11" ht="20.100000000000001" customHeight="1" x14ac:dyDescent="0.25">
      <c r="A521" s="97"/>
      <c r="B521" s="97"/>
      <c r="C521" s="97"/>
      <c r="D521" s="97"/>
      <c r="E521" s="97">
        <v>10</v>
      </c>
      <c r="F521" s="97" t="s">
        <v>8571</v>
      </c>
      <c r="G521" s="97" t="s">
        <v>8926</v>
      </c>
      <c r="H521" s="97" t="s">
        <v>8631</v>
      </c>
      <c r="I521" s="97" t="s">
        <v>8632</v>
      </c>
      <c r="J521" s="97" t="s">
        <v>8633</v>
      </c>
      <c r="K521" s="97" t="s">
        <v>8634</v>
      </c>
    </row>
    <row r="522" spans="1:11" ht="20.100000000000001" customHeight="1" x14ac:dyDescent="0.25">
      <c r="A522" s="97"/>
      <c r="B522" s="97"/>
      <c r="C522" s="97"/>
      <c r="D522" s="97"/>
      <c r="E522" s="97">
        <v>11</v>
      </c>
      <c r="F522" s="97" t="s">
        <v>8751</v>
      </c>
      <c r="G522" s="97" t="s">
        <v>8927</v>
      </c>
      <c r="H522" s="97" t="s">
        <v>8818</v>
      </c>
      <c r="I522" s="97" t="s">
        <v>8819</v>
      </c>
      <c r="J522" s="97" t="s">
        <v>8820</v>
      </c>
      <c r="K522" s="97" t="s">
        <v>8821</v>
      </c>
    </row>
    <row r="523" spans="1:11" ht="20.100000000000001" customHeight="1" x14ac:dyDescent="0.25">
      <c r="A523" s="97"/>
      <c r="B523" s="97"/>
      <c r="C523" s="97"/>
      <c r="D523" s="97"/>
      <c r="E523" s="97">
        <v>12</v>
      </c>
      <c r="F523" s="97" t="s">
        <v>8908</v>
      </c>
      <c r="G523" s="97" t="s">
        <v>8645</v>
      </c>
      <c r="H523" s="97" t="s">
        <v>8646</v>
      </c>
      <c r="I523" s="97" t="s">
        <v>8647</v>
      </c>
      <c r="J523" s="97" t="s">
        <v>8648</v>
      </c>
      <c r="K523" s="97" t="s">
        <v>8928</v>
      </c>
    </row>
    <row r="524" spans="1:11" ht="20.100000000000001" customHeight="1" x14ac:dyDescent="0.25">
      <c r="A524" s="97"/>
      <c r="B524" s="97"/>
      <c r="C524" s="97"/>
      <c r="D524" s="97"/>
      <c r="E524" s="97">
        <v>13</v>
      </c>
      <c r="F524" s="97" t="s">
        <v>8909</v>
      </c>
      <c r="G524" s="97" t="s">
        <v>8929</v>
      </c>
      <c r="H524" s="97" t="s">
        <v>8824</v>
      </c>
      <c r="I524" s="97" t="s">
        <v>8825</v>
      </c>
      <c r="J524" s="97" t="s">
        <v>8826</v>
      </c>
      <c r="K524" s="97" t="s">
        <v>8827</v>
      </c>
    </row>
    <row r="525" spans="1:11" ht="20.100000000000001" customHeight="1" x14ac:dyDescent="0.25">
      <c r="A525" s="97"/>
      <c r="B525" s="97"/>
      <c r="C525" s="97"/>
      <c r="D525" s="97"/>
      <c r="E525" s="97">
        <v>14</v>
      </c>
      <c r="F525" s="97" t="s">
        <v>8576</v>
      </c>
      <c r="G525" s="97" t="s">
        <v>8655</v>
      </c>
      <c r="H525" s="97" t="s">
        <v>8656</v>
      </c>
      <c r="I525" s="97" t="s">
        <v>8657</v>
      </c>
      <c r="J525" s="97" t="s">
        <v>8658</v>
      </c>
      <c r="K525" s="97" t="s">
        <v>8930</v>
      </c>
    </row>
    <row r="526" spans="1:11" ht="20.100000000000001" customHeight="1" x14ac:dyDescent="0.25">
      <c r="A526" s="97"/>
      <c r="B526" s="97"/>
      <c r="C526" s="97"/>
      <c r="D526" s="97"/>
      <c r="E526" s="97">
        <v>15</v>
      </c>
      <c r="F526" s="97" t="s">
        <v>8910</v>
      </c>
      <c r="G526" s="97" t="s">
        <v>8931</v>
      </c>
      <c r="H526" s="97" t="s">
        <v>8834</v>
      </c>
      <c r="I526" s="97" t="s">
        <v>8835</v>
      </c>
      <c r="J526" s="97" t="s">
        <v>8836</v>
      </c>
      <c r="K526" s="97" t="s">
        <v>8837</v>
      </c>
    </row>
    <row r="527" spans="1:11" ht="20.100000000000001" customHeight="1" x14ac:dyDescent="0.25">
      <c r="A527" s="97"/>
      <c r="B527" s="97"/>
      <c r="C527" s="97"/>
      <c r="D527" s="97"/>
      <c r="E527" s="97">
        <v>16</v>
      </c>
      <c r="F527" s="97" t="s">
        <v>8578</v>
      </c>
      <c r="G527" s="97" t="s">
        <v>8665</v>
      </c>
      <c r="H527" s="97" t="s">
        <v>8666</v>
      </c>
      <c r="I527" s="97" t="s">
        <v>8667</v>
      </c>
      <c r="J527" s="97" t="s">
        <v>8668</v>
      </c>
      <c r="K527" s="97" t="s">
        <v>8669</v>
      </c>
    </row>
    <row r="528" spans="1:11" ht="20.100000000000001" customHeight="1" x14ac:dyDescent="0.25">
      <c r="A528" s="97"/>
      <c r="B528" s="97"/>
      <c r="C528" s="97"/>
      <c r="D528" s="97"/>
      <c r="E528" s="97">
        <v>17</v>
      </c>
      <c r="F528" s="97" t="s">
        <v>8758</v>
      </c>
      <c r="G528" s="97" t="s">
        <v>8932</v>
      </c>
      <c r="H528" s="97" t="s">
        <v>8849</v>
      </c>
      <c r="I528" s="97" t="s">
        <v>8850</v>
      </c>
      <c r="J528" s="97" t="s">
        <v>8851</v>
      </c>
      <c r="K528" s="97" t="s">
        <v>8852</v>
      </c>
    </row>
    <row r="529" spans="1:11" ht="20.100000000000001" customHeight="1" x14ac:dyDescent="0.25">
      <c r="A529" s="97"/>
      <c r="B529" s="97"/>
      <c r="C529" s="97"/>
      <c r="D529" s="97"/>
      <c r="E529" s="97">
        <v>18</v>
      </c>
      <c r="F529" s="97" t="s">
        <v>8581</v>
      </c>
      <c r="G529" s="97" t="s">
        <v>8933</v>
      </c>
      <c r="H529" s="97" t="s">
        <v>8681</v>
      </c>
      <c r="I529" s="97" t="s">
        <v>8682</v>
      </c>
      <c r="J529" s="97" t="s">
        <v>8683</v>
      </c>
      <c r="K529" s="97" t="s">
        <v>8684</v>
      </c>
    </row>
    <row r="530" spans="1:11" ht="20.100000000000001" customHeight="1" x14ac:dyDescent="0.25">
      <c r="A530" s="97"/>
      <c r="B530" s="97"/>
      <c r="C530" s="97"/>
      <c r="D530" s="97"/>
      <c r="E530" s="97">
        <v>19</v>
      </c>
      <c r="F530" s="97" t="s">
        <v>8759</v>
      </c>
      <c r="G530" s="97" t="s">
        <v>8934</v>
      </c>
      <c r="H530" s="97" t="s">
        <v>8854</v>
      </c>
      <c r="I530" s="97" t="s">
        <v>8855</v>
      </c>
      <c r="J530" s="97" t="s">
        <v>8856</v>
      </c>
      <c r="K530" s="97" t="s">
        <v>8857</v>
      </c>
    </row>
    <row r="531" spans="1:11" ht="20.100000000000001" customHeight="1" x14ac:dyDescent="0.25">
      <c r="A531" s="97"/>
      <c r="B531" s="97"/>
      <c r="C531" s="97"/>
      <c r="D531" s="97"/>
      <c r="E531" s="97">
        <v>20</v>
      </c>
      <c r="F531" s="97" t="s">
        <v>8582</v>
      </c>
      <c r="G531" s="97" t="s">
        <v>8685</v>
      </c>
      <c r="H531" s="97" t="s">
        <v>8686</v>
      </c>
      <c r="I531" s="97" t="s">
        <v>8687</v>
      </c>
      <c r="J531" s="97" t="s">
        <v>8688</v>
      </c>
      <c r="K531" s="97" t="s">
        <v>8689</v>
      </c>
    </row>
    <row r="532" spans="1:11" ht="20.100000000000001" customHeight="1" x14ac:dyDescent="0.25">
      <c r="A532" s="97"/>
      <c r="B532" s="97"/>
      <c r="C532" s="97"/>
      <c r="D532" s="97"/>
      <c r="E532" s="97">
        <v>21</v>
      </c>
      <c r="F532" s="97" t="s">
        <v>8761</v>
      </c>
      <c r="G532" s="97" t="s">
        <v>8416</v>
      </c>
      <c r="H532" s="97" t="s">
        <v>8863</v>
      </c>
      <c r="I532" s="97" t="s">
        <v>8864</v>
      </c>
      <c r="J532" s="97" t="s">
        <v>8865</v>
      </c>
      <c r="K532" s="97" t="s">
        <v>8866</v>
      </c>
    </row>
    <row r="533" spans="1:11" ht="20.100000000000001" customHeight="1" x14ac:dyDescent="0.25">
      <c r="A533" s="97"/>
      <c r="B533" s="97"/>
      <c r="C533" s="97"/>
      <c r="D533" s="97"/>
      <c r="E533" s="97">
        <v>22</v>
      </c>
      <c r="F533" s="97" t="s">
        <v>8911</v>
      </c>
      <c r="G533" s="97" t="s">
        <v>8695</v>
      </c>
      <c r="H533" s="97" t="s">
        <v>8696</v>
      </c>
      <c r="I533" s="97" t="s">
        <v>8697</v>
      </c>
      <c r="J533" s="97" t="s">
        <v>8698</v>
      </c>
      <c r="K533" s="97" t="s">
        <v>8699</v>
      </c>
    </row>
    <row r="534" spans="1:11" ht="20.100000000000001" customHeight="1" x14ac:dyDescent="0.25">
      <c r="A534" s="97"/>
      <c r="B534" s="97"/>
      <c r="C534" s="97"/>
      <c r="D534" s="97"/>
      <c r="E534" s="97">
        <v>23</v>
      </c>
      <c r="F534" s="97" t="s">
        <v>8763</v>
      </c>
      <c r="G534" s="97" t="s">
        <v>8935</v>
      </c>
      <c r="H534" s="97" t="s">
        <v>8873</v>
      </c>
      <c r="I534" s="97" t="s">
        <v>8874</v>
      </c>
      <c r="J534" s="97" t="s">
        <v>8875</v>
      </c>
      <c r="K534" s="97" t="s">
        <v>8936</v>
      </c>
    </row>
    <row r="535" spans="1:11" ht="20.100000000000001" customHeight="1" x14ac:dyDescent="0.25">
      <c r="A535" s="97"/>
      <c r="B535" s="97"/>
      <c r="C535" s="97"/>
      <c r="D535" s="97"/>
      <c r="E535" s="97">
        <v>24</v>
      </c>
      <c r="F535" s="97" t="s">
        <v>8912</v>
      </c>
      <c r="G535" s="97" t="s">
        <v>8937</v>
      </c>
      <c r="H535" s="97" t="s">
        <v>8706</v>
      </c>
      <c r="I535" s="97" t="s">
        <v>8707</v>
      </c>
      <c r="J535" s="97" t="s">
        <v>8708</v>
      </c>
      <c r="K535" s="97" t="s">
        <v>8709</v>
      </c>
    </row>
    <row r="536" spans="1:11" ht="20.100000000000001" customHeight="1" x14ac:dyDescent="0.25">
      <c r="A536" s="97"/>
      <c r="B536" s="97"/>
      <c r="C536" s="97"/>
      <c r="D536" s="97"/>
      <c r="E536" s="97">
        <v>25</v>
      </c>
      <c r="F536" s="97" t="s">
        <v>8913</v>
      </c>
      <c r="G536" s="97" t="s">
        <v>8938</v>
      </c>
      <c r="H536" s="97" t="s">
        <v>8883</v>
      </c>
      <c r="I536" s="97" t="s">
        <v>8884</v>
      </c>
      <c r="J536" s="97" t="s">
        <v>8885</v>
      </c>
      <c r="K536" s="97" t="s">
        <v>8886</v>
      </c>
    </row>
    <row r="537" spans="1:11" ht="20.100000000000001" customHeight="1" x14ac:dyDescent="0.25">
      <c r="A537" s="97"/>
      <c r="B537" s="97"/>
      <c r="C537" s="97"/>
      <c r="D537" s="97"/>
      <c r="E537" s="97">
        <v>26</v>
      </c>
      <c r="F537" s="97" t="s">
        <v>8914</v>
      </c>
      <c r="G537" s="97" t="s">
        <v>8715</v>
      </c>
      <c r="H537" s="97" t="s">
        <v>8716</v>
      </c>
      <c r="I537" s="97" t="s">
        <v>8717</v>
      </c>
      <c r="J537" s="97" t="s">
        <v>8718</v>
      </c>
      <c r="K537" s="97" t="s">
        <v>8719</v>
      </c>
    </row>
    <row r="538" spans="1:11" ht="20.100000000000001" customHeight="1" x14ac:dyDescent="0.25">
      <c r="A538" s="97"/>
      <c r="B538" s="97"/>
      <c r="C538" s="97"/>
      <c r="D538" s="97"/>
      <c r="E538" s="97">
        <v>27</v>
      </c>
      <c r="F538" s="97" t="s">
        <v>8915</v>
      </c>
      <c r="G538" s="97" t="s">
        <v>8939</v>
      </c>
      <c r="H538" s="97" t="s">
        <v>8893</v>
      </c>
      <c r="I538" s="97" t="s">
        <v>8894</v>
      </c>
      <c r="J538" s="97" t="s">
        <v>8895</v>
      </c>
      <c r="K538" s="97" t="s">
        <v>8940</v>
      </c>
    </row>
    <row r="539" spans="1:11" ht="20.100000000000001" customHeight="1" x14ac:dyDescent="0.25">
      <c r="A539" s="97"/>
      <c r="B539" s="97"/>
      <c r="C539" s="97"/>
      <c r="D539" s="97"/>
      <c r="E539" s="97">
        <v>28</v>
      </c>
      <c r="F539" s="97" t="s">
        <v>8916</v>
      </c>
      <c r="G539" s="97" t="s">
        <v>8725</v>
      </c>
      <c r="H539" s="97" t="s">
        <v>8726</v>
      </c>
      <c r="I539" s="97" t="s">
        <v>8727</v>
      </c>
      <c r="J539" s="97" t="s">
        <v>8728</v>
      </c>
      <c r="K539" s="97" t="s">
        <v>8729</v>
      </c>
    </row>
    <row r="540" spans="1:11" ht="20.100000000000001" customHeight="1" x14ac:dyDescent="0.25">
      <c r="A540" s="97"/>
      <c r="B540" s="97"/>
      <c r="C540" s="97"/>
      <c r="D540" s="97"/>
      <c r="E540" s="97">
        <v>29</v>
      </c>
      <c r="F540" s="97" t="s">
        <v>8769</v>
      </c>
      <c r="G540" s="97" t="s">
        <v>8941</v>
      </c>
      <c r="H540" s="97" t="s">
        <v>8903</v>
      </c>
      <c r="I540" s="97" t="s">
        <v>8904</v>
      </c>
      <c r="J540" s="97" t="s">
        <v>8905</v>
      </c>
      <c r="K540" s="97" t="s">
        <v>8906</v>
      </c>
    </row>
    <row r="541" spans="1:11" ht="20.100000000000001" customHeight="1" x14ac:dyDescent="0.25">
      <c r="A541" s="97"/>
      <c r="B541" s="97"/>
      <c r="C541" s="97"/>
      <c r="D541" s="97"/>
      <c r="E541" s="97">
        <v>30</v>
      </c>
      <c r="F541" s="97" t="s">
        <v>8917</v>
      </c>
      <c r="G541" s="97" t="s">
        <v>8735</v>
      </c>
      <c r="H541" s="97" t="s">
        <v>8736</v>
      </c>
      <c r="I541" s="97" t="s">
        <v>8737</v>
      </c>
      <c r="J541" s="97" t="s">
        <v>8738</v>
      </c>
      <c r="K541" s="97" t="s">
        <v>8739</v>
      </c>
    </row>
    <row r="542" spans="1:11" ht="20.100000000000001" customHeight="1" x14ac:dyDescent="0.25">
      <c r="A542" s="26"/>
      <c r="B542" s="26"/>
      <c r="C542" s="26" t="s">
        <v>4873</v>
      </c>
      <c r="D542" s="26" t="s">
        <v>4879</v>
      </c>
      <c r="E542" s="26">
        <v>1</v>
      </c>
      <c r="F542" s="26" t="s">
        <v>8945</v>
      </c>
      <c r="G542" s="26" t="s">
        <v>8770</v>
      </c>
      <c r="H542" s="26" t="s">
        <v>8601</v>
      </c>
      <c r="I542" s="26" t="s">
        <v>8602</v>
      </c>
      <c r="J542" s="26" t="s">
        <v>8603</v>
      </c>
      <c r="K542" s="26" t="s">
        <v>8604</v>
      </c>
    </row>
    <row r="543" spans="1:11" ht="20.100000000000001" customHeight="1" x14ac:dyDescent="0.25">
      <c r="A543" s="26"/>
      <c r="B543" s="26"/>
      <c r="C543" s="26"/>
      <c r="D543" s="26" t="s">
        <v>4872</v>
      </c>
      <c r="E543" s="26">
        <v>2</v>
      </c>
      <c r="F543" s="26" t="s">
        <v>8563</v>
      </c>
      <c r="G543" s="26" t="s">
        <v>7429</v>
      </c>
      <c r="H543" s="26" t="s">
        <v>7430</v>
      </c>
      <c r="I543" s="26" t="s">
        <v>7431</v>
      </c>
      <c r="J543" s="26" t="s">
        <v>7432</v>
      </c>
      <c r="K543" s="26" t="s">
        <v>8594</v>
      </c>
    </row>
    <row r="544" spans="1:11" ht="20.100000000000001" customHeight="1" x14ac:dyDescent="0.25">
      <c r="A544" s="26"/>
      <c r="B544" s="26"/>
      <c r="C544" s="26"/>
      <c r="D544" s="26"/>
      <c r="E544" s="26">
        <v>3</v>
      </c>
      <c r="F544" s="26" t="s">
        <v>8946</v>
      </c>
      <c r="G544" s="26" t="s">
        <v>8772</v>
      </c>
      <c r="H544" s="26" t="s">
        <v>8773</v>
      </c>
      <c r="I544" s="26" t="s">
        <v>8774</v>
      </c>
      <c r="J544" s="26" t="s">
        <v>8775</v>
      </c>
      <c r="K544" s="26" t="s">
        <v>8776</v>
      </c>
    </row>
    <row r="545" spans="1:11" ht="20.100000000000001" customHeight="1" x14ac:dyDescent="0.25">
      <c r="A545" s="26"/>
      <c r="B545" s="26"/>
      <c r="C545" s="26"/>
      <c r="D545" s="26"/>
      <c r="E545" s="26">
        <v>4</v>
      </c>
      <c r="F545" s="26" t="s">
        <v>8947</v>
      </c>
      <c r="G545" s="26" t="s">
        <v>8951</v>
      </c>
      <c r="H545" s="26" t="s">
        <v>8601</v>
      </c>
      <c r="I545" s="26" t="s">
        <v>8602</v>
      </c>
      <c r="J545" s="26" t="s">
        <v>8603</v>
      </c>
      <c r="K545" s="26" t="s">
        <v>8604</v>
      </c>
    </row>
    <row r="546" spans="1:11" ht="20.100000000000001" customHeight="1" x14ac:dyDescent="0.25">
      <c r="A546" s="26"/>
      <c r="B546" s="26"/>
      <c r="C546" s="26"/>
      <c r="D546" s="26"/>
      <c r="E546" s="26">
        <v>5</v>
      </c>
      <c r="F546" s="26" t="s">
        <v>8948</v>
      </c>
      <c r="G546" s="26" t="s">
        <v>8782</v>
      </c>
      <c r="H546" s="26" t="s">
        <v>8783</v>
      </c>
      <c r="I546" s="26" t="s">
        <v>8784</v>
      </c>
      <c r="J546" s="26" t="s">
        <v>8785</v>
      </c>
      <c r="K546" s="26" t="s">
        <v>8786</v>
      </c>
    </row>
    <row r="547" spans="1:11" ht="20.100000000000001" customHeight="1" x14ac:dyDescent="0.25">
      <c r="A547" s="26"/>
      <c r="B547" s="26"/>
      <c r="C547" s="26"/>
      <c r="D547" s="26"/>
      <c r="E547" s="26">
        <v>6</v>
      </c>
      <c r="F547" s="26" t="s">
        <v>8949</v>
      </c>
      <c r="G547" s="26" t="s">
        <v>8952</v>
      </c>
      <c r="H547" s="26" t="s">
        <v>8611</v>
      </c>
      <c r="I547" s="26" t="s">
        <v>8612</v>
      </c>
      <c r="J547" s="26" t="s">
        <v>8613</v>
      </c>
      <c r="K547" s="26" t="s">
        <v>8614</v>
      </c>
    </row>
    <row r="548" spans="1:11" ht="20.100000000000001" customHeight="1" x14ac:dyDescent="0.25">
      <c r="A548" s="26"/>
      <c r="B548" s="26"/>
      <c r="C548" s="26"/>
      <c r="D548" s="26"/>
      <c r="E548" s="26">
        <v>7</v>
      </c>
      <c r="F548" s="26" t="s">
        <v>8746</v>
      </c>
      <c r="G548" s="26" t="s">
        <v>8792</v>
      </c>
      <c r="H548" s="26" t="s">
        <v>8793</v>
      </c>
      <c r="I548" s="26" t="s">
        <v>8794</v>
      </c>
      <c r="J548" s="26" t="s">
        <v>8795</v>
      </c>
      <c r="K548" s="26" t="s">
        <v>8796</v>
      </c>
    </row>
    <row r="549" spans="1:11" ht="20.100000000000001" customHeight="1" x14ac:dyDescent="0.25">
      <c r="A549" s="26"/>
      <c r="B549" s="26"/>
      <c r="C549" s="26"/>
      <c r="D549" s="26"/>
      <c r="E549" s="26">
        <v>8</v>
      </c>
      <c r="F549" s="26" t="s">
        <v>8569</v>
      </c>
      <c r="G549" s="26" t="s">
        <v>8953</v>
      </c>
      <c r="H549" s="26" t="s">
        <v>8621</v>
      </c>
      <c r="I549" s="26" t="s">
        <v>8622</v>
      </c>
      <c r="J549" s="26" t="s">
        <v>8623</v>
      </c>
      <c r="K549" s="26" t="s">
        <v>8624</v>
      </c>
    </row>
    <row r="550" spans="1:11" ht="20.100000000000001" customHeight="1" x14ac:dyDescent="0.25">
      <c r="A550" s="26"/>
      <c r="B550" s="26"/>
      <c r="C550" s="26"/>
      <c r="D550" s="26"/>
      <c r="E550" s="26">
        <v>9</v>
      </c>
      <c r="F550" s="26" t="s">
        <v>8942</v>
      </c>
      <c r="G550" s="26" t="s">
        <v>8954</v>
      </c>
      <c r="H550" s="26" t="s">
        <v>8808</v>
      </c>
      <c r="I550" s="26" t="s">
        <v>8809</v>
      </c>
      <c r="J550" s="26" t="s">
        <v>8810</v>
      </c>
      <c r="K550" s="26" t="s">
        <v>8811</v>
      </c>
    </row>
    <row r="551" spans="1:11" ht="20.100000000000001" customHeight="1" x14ac:dyDescent="0.25">
      <c r="A551" s="26"/>
      <c r="B551" s="26"/>
      <c r="C551" s="26"/>
      <c r="D551" s="26"/>
      <c r="E551" s="26">
        <v>10</v>
      </c>
      <c r="F551" s="26" t="s">
        <v>8572</v>
      </c>
      <c r="G551" s="26" t="s">
        <v>8955</v>
      </c>
      <c r="H551" s="26" t="s">
        <v>8636</v>
      </c>
      <c r="I551" s="26" t="s">
        <v>8637</v>
      </c>
      <c r="J551" s="26" t="s">
        <v>8638</v>
      </c>
      <c r="K551" s="26" t="s">
        <v>8639</v>
      </c>
    </row>
    <row r="552" spans="1:11" ht="20.100000000000001" customHeight="1" x14ac:dyDescent="0.25">
      <c r="A552" s="26"/>
      <c r="B552" s="26"/>
      <c r="C552" s="26"/>
      <c r="D552" s="26"/>
      <c r="E552" s="26">
        <v>11</v>
      </c>
      <c r="F552" s="26" t="s">
        <v>8750</v>
      </c>
      <c r="G552" s="26" t="s">
        <v>8812</v>
      </c>
      <c r="H552" s="26" t="s">
        <v>8813</v>
      </c>
      <c r="I552" s="26" t="s">
        <v>8814</v>
      </c>
      <c r="J552" s="26" t="s">
        <v>8815</v>
      </c>
      <c r="K552" s="26" t="s">
        <v>8956</v>
      </c>
    </row>
    <row r="553" spans="1:11" ht="20.100000000000001" customHeight="1" x14ac:dyDescent="0.25">
      <c r="A553" s="26"/>
      <c r="B553" s="26"/>
      <c r="C553" s="26"/>
      <c r="D553" s="26"/>
      <c r="E553" s="26">
        <v>12</v>
      </c>
      <c r="F553" s="26" t="s">
        <v>8573</v>
      </c>
      <c r="G553" s="26" t="s">
        <v>8957</v>
      </c>
      <c r="H553" s="26" t="s">
        <v>8641</v>
      </c>
      <c r="I553" s="26" t="s">
        <v>8642</v>
      </c>
      <c r="J553" s="26" t="s">
        <v>8643</v>
      </c>
      <c r="K553" s="26" t="s">
        <v>8644</v>
      </c>
    </row>
    <row r="554" spans="1:11" ht="20.100000000000001" customHeight="1" x14ac:dyDescent="0.25">
      <c r="A554" s="26"/>
      <c r="B554" s="26"/>
      <c r="C554" s="26"/>
      <c r="D554" s="26"/>
      <c r="E554" s="26">
        <v>13</v>
      </c>
      <c r="F554" s="26" t="s">
        <v>8943</v>
      </c>
      <c r="G554" s="26" t="s">
        <v>8822</v>
      </c>
      <c r="H554" s="26" t="s">
        <v>7480</v>
      </c>
      <c r="I554" s="26" t="s">
        <v>7481</v>
      </c>
      <c r="J554" s="26" t="s">
        <v>7482</v>
      </c>
      <c r="K554" s="26" t="s">
        <v>7483</v>
      </c>
    </row>
    <row r="555" spans="1:11" ht="20.100000000000001" customHeight="1" x14ac:dyDescent="0.25">
      <c r="A555" s="26"/>
      <c r="B555" s="26"/>
      <c r="C555" s="26"/>
      <c r="D555" s="26"/>
      <c r="E555" s="26">
        <v>14</v>
      </c>
      <c r="F555" s="26" t="s">
        <v>8575</v>
      </c>
      <c r="G555" s="26" t="s">
        <v>8958</v>
      </c>
      <c r="H555" s="26" t="s">
        <v>8651</v>
      </c>
      <c r="I555" s="26" t="s">
        <v>8652</v>
      </c>
      <c r="J555" s="26" t="s">
        <v>8653</v>
      </c>
      <c r="K555" s="26" t="s">
        <v>8654</v>
      </c>
    </row>
    <row r="556" spans="1:11" ht="20.100000000000001" customHeight="1" x14ac:dyDescent="0.25">
      <c r="A556" s="26"/>
      <c r="B556" s="26"/>
      <c r="C556" s="26"/>
      <c r="D556" s="26"/>
      <c r="E556" s="26">
        <v>15</v>
      </c>
      <c r="F556" s="26" t="s">
        <v>8754</v>
      </c>
      <c r="G556" s="26" t="s">
        <v>8828</v>
      </c>
      <c r="H556" s="26" t="s">
        <v>8829</v>
      </c>
      <c r="I556" s="26" t="s">
        <v>8830</v>
      </c>
      <c r="J556" s="26" t="s">
        <v>8831</v>
      </c>
      <c r="K556" s="26" t="s">
        <v>8832</v>
      </c>
    </row>
    <row r="557" spans="1:11" ht="20.100000000000001" customHeight="1" x14ac:dyDescent="0.25">
      <c r="A557" s="26"/>
      <c r="B557" s="26"/>
      <c r="C557" s="26"/>
      <c r="D557" s="26"/>
      <c r="E557" s="26">
        <v>16</v>
      </c>
      <c r="F557" s="26" t="s">
        <v>8950</v>
      </c>
      <c r="G557" s="26" t="s">
        <v>8959</v>
      </c>
      <c r="H557" s="26" t="s">
        <v>8661</v>
      </c>
      <c r="I557" s="26" t="s">
        <v>8662</v>
      </c>
      <c r="J557" s="26" t="s">
        <v>8663</v>
      </c>
      <c r="K557" s="26" t="s">
        <v>8664</v>
      </c>
    </row>
    <row r="558" spans="1:11" ht="20.100000000000001" customHeight="1" x14ac:dyDescent="0.25">
      <c r="A558" s="26"/>
      <c r="B558" s="26"/>
      <c r="C558" s="26"/>
      <c r="D558" s="26"/>
      <c r="E558" s="26">
        <v>17</v>
      </c>
      <c r="F558" s="26" t="s">
        <v>8756</v>
      </c>
      <c r="G558" s="26" t="s">
        <v>8838</v>
      </c>
      <c r="H558" s="26" t="s">
        <v>8839</v>
      </c>
      <c r="I558" s="26" t="s">
        <v>8840</v>
      </c>
      <c r="J558" s="26" t="s">
        <v>8841</v>
      </c>
      <c r="K558" s="26" t="s">
        <v>8842</v>
      </c>
    </row>
    <row r="559" spans="1:11" ht="20.100000000000001" customHeight="1" x14ac:dyDescent="0.25">
      <c r="A559" s="26"/>
      <c r="B559" s="26"/>
      <c r="C559" s="26"/>
      <c r="D559" s="26"/>
      <c r="E559" s="26">
        <v>18</v>
      </c>
      <c r="F559" s="26" t="s">
        <v>8579</v>
      </c>
      <c r="G559" s="26" t="s">
        <v>8960</v>
      </c>
      <c r="H559" s="26" t="s">
        <v>8671</v>
      </c>
      <c r="I559" s="26" t="s">
        <v>8672</v>
      </c>
      <c r="J559" s="26" t="s">
        <v>8673</v>
      </c>
      <c r="K559" s="26" t="s">
        <v>8674</v>
      </c>
    </row>
    <row r="560" spans="1:11" ht="20.100000000000001" customHeight="1" x14ac:dyDescent="0.25">
      <c r="A560" s="26"/>
      <c r="B560" s="26"/>
      <c r="C560" s="26"/>
      <c r="D560" s="26"/>
      <c r="E560" s="26">
        <v>19</v>
      </c>
      <c r="F560" s="26" t="s">
        <v>8757</v>
      </c>
      <c r="G560" s="26" t="s">
        <v>8961</v>
      </c>
      <c r="H560" s="26" t="s">
        <v>8844</v>
      </c>
      <c r="I560" s="26" t="s">
        <v>8845</v>
      </c>
      <c r="J560" s="26" t="s">
        <v>8846</v>
      </c>
      <c r="K560" s="26" t="s">
        <v>8847</v>
      </c>
    </row>
    <row r="561" spans="1:11" ht="20.100000000000001" customHeight="1" x14ac:dyDescent="0.25">
      <c r="A561" s="26"/>
      <c r="B561" s="26"/>
      <c r="C561" s="26"/>
      <c r="D561" s="26"/>
      <c r="E561" s="26">
        <v>20</v>
      </c>
      <c r="F561" s="26" t="s">
        <v>8580</v>
      </c>
      <c r="G561" s="26" t="s">
        <v>8962</v>
      </c>
      <c r="H561" s="26" t="s">
        <v>8676</v>
      </c>
      <c r="I561" s="26" t="s">
        <v>8677</v>
      </c>
      <c r="J561" s="26" t="s">
        <v>8678</v>
      </c>
      <c r="K561" s="26" t="s">
        <v>8963</v>
      </c>
    </row>
    <row r="562" spans="1:11" ht="20.100000000000001" customHeight="1" x14ac:dyDescent="0.25">
      <c r="A562" s="26"/>
      <c r="B562" s="26"/>
      <c r="C562" s="26"/>
      <c r="D562" s="26"/>
      <c r="E562" s="26">
        <v>21</v>
      </c>
      <c r="F562" s="26" t="s">
        <v>8760</v>
      </c>
      <c r="G562" s="26" t="s">
        <v>8858</v>
      </c>
      <c r="H562" s="26" t="s">
        <v>8859</v>
      </c>
      <c r="I562" s="26" t="s">
        <v>8860</v>
      </c>
      <c r="J562" s="26" t="s">
        <v>8861</v>
      </c>
      <c r="K562" s="26" t="s">
        <v>8862</v>
      </c>
    </row>
    <row r="563" spans="1:11" ht="20.100000000000001" customHeight="1" x14ac:dyDescent="0.25">
      <c r="A563" s="26"/>
      <c r="B563" s="26"/>
      <c r="C563" s="26"/>
      <c r="D563" s="26"/>
      <c r="E563" s="26">
        <v>22</v>
      </c>
      <c r="F563" s="26" t="s">
        <v>8583</v>
      </c>
      <c r="G563" s="26" t="s">
        <v>8964</v>
      </c>
      <c r="H563" s="26" t="s">
        <v>8691</v>
      </c>
      <c r="I563" s="26" t="s">
        <v>8692</v>
      </c>
      <c r="J563" s="26" t="s">
        <v>8693</v>
      </c>
      <c r="K563" s="26" t="s">
        <v>8694</v>
      </c>
    </row>
    <row r="564" spans="1:11" ht="20.100000000000001" customHeight="1" x14ac:dyDescent="0.25">
      <c r="A564" s="26"/>
      <c r="B564" s="26"/>
      <c r="C564" s="26"/>
      <c r="D564" s="26"/>
      <c r="E564" s="26">
        <v>23</v>
      </c>
      <c r="F564" s="26" t="s">
        <v>8944</v>
      </c>
      <c r="G564" s="26" t="s">
        <v>8867</v>
      </c>
      <c r="H564" s="26" t="s">
        <v>8868</v>
      </c>
      <c r="I564" s="26" t="s">
        <v>8869</v>
      </c>
      <c r="J564" s="26" t="s">
        <v>8870</v>
      </c>
      <c r="K564" s="26" t="s">
        <v>8871</v>
      </c>
    </row>
    <row r="565" spans="1:11" ht="20.100000000000001" customHeight="1" x14ac:dyDescent="0.25">
      <c r="A565" s="26"/>
      <c r="B565" s="26"/>
      <c r="C565" s="26"/>
      <c r="D565" s="26"/>
      <c r="E565" s="26">
        <v>24</v>
      </c>
      <c r="F565" s="26" t="s">
        <v>8585</v>
      </c>
      <c r="G565" s="26" t="s">
        <v>8965</v>
      </c>
      <c r="H565" s="26" t="s">
        <v>8701</v>
      </c>
      <c r="I565" s="26" t="s">
        <v>8702</v>
      </c>
      <c r="J565" s="26" t="s">
        <v>8703</v>
      </c>
      <c r="K565" s="26" t="s">
        <v>8704</v>
      </c>
    </row>
    <row r="566" spans="1:11" ht="20.100000000000001" customHeight="1" x14ac:dyDescent="0.25">
      <c r="A566" s="26"/>
      <c r="B566" s="26"/>
      <c r="C566" s="26"/>
      <c r="D566" s="26"/>
      <c r="E566" s="26">
        <v>25</v>
      </c>
      <c r="F566" s="26" t="s">
        <v>8764</v>
      </c>
      <c r="G566" s="26" t="s">
        <v>8877</v>
      </c>
      <c r="H566" s="26" t="s">
        <v>8878</v>
      </c>
      <c r="I566" s="26" t="s">
        <v>8879</v>
      </c>
      <c r="J566" s="26" t="s">
        <v>8880</v>
      </c>
      <c r="K566" s="26" t="s">
        <v>8881</v>
      </c>
    </row>
    <row r="567" spans="1:11" ht="20.100000000000001" customHeight="1" x14ac:dyDescent="0.25">
      <c r="A567" s="26"/>
      <c r="B567" s="26"/>
      <c r="C567" s="26"/>
      <c r="D567" s="26"/>
      <c r="E567" s="26">
        <v>26</v>
      </c>
      <c r="F567" s="26" t="s">
        <v>8587</v>
      </c>
      <c r="G567" s="26" t="s">
        <v>8966</v>
      </c>
      <c r="H567" s="26" t="s">
        <v>8711</v>
      </c>
      <c r="I567" s="26" t="s">
        <v>8712</v>
      </c>
      <c r="J567" s="26" t="s">
        <v>8713</v>
      </c>
      <c r="K567" s="26" t="s">
        <v>8714</v>
      </c>
    </row>
    <row r="568" spans="1:11" ht="20.100000000000001" customHeight="1" x14ac:dyDescent="0.25">
      <c r="A568" s="26"/>
      <c r="B568" s="26"/>
      <c r="C568" s="26"/>
      <c r="D568" s="26"/>
      <c r="E568" s="26">
        <v>27</v>
      </c>
      <c r="F568" s="26" t="s">
        <v>8766</v>
      </c>
      <c r="G568" s="26" t="s">
        <v>8967</v>
      </c>
      <c r="H568" s="26" t="s">
        <v>8888</v>
      </c>
      <c r="I568" s="26" t="s">
        <v>8889</v>
      </c>
      <c r="J568" s="26" t="s">
        <v>8890</v>
      </c>
      <c r="K568" s="26" t="s">
        <v>8891</v>
      </c>
    </row>
    <row r="569" spans="1:11" ht="20.100000000000001" customHeight="1" x14ac:dyDescent="0.25">
      <c r="A569" s="26"/>
      <c r="B569" s="26"/>
      <c r="C569" s="26"/>
      <c r="D569" s="26"/>
      <c r="E569" s="26">
        <v>28</v>
      </c>
      <c r="F569" s="26" t="s">
        <v>8589</v>
      </c>
      <c r="G569" s="26" t="s">
        <v>8968</v>
      </c>
      <c r="H569" s="26" t="s">
        <v>8721</v>
      </c>
      <c r="I569" s="26" t="s">
        <v>8722</v>
      </c>
      <c r="J569" s="26" t="s">
        <v>8723</v>
      </c>
      <c r="K569" s="26" t="s">
        <v>8724</v>
      </c>
    </row>
    <row r="570" spans="1:11" ht="20.100000000000001" customHeight="1" x14ac:dyDescent="0.25">
      <c r="A570" s="26"/>
      <c r="B570" s="26"/>
      <c r="C570" s="26"/>
      <c r="D570" s="26"/>
      <c r="E570" s="26">
        <v>29</v>
      </c>
      <c r="F570" s="26" t="s">
        <v>8768</v>
      </c>
      <c r="G570" s="26" t="s">
        <v>8897</v>
      </c>
      <c r="H570" s="26" t="s">
        <v>8898</v>
      </c>
      <c r="I570" s="26" t="s">
        <v>8899</v>
      </c>
      <c r="J570" s="26" t="s">
        <v>8900</v>
      </c>
      <c r="K570" s="26" t="s">
        <v>8901</v>
      </c>
    </row>
    <row r="571" spans="1:11" ht="20.100000000000001" customHeight="1" x14ac:dyDescent="0.25">
      <c r="A571" s="26"/>
      <c r="B571" s="26"/>
      <c r="C571" s="26"/>
      <c r="D571" s="26"/>
      <c r="E571" s="26">
        <v>30</v>
      </c>
      <c r="F571" s="26" t="s">
        <v>8591</v>
      </c>
      <c r="G571" s="26" t="s">
        <v>8969</v>
      </c>
      <c r="H571" s="26" t="s">
        <v>8731</v>
      </c>
      <c r="I571" s="26" t="s">
        <v>8732</v>
      </c>
      <c r="J571" s="26" t="s">
        <v>8733</v>
      </c>
      <c r="K571" s="26" t="s">
        <v>8734</v>
      </c>
    </row>
    <row r="572" spans="1:11" ht="20.100000000000001" customHeight="1" x14ac:dyDescent="0.25">
      <c r="A572" s="95"/>
      <c r="B572" s="95"/>
      <c r="C572" s="95" t="s">
        <v>8102</v>
      </c>
      <c r="D572" s="95" t="s">
        <v>8103</v>
      </c>
      <c r="E572" s="95">
        <v>1</v>
      </c>
      <c r="F572" s="95" t="s">
        <v>8110</v>
      </c>
      <c r="G572" s="95" t="s">
        <v>8140</v>
      </c>
      <c r="H572" s="95" t="s">
        <v>8141</v>
      </c>
      <c r="I572" s="95" t="s">
        <v>8142</v>
      </c>
      <c r="J572" s="95" t="s">
        <v>8143</v>
      </c>
      <c r="K572" s="95" t="s">
        <v>8144</v>
      </c>
    </row>
    <row r="573" spans="1:11" ht="20.100000000000001" customHeight="1" x14ac:dyDescent="0.25">
      <c r="A573" s="95"/>
      <c r="B573" s="95"/>
      <c r="C573" s="95"/>
      <c r="D573" s="95" t="s">
        <v>8522</v>
      </c>
      <c r="E573" s="95">
        <v>2</v>
      </c>
      <c r="F573" s="95" t="s">
        <v>8111</v>
      </c>
      <c r="G573" s="95" t="s">
        <v>8145</v>
      </c>
      <c r="H573" s="95" t="s">
        <v>8146</v>
      </c>
      <c r="I573" s="95" t="s">
        <v>8147</v>
      </c>
      <c r="J573" s="95" t="s">
        <v>8148</v>
      </c>
      <c r="K573" s="95" t="s">
        <v>8149</v>
      </c>
    </row>
    <row r="574" spans="1:11" ht="20.100000000000001" customHeight="1" x14ac:dyDescent="0.25">
      <c r="A574" s="95"/>
      <c r="B574" s="95"/>
      <c r="C574" s="95"/>
      <c r="D574" s="95"/>
      <c r="E574" s="95">
        <v>3</v>
      </c>
      <c r="F574" s="95" t="s">
        <v>8112</v>
      </c>
      <c r="G574" s="95" t="s">
        <v>8150</v>
      </c>
      <c r="H574" s="95" t="s">
        <v>8151</v>
      </c>
      <c r="I574" s="95" t="s">
        <v>8152</v>
      </c>
      <c r="J574" s="95" t="s">
        <v>8153</v>
      </c>
      <c r="K574" s="95" t="s">
        <v>8154</v>
      </c>
    </row>
    <row r="575" spans="1:11" ht="20.100000000000001" customHeight="1" x14ac:dyDescent="0.25">
      <c r="A575" s="95"/>
      <c r="B575" s="95"/>
      <c r="C575" s="95"/>
      <c r="D575" s="95"/>
      <c r="E575" s="95">
        <v>4</v>
      </c>
      <c r="F575" s="95" t="s">
        <v>8113</v>
      </c>
      <c r="G575" s="95" t="s">
        <v>8155</v>
      </c>
      <c r="H575" s="95" t="s">
        <v>8156</v>
      </c>
      <c r="I575" s="95" t="s">
        <v>8157</v>
      </c>
      <c r="J575" s="95" t="s">
        <v>8158</v>
      </c>
      <c r="K575" s="95" t="s">
        <v>8159</v>
      </c>
    </row>
    <row r="576" spans="1:11" ht="20.100000000000001" customHeight="1" x14ac:dyDescent="0.25">
      <c r="A576" s="95"/>
      <c r="B576" s="95"/>
      <c r="C576" s="95"/>
      <c r="D576" s="95"/>
      <c r="E576" s="95">
        <v>5</v>
      </c>
      <c r="F576" s="95" t="s">
        <v>8114</v>
      </c>
      <c r="G576" s="95" t="s">
        <v>8160</v>
      </c>
      <c r="H576" s="95" t="s">
        <v>8161</v>
      </c>
      <c r="I576" s="95" t="s">
        <v>8162</v>
      </c>
      <c r="J576" s="95" t="s">
        <v>8163</v>
      </c>
      <c r="K576" s="95" t="s">
        <v>8164</v>
      </c>
    </row>
    <row r="577" spans="1:11" ht="20.100000000000001" customHeight="1" x14ac:dyDescent="0.25">
      <c r="A577" s="95"/>
      <c r="B577" s="95"/>
      <c r="C577" s="95"/>
      <c r="D577" s="95"/>
      <c r="E577" s="95">
        <v>6</v>
      </c>
      <c r="F577" s="95" t="s">
        <v>8115</v>
      </c>
      <c r="G577" s="95" t="s">
        <v>8165</v>
      </c>
      <c r="H577" s="95" t="s">
        <v>8166</v>
      </c>
      <c r="I577" s="95" t="s">
        <v>8167</v>
      </c>
      <c r="J577" s="95" t="s">
        <v>8168</v>
      </c>
      <c r="K577" s="95" t="s">
        <v>8169</v>
      </c>
    </row>
    <row r="578" spans="1:11" ht="20.100000000000001" customHeight="1" x14ac:dyDescent="0.25">
      <c r="A578" s="95"/>
      <c r="B578" s="95"/>
      <c r="C578" s="95"/>
      <c r="D578" s="95"/>
      <c r="E578" s="95">
        <v>7</v>
      </c>
      <c r="F578" s="95" t="s">
        <v>8116</v>
      </c>
      <c r="G578" s="95" t="s">
        <v>8170</v>
      </c>
      <c r="H578" s="95" t="s">
        <v>8171</v>
      </c>
      <c r="I578" s="95" t="s">
        <v>8172</v>
      </c>
      <c r="J578" s="95" t="s">
        <v>8173</v>
      </c>
      <c r="K578" s="95" t="s">
        <v>8174</v>
      </c>
    </row>
    <row r="579" spans="1:11" ht="20.100000000000001" customHeight="1" x14ac:dyDescent="0.25">
      <c r="A579" s="95"/>
      <c r="B579" s="95"/>
      <c r="C579" s="95"/>
      <c r="D579" s="95"/>
      <c r="E579" s="95">
        <v>8</v>
      </c>
      <c r="F579" s="95" t="s">
        <v>8117</v>
      </c>
      <c r="G579" s="95" t="s">
        <v>8175</v>
      </c>
      <c r="H579" s="95" t="s">
        <v>8176</v>
      </c>
      <c r="I579" s="95" t="s">
        <v>8177</v>
      </c>
      <c r="J579" s="95" t="s">
        <v>8178</v>
      </c>
      <c r="K579" s="95" t="s">
        <v>8179</v>
      </c>
    </row>
    <row r="580" spans="1:11" ht="20.100000000000001" customHeight="1" x14ac:dyDescent="0.25">
      <c r="A580" s="95"/>
      <c r="B580" s="95"/>
      <c r="C580" s="95"/>
      <c r="D580" s="95"/>
      <c r="E580" s="95">
        <v>9</v>
      </c>
      <c r="F580" s="95" t="s">
        <v>8118</v>
      </c>
      <c r="G580" s="95" t="s">
        <v>8180</v>
      </c>
      <c r="H580" s="95" t="s">
        <v>8181</v>
      </c>
      <c r="I580" s="95" t="s">
        <v>8182</v>
      </c>
      <c r="J580" s="95" t="s">
        <v>8183</v>
      </c>
      <c r="K580" s="95" t="s">
        <v>8184</v>
      </c>
    </row>
    <row r="581" spans="1:11" ht="20.100000000000001" customHeight="1" x14ac:dyDescent="0.25">
      <c r="A581" s="95"/>
      <c r="B581" s="95"/>
      <c r="C581" s="95"/>
      <c r="D581" s="95"/>
      <c r="E581" s="95">
        <v>10</v>
      </c>
      <c r="F581" s="95" t="s">
        <v>8119</v>
      </c>
      <c r="G581" s="95" t="s">
        <v>8185</v>
      </c>
      <c r="H581" s="95" t="s">
        <v>7490</v>
      </c>
      <c r="I581" s="95" t="s">
        <v>7491</v>
      </c>
      <c r="J581" s="95" t="s">
        <v>7492</v>
      </c>
      <c r="K581" s="95" t="s">
        <v>8186</v>
      </c>
    </row>
    <row r="582" spans="1:11" ht="20.100000000000001" customHeight="1" x14ac:dyDescent="0.25">
      <c r="A582" s="95"/>
      <c r="B582" s="95"/>
      <c r="C582" s="95"/>
      <c r="D582" s="95"/>
      <c r="E582" s="95">
        <v>11</v>
      </c>
      <c r="F582" s="95" t="s">
        <v>8120</v>
      </c>
      <c r="G582" s="95" t="s">
        <v>8187</v>
      </c>
      <c r="H582" s="95" t="s">
        <v>8188</v>
      </c>
      <c r="I582" s="95" t="s">
        <v>8189</v>
      </c>
      <c r="J582" s="95" t="s">
        <v>8190</v>
      </c>
      <c r="K582" s="95" t="s">
        <v>8191</v>
      </c>
    </row>
    <row r="583" spans="1:11" ht="20.100000000000001" customHeight="1" x14ac:dyDescent="0.25">
      <c r="A583" s="95"/>
      <c r="B583" s="95"/>
      <c r="C583" s="95"/>
      <c r="D583" s="95"/>
      <c r="E583" s="95">
        <v>12</v>
      </c>
      <c r="F583" s="95" t="s">
        <v>8121</v>
      </c>
      <c r="G583" s="95" t="s">
        <v>8192</v>
      </c>
      <c r="H583" s="95" t="s">
        <v>8193</v>
      </c>
      <c r="I583" s="95" t="s">
        <v>8194</v>
      </c>
      <c r="J583" s="95" t="s">
        <v>8195</v>
      </c>
      <c r="K583" s="95" t="s">
        <v>8196</v>
      </c>
    </row>
    <row r="584" spans="1:11" ht="20.100000000000001" customHeight="1" x14ac:dyDescent="0.25">
      <c r="A584" s="95"/>
      <c r="B584" s="95"/>
      <c r="C584" s="95"/>
      <c r="D584" s="95"/>
      <c r="E584" s="95">
        <v>13</v>
      </c>
      <c r="F584" s="95" t="s">
        <v>8122</v>
      </c>
      <c r="G584" s="95" t="s">
        <v>8197</v>
      </c>
      <c r="H584" s="95" t="s">
        <v>8198</v>
      </c>
      <c r="I584" s="95" t="s">
        <v>8199</v>
      </c>
      <c r="J584" s="95" t="s">
        <v>8200</v>
      </c>
      <c r="K584" s="95" t="s">
        <v>8201</v>
      </c>
    </row>
    <row r="585" spans="1:11" ht="20.100000000000001" customHeight="1" x14ac:dyDescent="0.25">
      <c r="A585" s="95"/>
      <c r="B585" s="95"/>
      <c r="C585" s="95"/>
      <c r="D585" s="95"/>
      <c r="E585" s="95">
        <v>14</v>
      </c>
      <c r="F585" s="95" t="s">
        <v>8123</v>
      </c>
      <c r="G585" s="95" t="s">
        <v>8202</v>
      </c>
      <c r="H585" s="95" t="s">
        <v>8203</v>
      </c>
      <c r="I585" s="95" t="s">
        <v>8204</v>
      </c>
      <c r="J585" s="95" t="s">
        <v>8205</v>
      </c>
      <c r="K585" s="95" t="s">
        <v>8206</v>
      </c>
    </row>
    <row r="586" spans="1:11" ht="20.100000000000001" customHeight="1" x14ac:dyDescent="0.25">
      <c r="A586" s="95"/>
      <c r="B586" s="95"/>
      <c r="C586" s="95"/>
      <c r="D586" s="95"/>
      <c r="E586" s="95">
        <v>15</v>
      </c>
      <c r="F586" s="95" t="s">
        <v>8124</v>
      </c>
      <c r="G586" s="95" t="s">
        <v>8207</v>
      </c>
      <c r="H586" s="95" t="s">
        <v>8208</v>
      </c>
      <c r="I586" s="95" t="s">
        <v>8209</v>
      </c>
      <c r="J586" s="95" t="s">
        <v>8210</v>
      </c>
      <c r="K586" s="95" t="s">
        <v>8211</v>
      </c>
    </row>
    <row r="587" spans="1:11" ht="20.100000000000001" customHeight="1" x14ac:dyDescent="0.25">
      <c r="A587" s="95"/>
      <c r="B587" s="95"/>
      <c r="C587" s="95"/>
      <c r="D587" s="95"/>
      <c r="E587" s="95">
        <v>16</v>
      </c>
      <c r="F587" s="95" t="s">
        <v>8125</v>
      </c>
      <c r="G587" s="95" t="s">
        <v>8212</v>
      </c>
      <c r="H587" s="95" t="s">
        <v>8213</v>
      </c>
      <c r="I587" s="95" t="s">
        <v>8214</v>
      </c>
      <c r="J587" s="95" t="s">
        <v>8215</v>
      </c>
      <c r="K587" s="95" t="s">
        <v>8216</v>
      </c>
    </row>
    <row r="588" spans="1:11" ht="20.100000000000001" customHeight="1" x14ac:dyDescent="0.25">
      <c r="A588" s="95"/>
      <c r="B588" s="95"/>
      <c r="C588" s="95"/>
      <c r="D588" s="95"/>
      <c r="E588" s="95">
        <v>17</v>
      </c>
      <c r="F588" s="95" t="s">
        <v>8126</v>
      </c>
      <c r="G588" s="95" t="s">
        <v>8217</v>
      </c>
      <c r="H588" s="95" t="s">
        <v>8218</v>
      </c>
      <c r="I588" s="95" t="s">
        <v>8219</v>
      </c>
      <c r="J588" s="95" t="s">
        <v>8220</v>
      </c>
      <c r="K588" s="95" t="s">
        <v>8221</v>
      </c>
    </row>
    <row r="589" spans="1:11" ht="20.100000000000001" customHeight="1" x14ac:dyDescent="0.25">
      <c r="A589" s="95"/>
      <c r="B589" s="95"/>
      <c r="C589" s="95"/>
      <c r="D589" s="95"/>
      <c r="E589" s="95">
        <v>18</v>
      </c>
      <c r="F589" s="95" t="s">
        <v>8127</v>
      </c>
      <c r="G589" s="95" t="s">
        <v>8222</v>
      </c>
      <c r="H589" s="95" t="s">
        <v>8223</v>
      </c>
      <c r="I589" s="95" t="s">
        <v>8224</v>
      </c>
      <c r="J589" s="95" t="s">
        <v>8225</v>
      </c>
      <c r="K589" s="95" t="s">
        <v>8226</v>
      </c>
    </row>
    <row r="590" spans="1:11" ht="20.100000000000001" customHeight="1" x14ac:dyDescent="0.25">
      <c r="A590" s="95"/>
      <c r="B590" s="95"/>
      <c r="C590" s="95"/>
      <c r="D590" s="95"/>
      <c r="E590" s="95">
        <v>19</v>
      </c>
      <c r="F590" s="95" t="s">
        <v>8128</v>
      </c>
      <c r="G590" s="95" t="s">
        <v>8227</v>
      </c>
      <c r="H590" s="95" t="s">
        <v>8228</v>
      </c>
      <c r="I590" s="95" t="s">
        <v>8229</v>
      </c>
      <c r="J590" s="95" t="s">
        <v>8230</v>
      </c>
      <c r="K590" s="95" t="s">
        <v>8231</v>
      </c>
    </row>
    <row r="591" spans="1:11" ht="20.100000000000001" customHeight="1" x14ac:dyDescent="0.25">
      <c r="A591" s="95"/>
      <c r="B591" s="95"/>
      <c r="C591" s="95"/>
      <c r="D591" s="95"/>
      <c r="E591" s="95">
        <v>20</v>
      </c>
      <c r="F591" s="95" t="s">
        <v>8129</v>
      </c>
      <c r="G591" s="95" t="s">
        <v>8232</v>
      </c>
      <c r="H591" s="95" t="s">
        <v>8233</v>
      </c>
      <c r="I591" s="95" t="s">
        <v>8234</v>
      </c>
      <c r="J591" s="95" t="s">
        <v>8235</v>
      </c>
      <c r="K591" s="95" t="s">
        <v>8236</v>
      </c>
    </row>
    <row r="592" spans="1:11" ht="20.100000000000001" customHeight="1" x14ac:dyDescent="0.25">
      <c r="A592" s="95"/>
      <c r="B592" s="95"/>
      <c r="C592" s="95"/>
      <c r="D592" s="95"/>
      <c r="E592" s="95">
        <v>21</v>
      </c>
      <c r="F592" s="95" t="s">
        <v>8130</v>
      </c>
      <c r="G592" s="95" t="s">
        <v>8237</v>
      </c>
      <c r="H592" s="95" t="s">
        <v>8238</v>
      </c>
      <c r="I592" s="95" t="s">
        <v>8239</v>
      </c>
      <c r="J592" s="95" t="s">
        <v>8240</v>
      </c>
      <c r="K592" s="95" t="s">
        <v>8241</v>
      </c>
    </row>
    <row r="593" spans="1:11" ht="20.100000000000001" customHeight="1" x14ac:dyDescent="0.25">
      <c r="A593" s="95"/>
      <c r="B593" s="95"/>
      <c r="C593" s="95"/>
      <c r="D593" s="95"/>
      <c r="E593" s="95">
        <v>22</v>
      </c>
      <c r="F593" s="95" t="s">
        <v>8131</v>
      </c>
      <c r="G593" s="95" t="s">
        <v>7524</v>
      </c>
      <c r="H593" s="95" t="s">
        <v>8242</v>
      </c>
      <c r="I593" s="95" t="s">
        <v>8243</v>
      </c>
      <c r="J593" s="95" t="s">
        <v>8244</v>
      </c>
      <c r="K593" s="95" t="s">
        <v>8245</v>
      </c>
    </row>
    <row r="594" spans="1:11" ht="20.100000000000001" customHeight="1" x14ac:dyDescent="0.25">
      <c r="A594" s="95"/>
      <c r="B594" s="95"/>
      <c r="C594" s="95"/>
      <c r="D594" s="95"/>
      <c r="E594" s="95">
        <v>23</v>
      </c>
      <c r="F594" s="95" t="s">
        <v>8132</v>
      </c>
      <c r="G594" s="95" t="s">
        <v>8246</v>
      </c>
      <c r="H594" s="95" t="s">
        <v>8247</v>
      </c>
      <c r="I594" s="95" t="s">
        <v>8248</v>
      </c>
      <c r="J594" s="95" t="s">
        <v>8249</v>
      </c>
      <c r="K594" s="95" t="s">
        <v>8250</v>
      </c>
    </row>
    <row r="595" spans="1:11" ht="20.100000000000001" customHeight="1" x14ac:dyDescent="0.25">
      <c r="A595" s="95"/>
      <c r="B595" s="95"/>
      <c r="C595" s="95"/>
      <c r="D595" s="95"/>
      <c r="E595" s="95">
        <v>24</v>
      </c>
      <c r="F595" s="95" t="s">
        <v>8133</v>
      </c>
      <c r="G595" s="95" t="s">
        <v>8251</v>
      </c>
      <c r="H595" s="95" t="s">
        <v>8252</v>
      </c>
      <c r="I595" s="95" t="s">
        <v>8253</v>
      </c>
      <c r="J595" s="95" t="s">
        <v>8254</v>
      </c>
      <c r="K595" s="95" t="s">
        <v>8255</v>
      </c>
    </row>
    <row r="596" spans="1:11" ht="20.100000000000001" customHeight="1" x14ac:dyDescent="0.25">
      <c r="A596" s="95"/>
      <c r="B596" s="95"/>
      <c r="C596" s="95"/>
      <c r="D596" s="95"/>
      <c r="E596" s="95">
        <v>25</v>
      </c>
      <c r="F596" s="95" t="s">
        <v>8134</v>
      </c>
      <c r="G596" s="95" t="s">
        <v>8256</v>
      </c>
      <c r="H596" s="95" t="s">
        <v>8257</v>
      </c>
      <c r="I596" s="95" t="s">
        <v>8258</v>
      </c>
      <c r="J596" s="95" t="s">
        <v>8259</v>
      </c>
      <c r="K596" s="95" t="s">
        <v>8260</v>
      </c>
    </row>
    <row r="597" spans="1:11" ht="20.100000000000001" customHeight="1" x14ac:dyDescent="0.25">
      <c r="A597" s="95"/>
      <c r="B597" s="95"/>
      <c r="C597" s="95"/>
      <c r="D597" s="95"/>
      <c r="E597" s="95">
        <v>26</v>
      </c>
      <c r="F597" s="95" t="s">
        <v>8135</v>
      </c>
      <c r="G597" s="95" t="s">
        <v>8261</v>
      </c>
      <c r="H597" s="95" t="s">
        <v>8262</v>
      </c>
      <c r="I597" s="95" t="s">
        <v>8263</v>
      </c>
      <c r="J597" s="95" t="s">
        <v>8264</v>
      </c>
      <c r="K597" s="95" t="s">
        <v>8265</v>
      </c>
    </row>
    <row r="598" spans="1:11" ht="20.100000000000001" customHeight="1" x14ac:dyDescent="0.25">
      <c r="A598" s="95"/>
      <c r="B598" s="95"/>
      <c r="C598" s="95"/>
      <c r="D598" s="95"/>
      <c r="E598" s="95">
        <v>27</v>
      </c>
      <c r="F598" s="95" t="s">
        <v>8136</v>
      </c>
      <c r="G598" s="95" t="s">
        <v>8266</v>
      </c>
      <c r="H598" s="95" t="s">
        <v>8267</v>
      </c>
      <c r="I598" s="95" t="s">
        <v>8268</v>
      </c>
      <c r="J598" s="95" t="s">
        <v>8269</v>
      </c>
      <c r="K598" s="95" t="s">
        <v>8270</v>
      </c>
    </row>
    <row r="599" spans="1:11" ht="20.100000000000001" customHeight="1" x14ac:dyDescent="0.25">
      <c r="A599" s="95"/>
      <c r="B599" s="95"/>
      <c r="C599" s="95"/>
      <c r="D599" s="95"/>
      <c r="E599" s="95">
        <v>28</v>
      </c>
      <c r="F599" s="95" t="s">
        <v>8137</v>
      </c>
      <c r="G599" s="95" t="s">
        <v>8271</v>
      </c>
      <c r="H599" s="95" t="s">
        <v>8272</v>
      </c>
      <c r="I599" s="95" t="s">
        <v>8273</v>
      </c>
      <c r="J599" s="95" t="s">
        <v>8274</v>
      </c>
      <c r="K599" s="95" t="s">
        <v>8275</v>
      </c>
    </row>
    <row r="600" spans="1:11" ht="20.100000000000001" customHeight="1" x14ac:dyDescent="0.25">
      <c r="A600" s="95"/>
      <c r="B600" s="95"/>
      <c r="C600" s="95"/>
      <c r="D600" s="95"/>
      <c r="E600" s="95">
        <v>29</v>
      </c>
      <c r="F600" s="95" t="s">
        <v>8138</v>
      </c>
      <c r="G600" s="95" t="s">
        <v>8276</v>
      </c>
      <c r="H600" s="95" t="s">
        <v>8277</v>
      </c>
      <c r="I600" s="95" t="s">
        <v>8278</v>
      </c>
      <c r="J600" s="95" t="s">
        <v>8279</v>
      </c>
      <c r="K600" s="95" t="s">
        <v>8280</v>
      </c>
    </row>
    <row r="601" spans="1:11" ht="20.100000000000001" customHeight="1" x14ac:dyDescent="0.25">
      <c r="A601" s="95"/>
      <c r="B601" s="95"/>
      <c r="C601" s="95"/>
      <c r="D601" s="95"/>
      <c r="E601" s="95">
        <v>30</v>
      </c>
      <c r="F601" s="95" t="s">
        <v>8139</v>
      </c>
      <c r="G601" s="95" t="s">
        <v>8281</v>
      </c>
      <c r="H601" s="95" t="s">
        <v>8282</v>
      </c>
      <c r="I601" s="95" t="s">
        <v>8283</v>
      </c>
      <c r="J601" s="95" t="s">
        <v>8284</v>
      </c>
      <c r="K601" s="95" t="s">
        <v>8285</v>
      </c>
    </row>
    <row r="602" spans="1:11" ht="20.100000000000001" customHeight="1" x14ac:dyDescent="0.25">
      <c r="A602" s="96"/>
      <c r="B602" s="96"/>
      <c r="C602" s="96" t="s">
        <v>8108</v>
      </c>
      <c r="D602" s="96" t="s">
        <v>8109</v>
      </c>
      <c r="E602" s="96">
        <v>1</v>
      </c>
      <c r="F602" s="96" t="s">
        <v>8286</v>
      </c>
      <c r="G602" s="96" t="s">
        <v>8316</v>
      </c>
      <c r="H602" s="96" t="s">
        <v>8317</v>
      </c>
      <c r="I602" s="96" t="s">
        <v>8318</v>
      </c>
      <c r="J602" s="96" t="s">
        <v>8319</v>
      </c>
      <c r="K602" s="96" t="s">
        <v>8320</v>
      </c>
    </row>
    <row r="603" spans="1:11" ht="20.100000000000001" customHeight="1" x14ac:dyDescent="0.25">
      <c r="A603" s="96"/>
      <c r="B603" s="96"/>
      <c r="C603" s="96"/>
      <c r="D603" s="96" t="s">
        <v>8522</v>
      </c>
      <c r="E603" s="96">
        <v>2</v>
      </c>
      <c r="F603" s="96" t="s">
        <v>8287</v>
      </c>
      <c r="G603" s="96" t="s">
        <v>8321</v>
      </c>
      <c r="H603" s="96" t="s">
        <v>8322</v>
      </c>
      <c r="I603" s="96" t="s">
        <v>8323</v>
      </c>
      <c r="J603" s="96" t="s">
        <v>8324</v>
      </c>
      <c r="K603" s="96" t="s">
        <v>8325</v>
      </c>
    </row>
    <row r="604" spans="1:11" ht="20.100000000000001" customHeight="1" x14ac:dyDescent="0.25">
      <c r="A604" s="96"/>
      <c r="B604" s="96"/>
      <c r="C604" s="96"/>
      <c r="D604" s="96"/>
      <c r="E604" s="96">
        <v>3</v>
      </c>
      <c r="F604" s="96" t="s">
        <v>8288</v>
      </c>
      <c r="G604" s="96" t="s">
        <v>8326</v>
      </c>
      <c r="H604" s="96" t="s">
        <v>8327</v>
      </c>
      <c r="I604" s="96" t="s">
        <v>8328</v>
      </c>
      <c r="J604" s="96" t="s">
        <v>8329</v>
      </c>
      <c r="K604" s="96" t="s">
        <v>8330</v>
      </c>
    </row>
    <row r="605" spans="1:11" ht="20.100000000000001" customHeight="1" x14ac:dyDescent="0.25">
      <c r="A605" s="96"/>
      <c r="B605" s="96"/>
      <c r="C605" s="96"/>
      <c r="D605" s="96"/>
      <c r="E605" s="96">
        <v>4</v>
      </c>
      <c r="F605" s="96" t="s">
        <v>8289</v>
      </c>
      <c r="G605" s="96" t="s">
        <v>8331</v>
      </c>
      <c r="H605" s="96" t="s">
        <v>8332</v>
      </c>
      <c r="I605" s="96" t="s">
        <v>8333</v>
      </c>
      <c r="J605" s="96" t="s">
        <v>8334</v>
      </c>
      <c r="K605" s="96" t="s">
        <v>8335</v>
      </c>
    </row>
    <row r="606" spans="1:11" ht="20.100000000000001" customHeight="1" x14ac:dyDescent="0.25">
      <c r="A606" s="96"/>
      <c r="B606" s="96"/>
      <c r="C606" s="96"/>
      <c r="D606" s="96"/>
      <c r="E606" s="96">
        <v>5</v>
      </c>
      <c r="F606" s="96" t="s">
        <v>8290</v>
      </c>
      <c r="G606" s="96" t="s">
        <v>8336</v>
      </c>
      <c r="H606" s="96" t="s">
        <v>8337</v>
      </c>
      <c r="I606" s="96" t="s">
        <v>8338</v>
      </c>
      <c r="J606" s="96" t="s">
        <v>8339</v>
      </c>
      <c r="K606" s="96" t="s">
        <v>8340</v>
      </c>
    </row>
    <row r="607" spans="1:11" ht="20.100000000000001" customHeight="1" x14ac:dyDescent="0.25">
      <c r="A607" s="96"/>
      <c r="B607" s="96"/>
      <c r="C607" s="96"/>
      <c r="D607" s="96"/>
      <c r="E607" s="96">
        <v>6</v>
      </c>
      <c r="F607" s="96" t="s">
        <v>8291</v>
      </c>
      <c r="G607" s="96" t="s">
        <v>8341</v>
      </c>
      <c r="H607" s="96" t="s">
        <v>8342</v>
      </c>
      <c r="I607" s="96" t="s">
        <v>8343</v>
      </c>
      <c r="J607" s="96" t="s">
        <v>8344</v>
      </c>
      <c r="K607" s="96" t="s">
        <v>8345</v>
      </c>
    </row>
    <row r="608" spans="1:11" ht="20.100000000000001" customHeight="1" x14ac:dyDescent="0.25">
      <c r="A608" s="96"/>
      <c r="B608" s="96"/>
      <c r="C608" s="96"/>
      <c r="D608" s="96"/>
      <c r="E608" s="96">
        <v>7</v>
      </c>
      <c r="F608" s="96" t="s">
        <v>8292</v>
      </c>
      <c r="G608" s="96" t="s">
        <v>8346</v>
      </c>
      <c r="H608" s="96" t="s">
        <v>8347</v>
      </c>
      <c r="I608" s="96" t="s">
        <v>8348</v>
      </c>
      <c r="J608" s="96" t="s">
        <v>8349</v>
      </c>
      <c r="K608" s="96" t="s">
        <v>8350</v>
      </c>
    </row>
    <row r="609" spans="1:11" ht="20.100000000000001" customHeight="1" x14ac:dyDescent="0.25">
      <c r="A609" s="96"/>
      <c r="B609" s="96"/>
      <c r="C609" s="96"/>
      <c r="D609" s="96"/>
      <c r="E609" s="96">
        <v>8</v>
      </c>
      <c r="F609" s="96" t="s">
        <v>8293</v>
      </c>
      <c r="G609" s="96" t="s">
        <v>8351</v>
      </c>
      <c r="H609" s="96" t="s">
        <v>8352</v>
      </c>
      <c r="I609" s="96" t="s">
        <v>8353</v>
      </c>
      <c r="J609" s="96" t="s">
        <v>8354</v>
      </c>
      <c r="K609" s="96" t="s">
        <v>8355</v>
      </c>
    </row>
    <row r="610" spans="1:11" ht="20.100000000000001" customHeight="1" x14ac:dyDescent="0.25">
      <c r="A610" s="96"/>
      <c r="B610" s="96"/>
      <c r="C610" s="96"/>
      <c r="D610" s="96"/>
      <c r="E610" s="96">
        <v>9</v>
      </c>
      <c r="F610" s="96" t="s">
        <v>8294</v>
      </c>
      <c r="G610" s="96" t="s">
        <v>8356</v>
      </c>
      <c r="H610" s="96" t="s">
        <v>8357</v>
      </c>
      <c r="I610" s="96" t="s">
        <v>8358</v>
      </c>
      <c r="J610" s="96" t="s">
        <v>8359</v>
      </c>
      <c r="K610" s="96" t="s">
        <v>8360</v>
      </c>
    </row>
    <row r="611" spans="1:11" ht="20.100000000000001" customHeight="1" x14ac:dyDescent="0.25">
      <c r="A611" s="96"/>
      <c r="B611" s="96"/>
      <c r="C611" s="96"/>
      <c r="D611" s="96"/>
      <c r="E611" s="96">
        <v>10</v>
      </c>
      <c r="F611" s="96" t="s">
        <v>8295</v>
      </c>
      <c r="G611" s="96" t="s">
        <v>8361</v>
      </c>
      <c r="H611" s="96" t="s">
        <v>8362</v>
      </c>
      <c r="I611" s="96" t="s">
        <v>8363</v>
      </c>
      <c r="J611" s="96" t="s">
        <v>8364</v>
      </c>
      <c r="K611" s="96" t="s">
        <v>8365</v>
      </c>
    </row>
    <row r="612" spans="1:11" ht="20.100000000000001" customHeight="1" x14ac:dyDescent="0.25">
      <c r="A612" s="96"/>
      <c r="B612" s="96"/>
      <c r="C612" s="96"/>
      <c r="D612" s="96"/>
      <c r="E612" s="96">
        <v>11</v>
      </c>
      <c r="F612" s="96" t="s">
        <v>8296</v>
      </c>
      <c r="G612" s="96" t="s">
        <v>8366</v>
      </c>
      <c r="H612" s="96" t="s">
        <v>8367</v>
      </c>
      <c r="I612" s="96" t="s">
        <v>8368</v>
      </c>
      <c r="J612" s="96" t="s">
        <v>8369</v>
      </c>
      <c r="K612" s="96" t="s">
        <v>8370</v>
      </c>
    </row>
    <row r="613" spans="1:11" ht="20.100000000000001" customHeight="1" x14ac:dyDescent="0.25">
      <c r="A613" s="96"/>
      <c r="B613" s="96"/>
      <c r="C613" s="96"/>
      <c r="D613" s="96"/>
      <c r="E613" s="96">
        <v>12</v>
      </c>
      <c r="F613" s="96" t="s">
        <v>8297</v>
      </c>
      <c r="G613" s="96" t="s">
        <v>8371</v>
      </c>
      <c r="H613" s="96" t="s">
        <v>8372</v>
      </c>
      <c r="I613" s="96" t="s">
        <v>8373</v>
      </c>
      <c r="J613" s="96" t="s">
        <v>8374</v>
      </c>
      <c r="K613" s="96" t="s">
        <v>8375</v>
      </c>
    </row>
    <row r="614" spans="1:11" ht="20.100000000000001" customHeight="1" x14ac:dyDescent="0.25">
      <c r="A614" s="96"/>
      <c r="B614" s="96"/>
      <c r="C614" s="96"/>
      <c r="D614" s="96"/>
      <c r="E614" s="96">
        <v>13</v>
      </c>
      <c r="F614" s="96" t="s">
        <v>8298</v>
      </c>
      <c r="G614" s="96" t="s">
        <v>8376</v>
      </c>
      <c r="H614" s="96" t="s">
        <v>8377</v>
      </c>
      <c r="I614" s="96" t="s">
        <v>8378</v>
      </c>
      <c r="J614" s="96" t="s">
        <v>8379</v>
      </c>
      <c r="K614" s="96" t="s">
        <v>8380</v>
      </c>
    </row>
    <row r="615" spans="1:11" ht="20.100000000000001" customHeight="1" x14ac:dyDescent="0.25">
      <c r="A615" s="96"/>
      <c r="B615" s="96"/>
      <c r="C615" s="96"/>
      <c r="D615" s="96"/>
      <c r="E615" s="96">
        <v>14</v>
      </c>
      <c r="F615" s="96" t="s">
        <v>8299</v>
      </c>
      <c r="G615" s="96" t="s">
        <v>8381</v>
      </c>
      <c r="H615" s="96" t="s">
        <v>8382</v>
      </c>
      <c r="I615" s="96" t="s">
        <v>8383</v>
      </c>
      <c r="J615" s="96" t="s">
        <v>8384</v>
      </c>
      <c r="K615" s="96" t="s">
        <v>8385</v>
      </c>
    </row>
    <row r="616" spans="1:11" ht="20.100000000000001" customHeight="1" x14ac:dyDescent="0.25">
      <c r="A616" s="96"/>
      <c r="B616" s="96"/>
      <c r="C616" s="96"/>
      <c r="D616" s="96"/>
      <c r="E616" s="96">
        <v>15</v>
      </c>
      <c r="F616" s="96" t="s">
        <v>8300</v>
      </c>
      <c r="G616" s="96" t="s">
        <v>8386</v>
      </c>
      <c r="H616" s="96" t="s">
        <v>8387</v>
      </c>
      <c r="I616" s="96" t="s">
        <v>8388</v>
      </c>
      <c r="J616" s="96" t="s">
        <v>8389</v>
      </c>
      <c r="K616" s="96" t="s">
        <v>8390</v>
      </c>
    </row>
    <row r="617" spans="1:11" ht="20.100000000000001" customHeight="1" x14ac:dyDescent="0.25">
      <c r="A617" s="96"/>
      <c r="B617" s="96"/>
      <c r="C617" s="96"/>
      <c r="D617" s="96"/>
      <c r="E617" s="96">
        <v>16</v>
      </c>
      <c r="F617" s="96" t="s">
        <v>8301</v>
      </c>
      <c r="G617" s="96" t="s">
        <v>8391</v>
      </c>
      <c r="H617" s="96" t="s">
        <v>8392</v>
      </c>
      <c r="I617" s="96" t="s">
        <v>8393</v>
      </c>
      <c r="J617" s="96" t="s">
        <v>8394</v>
      </c>
      <c r="K617" s="96" t="s">
        <v>8395</v>
      </c>
    </row>
    <row r="618" spans="1:11" ht="20.100000000000001" customHeight="1" x14ac:dyDescent="0.25">
      <c r="A618" s="96"/>
      <c r="B618" s="96"/>
      <c r="C618" s="96"/>
      <c r="D618" s="96"/>
      <c r="E618" s="96">
        <v>17</v>
      </c>
      <c r="F618" s="96" t="s">
        <v>8302</v>
      </c>
      <c r="G618" s="96" t="s">
        <v>8396</v>
      </c>
      <c r="H618" s="96" t="s">
        <v>8397</v>
      </c>
      <c r="I618" s="96" t="s">
        <v>8398</v>
      </c>
      <c r="J618" s="96" t="s">
        <v>8399</v>
      </c>
      <c r="K618" s="96" t="s">
        <v>8400</v>
      </c>
    </row>
    <row r="619" spans="1:11" ht="20.100000000000001" customHeight="1" x14ac:dyDescent="0.25">
      <c r="A619" s="96"/>
      <c r="B619" s="96"/>
      <c r="C619" s="96"/>
      <c r="D619" s="96"/>
      <c r="E619" s="96">
        <v>18</v>
      </c>
      <c r="F619" s="96" t="s">
        <v>8303</v>
      </c>
      <c r="G619" s="96" t="s">
        <v>8401</v>
      </c>
      <c r="H619" s="96" t="s">
        <v>8402</v>
      </c>
      <c r="I619" s="96" t="s">
        <v>8403</v>
      </c>
      <c r="J619" s="96" t="s">
        <v>8404</v>
      </c>
      <c r="K619" s="96" t="s">
        <v>8405</v>
      </c>
    </row>
    <row r="620" spans="1:11" ht="20.100000000000001" customHeight="1" x14ac:dyDescent="0.25">
      <c r="A620" s="96"/>
      <c r="B620" s="96"/>
      <c r="C620" s="96"/>
      <c r="D620" s="96"/>
      <c r="E620" s="96">
        <v>19</v>
      </c>
      <c r="F620" s="96" t="s">
        <v>8304</v>
      </c>
      <c r="G620" s="96" t="s">
        <v>8406</v>
      </c>
      <c r="H620" s="96" t="s">
        <v>8407</v>
      </c>
      <c r="I620" s="96" t="s">
        <v>8408</v>
      </c>
      <c r="J620" s="96" t="s">
        <v>8409</v>
      </c>
      <c r="K620" s="96" t="s">
        <v>8410</v>
      </c>
    </row>
    <row r="621" spans="1:11" ht="20.100000000000001" customHeight="1" x14ac:dyDescent="0.25">
      <c r="A621" s="96"/>
      <c r="B621" s="96"/>
      <c r="C621" s="96"/>
      <c r="D621" s="96"/>
      <c r="E621" s="96">
        <v>20</v>
      </c>
      <c r="F621" s="96" t="s">
        <v>8305</v>
      </c>
      <c r="G621" s="96" t="s">
        <v>8411</v>
      </c>
      <c r="H621" s="96" t="s">
        <v>8412</v>
      </c>
      <c r="I621" s="96" t="s">
        <v>8413</v>
      </c>
      <c r="J621" s="96" t="s">
        <v>8414</v>
      </c>
      <c r="K621" s="96" t="s">
        <v>8415</v>
      </c>
    </row>
    <row r="622" spans="1:11" ht="20.100000000000001" customHeight="1" x14ac:dyDescent="0.25">
      <c r="A622" s="96"/>
      <c r="B622" s="96"/>
      <c r="C622" s="96"/>
      <c r="D622" s="96"/>
      <c r="E622" s="96">
        <v>21</v>
      </c>
      <c r="F622" s="96" t="s">
        <v>8306</v>
      </c>
      <c r="G622" s="96" t="s">
        <v>8416</v>
      </c>
      <c r="H622" s="96" t="s">
        <v>8417</v>
      </c>
      <c r="I622" s="96" t="s">
        <v>8418</v>
      </c>
      <c r="J622" s="96" t="s">
        <v>8419</v>
      </c>
      <c r="K622" s="96" t="s">
        <v>8420</v>
      </c>
    </row>
    <row r="623" spans="1:11" ht="20.100000000000001" customHeight="1" x14ac:dyDescent="0.25">
      <c r="A623" s="96"/>
      <c r="B623" s="96"/>
      <c r="C623" s="96"/>
      <c r="D623" s="96"/>
      <c r="E623" s="96">
        <v>22</v>
      </c>
      <c r="F623" s="96" t="s">
        <v>8307</v>
      </c>
      <c r="G623" s="96" t="s">
        <v>8421</v>
      </c>
      <c r="H623" s="96" t="s">
        <v>8422</v>
      </c>
      <c r="I623" s="96" t="s">
        <v>8423</v>
      </c>
      <c r="J623" s="96" t="s">
        <v>8424</v>
      </c>
      <c r="K623" s="96" t="s">
        <v>8425</v>
      </c>
    </row>
    <row r="624" spans="1:11" ht="20.100000000000001" customHeight="1" x14ac:dyDescent="0.25">
      <c r="A624" s="96"/>
      <c r="B624" s="96"/>
      <c r="C624" s="96"/>
      <c r="D624" s="96"/>
      <c r="E624" s="96">
        <v>23</v>
      </c>
      <c r="F624" s="96" t="s">
        <v>8308</v>
      </c>
      <c r="G624" s="96" t="s">
        <v>8426</v>
      </c>
      <c r="H624" s="96" t="s">
        <v>8427</v>
      </c>
      <c r="I624" s="96" t="s">
        <v>8428</v>
      </c>
      <c r="J624" s="96" t="s">
        <v>8429</v>
      </c>
      <c r="K624" s="96" t="s">
        <v>8430</v>
      </c>
    </row>
    <row r="625" spans="1:11" ht="20.100000000000001" customHeight="1" x14ac:dyDescent="0.25">
      <c r="A625" s="96"/>
      <c r="B625" s="96"/>
      <c r="C625" s="96"/>
      <c r="D625" s="96"/>
      <c r="E625" s="96">
        <v>24</v>
      </c>
      <c r="F625" s="96" t="s">
        <v>8309</v>
      </c>
      <c r="G625" s="96" t="s">
        <v>8431</v>
      </c>
      <c r="H625" s="96" t="s">
        <v>8432</v>
      </c>
      <c r="I625" s="96" t="s">
        <v>8433</v>
      </c>
      <c r="J625" s="96" t="s">
        <v>8434</v>
      </c>
      <c r="K625" s="96" t="s">
        <v>8435</v>
      </c>
    </row>
    <row r="626" spans="1:11" ht="20.100000000000001" customHeight="1" x14ac:dyDescent="0.25">
      <c r="A626" s="96"/>
      <c r="B626" s="96"/>
      <c r="C626" s="96"/>
      <c r="D626" s="96"/>
      <c r="E626" s="96">
        <v>25</v>
      </c>
      <c r="F626" s="96" t="s">
        <v>8310</v>
      </c>
      <c r="G626" s="96" t="s">
        <v>8436</v>
      </c>
      <c r="H626" s="96" t="s">
        <v>8437</v>
      </c>
      <c r="I626" s="96" t="s">
        <v>8438</v>
      </c>
      <c r="J626" s="96" t="s">
        <v>8439</v>
      </c>
      <c r="K626" s="96" t="s">
        <v>8440</v>
      </c>
    </row>
    <row r="627" spans="1:11" ht="20.100000000000001" customHeight="1" x14ac:dyDescent="0.25">
      <c r="A627" s="96"/>
      <c r="B627" s="96"/>
      <c r="C627" s="96"/>
      <c r="D627" s="96"/>
      <c r="E627" s="96">
        <v>26</v>
      </c>
      <c r="F627" s="96" t="s">
        <v>8311</v>
      </c>
      <c r="G627" s="96" t="s">
        <v>8441</v>
      </c>
      <c r="H627" s="96" t="s">
        <v>8442</v>
      </c>
      <c r="I627" s="96" t="s">
        <v>8443</v>
      </c>
      <c r="J627" s="96" t="s">
        <v>8444</v>
      </c>
      <c r="K627" s="96" t="s">
        <v>8445</v>
      </c>
    </row>
    <row r="628" spans="1:11" ht="20.100000000000001" customHeight="1" x14ac:dyDescent="0.25">
      <c r="A628" s="96"/>
      <c r="B628" s="96"/>
      <c r="C628" s="96"/>
      <c r="D628" s="96"/>
      <c r="E628" s="96">
        <v>27</v>
      </c>
      <c r="F628" s="96" t="s">
        <v>8312</v>
      </c>
      <c r="G628" s="96" t="s">
        <v>8446</v>
      </c>
      <c r="H628" s="96" t="s">
        <v>8447</v>
      </c>
      <c r="I628" s="96" t="s">
        <v>8448</v>
      </c>
      <c r="J628" s="96" t="s">
        <v>8449</v>
      </c>
      <c r="K628" s="96" t="s">
        <v>8450</v>
      </c>
    </row>
    <row r="629" spans="1:11" ht="20.100000000000001" customHeight="1" x14ac:dyDescent="0.25">
      <c r="A629" s="96"/>
      <c r="B629" s="96"/>
      <c r="C629" s="96"/>
      <c r="D629" s="96"/>
      <c r="E629" s="96">
        <v>28</v>
      </c>
      <c r="F629" s="96" t="s">
        <v>8313</v>
      </c>
      <c r="G629" s="96" t="s">
        <v>8451</v>
      </c>
      <c r="H629" s="96" t="s">
        <v>8452</v>
      </c>
      <c r="I629" s="96" t="s">
        <v>8453</v>
      </c>
      <c r="J629" s="96" t="s">
        <v>8454</v>
      </c>
      <c r="K629" s="96" t="s">
        <v>8455</v>
      </c>
    </row>
    <row r="630" spans="1:11" ht="20.100000000000001" customHeight="1" x14ac:dyDescent="0.25">
      <c r="A630" s="96"/>
      <c r="B630" s="96"/>
      <c r="C630" s="96"/>
      <c r="D630" s="96"/>
      <c r="E630" s="96">
        <v>29</v>
      </c>
      <c r="F630" s="96" t="s">
        <v>8314</v>
      </c>
      <c r="G630" s="96" t="s">
        <v>8456</v>
      </c>
      <c r="H630" s="96" t="s">
        <v>8457</v>
      </c>
      <c r="I630" s="96" t="s">
        <v>8458</v>
      </c>
      <c r="J630" s="96" t="s">
        <v>8459</v>
      </c>
      <c r="K630" s="96" t="s">
        <v>8460</v>
      </c>
    </row>
    <row r="631" spans="1:11" ht="20.100000000000001" customHeight="1" x14ac:dyDescent="0.25">
      <c r="A631" s="96"/>
      <c r="B631" s="96"/>
      <c r="C631" s="96"/>
      <c r="D631" s="96"/>
      <c r="E631" s="96">
        <v>30</v>
      </c>
      <c r="F631" s="96" t="s">
        <v>8315</v>
      </c>
      <c r="G631" s="96" t="s">
        <v>8461</v>
      </c>
      <c r="H631" s="96" t="s">
        <v>8462</v>
      </c>
      <c r="I631" s="96" t="s">
        <v>8463</v>
      </c>
      <c r="J631" s="96" t="s">
        <v>8464</v>
      </c>
      <c r="K631" s="96" t="s">
        <v>8465</v>
      </c>
    </row>
    <row r="632" spans="1:11" ht="20.100000000000001" customHeight="1" x14ac:dyDescent="0.25">
      <c r="A632" s="97"/>
      <c r="B632" s="97"/>
      <c r="C632" s="97" t="s">
        <v>8106</v>
      </c>
      <c r="D632" s="97" t="s">
        <v>8107</v>
      </c>
      <c r="E632" s="97">
        <v>1</v>
      </c>
      <c r="F632" s="97" t="s">
        <v>8466</v>
      </c>
      <c r="G632" s="97" t="s">
        <v>8478</v>
      </c>
      <c r="H632" s="97" t="s">
        <v>8141</v>
      </c>
      <c r="I632" s="97" t="s">
        <v>8142</v>
      </c>
      <c r="J632" s="97" t="s">
        <v>8143</v>
      </c>
      <c r="K632" s="97" t="s">
        <v>8144</v>
      </c>
    </row>
    <row r="633" spans="1:11" ht="20.100000000000001" customHeight="1" x14ac:dyDescent="0.25">
      <c r="A633" s="97"/>
      <c r="B633" s="97"/>
      <c r="C633" s="97"/>
      <c r="D633" s="97" t="s">
        <v>8522</v>
      </c>
      <c r="E633" s="97">
        <v>2</v>
      </c>
      <c r="F633" s="97" t="s">
        <v>8467</v>
      </c>
      <c r="G633" s="97" t="s">
        <v>8479</v>
      </c>
      <c r="H633" s="97" t="s">
        <v>8322</v>
      </c>
      <c r="I633" s="97" t="s">
        <v>8323</v>
      </c>
      <c r="J633" s="97" t="s">
        <v>8324</v>
      </c>
      <c r="K633" s="97" t="s">
        <v>8325</v>
      </c>
    </row>
    <row r="634" spans="1:11" ht="20.100000000000001" customHeight="1" x14ac:dyDescent="0.25">
      <c r="A634" s="97"/>
      <c r="B634" s="97"/>
      <c r="C634" s="97"/>
      <c r="D634" s="97"/>
      <c r="E634" s="97">
        <v>3</v>
      </c>
      <c r="F634" s="97" t="s">
        <v>8112</v>
      </c>
      <c r="G634" s="97" t="s">
        <v>8150</v>
      </c>
      <c r="H634" s="97" t="s">
        <v>8151</v>
      </c>
      <c r="I634" s="97" t="s">
        <v>8152</v>
      </c>
      <c r="J634" s="97" t="s">
        <v>8153</v>
      </c>
      <c r="K634" s="97" t="s">
        <v>8154</v>
      </c>
    </row>
    <row r="635" spans="1:11" ht="20.100000000000001" customHeight="1" x14ac:dyDescent="0.25">
      <c r="A635" s="97"/>
      <c r="B635" s="97"/>
      <c r="C635" s="97"/>
      <c r="D635" s="97"/>
      <c r="E635" s="97">
        <v>4</v>
      </c>
      <c r="F635" s="97" t="s">
        <v>8289</v>
      </c>
      <c r="G635" s="97" t="s">
        <v>8331</v>
      </c>
      <c r="H635" s="97" t="s">
        <v>8332</v>
      </c>
      <c r="I635" s="97" t="s">
        <v>8333</v>
      </c>
      <c r="J635" s="97" t="s">
        <v>8334</v>
      </c>
      <c r="K635" s="97" t="s">
        <v>8335</v>
      </c>
    </row>
    <row r="636" spans="1:11" ht="20.100000000000001" customHeight="1" x14ac:dyDescent="0.25">
      <c r="A636" s="97"/>
      <c r="B636" s="97"/>
      <c r="C636" s="97"/>
      <c r="D636" s="97"/>
      <c r="E636" s="97">
        <v>5</v>
      </c>
      <c r="F636" s="97" t="s">
        <v>8114</v>
      </c>
      <c r="G636" s="97" t="s">
        <v>8160</v>
      </c>
      <c r="H636" s="97" t="s">
        <v>8161</v>
      </c>
      <c r="I636" s="97" t="s">
        <v>8162</v>
      </c>
      <c r="J636" s="97" t="s">
        <v>8163</v>
      </c>
      <c r="K636" s="97" t="s">
        <v>8164</v>
      </c>
    </row>
    <row r="637" spans="1:11" ht="20.100000000000001" customHeight="1" x14ac:dyDescent="0.25">
      <c r="A637" s="97"/>
      <c r="B637" s="97"/>
      <c r="C637" s="97"/>
      <c r="D637" s="97"/>
      <c r="E637" s="97">
        <v>6</v>
      </c>
      <c r="F637" s="97" t="s">
        <v>8291</v>
      </c>
      <c r="G637" s="97" t="s">
        <v>8341</v>
      </c>
      <c r="H637" s="97" t="s">
        <v>8342</v>
      </c>
      <c r="I637" s="97" t="s">
        <v>8343</v>
      </c>
      <c r="J637" s="97" t="s">
        <v>8344</v>
      </c>
      <c r="K637" s="97" t="s">
        <v>8345</v>
      </c>
    </row>
    <row r="638" spans="1:11" ht="20.100000000000001" customHeight="1" x14ac:dyDescent="0.25">
      <c r="A638" s="97"/>
      <c r="B638" s="97"/>
      <c r="C638" s="97"/>
      <c r="D638" s="97"/>
      <c r="E638" s="97">
        <v>7</v>
      </c>
      <c r="F638" s="97" t="s">
        <v>8468</v>
      </c>
      <c r="G638" s="97" t="s">
        <v>8170</v>
      </c>
      <c r="H638" s="97" t="s">
        <v>8171</v>
      </c>
      <c r="I638" s="97" t="s">
        <v>8172</v>
      </c>
      <c r="J638" s="97" t="s">
        <v>8173</v>
      </c>
      <c r="K638" s="97" t="s">
        <v>8174</v>
      </c>
    </row>
    <row r="639" spans="1:11" ht="20.100000000000001" customHeight="1" x14ac:dyDescent="0.25">
      <c r="A639" s="97"/>
      <c r="B639" s="97"/>
      <c r="C639" s="97"/>
      <c r="D639" s="97"/>
      <c r="E639" s="97">
        <v>8</v>
      </c>
      <c r="F639" s="97" t="s">
        <v>8293</v>
      </c>
      <c r="G639" s="97" t="s">
        <v>8351</v>
      </c>
      <c r="H639" s="97" t="s">
        <v>8352</v>
      </c>
      <c r="I639" s="97" t="s">
        <v>8353</v>
      </c>
      <c r="J639" s="97" t="s">
        <v>8354</v>
      </c>
      <c r="K639" s="97" t="s">
        <v>8355</v>
      </c>
    </row>
    <row r="640" spans="1:11" ht="20.100000000000001" customHeight="1" x14ac:dyDescent="0.25">
      <c r="A640" s="97"/>
      <c r="B640" s="97"/>
      <c r="C640" s="97"/>
      <c r="D640" s="97"/>
      <c r="E640" s="97">
        <v>9</v>
      </c>
      <c r="F640" s="97" t="s">
        <v>8118</v>
      </c>
      <c r="G640" s="97" t="s">
        <v>8180</v>
      </c>
      <c r="H640" s="97" t="s">
        <v>8181</v>
      </c>
      <c r="I640" s="97" t="s">
        <v>8182</v>
      </c>
      <c r="J640" s="97" t="s">
        <v>8183</v>
      </c>
      <c r="K640" s="97" t="s">
        <v>8184</v>
      </c>
    </row>
    <row r="641" spans="1:11" ht="20.100000000000001" customHeight="1" x14ac:dyDescent="0.25">
      <c r="A641" s="97"/>
      <c r="B641" s="97"/>
      <c r="C641" s="97"/>
      <c r="D641" s="97"/>
      <c r="E641" s="97">
        <v>10</v>
      </c>
      <c r="F641" s="97" t="s">
        <v>8469</v>
      </c>
      <c r="G641" s="97" t="s">
        <v>8361</v>
      </c>
      <c r="H641" s="97" t="s">
        <v>8362</v>
      </c>
      <c r="I641" s="97" t="s">
        <v>8363</v>
      </c>
      <c r="J641" s="97" t="s">
        <v>8364</v>
      </c>
      <c r="K641" s="97" t="s">
        <v>8365</v>
      </c>
    </row>
    <row r="642" spans="1:11" ht="20.100000000000001" customHeight="1" x14ac:dyDescent="0.25">
      <c r="A642" s="97"/>
      <c r="B642" s="97"/>
      <c r="C642" s="97"/>
      <c r="D642" s="97"/>
      <c r="E642" s="97">
        <v>11</v>
      </c>
      <c r="F642" s="97" t="s">
        <v>8120</v>
      </c>
      <c r="G642" s="97" t="s">
        <v>8480</v>
      </c>
      <c r="H642" s="97" t="s">
        <v>8188</v>
      </c>
      <c r="I642" s="97" t="s">
        <v>8189</v>
      </c>
      <c r="J642" s="97" t="s">
        <v>8190</v>
      </c>
      <c r="K642" s="97" t="s">
        <v>8481</v>
      </c>
    </row>
    <row r="643" spans="1:11" ht="20.100000000000001" customHeight="1" x14ac:dyDescent="0.25">
      <c r="A643" s="97"/>
      <c r="B643" s="97"/>
      <c r="C643" s="97"/>
      <c r="D643" s="97"/>
      <c r="E643" s="97">
        <v>12</v>
      </c>
      <c r="F643" s="97" t="s">
        <v>8470</v>
      </c>
      <c r="G643" s="97" t="s">
        <v>8371</v>
      </c>
      <c r="H643" s="97" t="s">
        <v>8372</v>
      </c>
      <c r="I643" s="97" t="s">
        <v>8373</v>
      </c>
      <c r="J643" s="97" t="s">
        <v>8374</v>
      </c>
      <c r="K643" s="97" t="s">
        <v>8375</v>
      </c>
    </row>
    <row r="644" spans="1:11" ht="20.100000000000001" customHeight="1" x14ac:dyDescent="0.25">
      <c r="A644" s="97"/>
      <c r="B644" s="97"/>
      <c r="C644" s="97"/>
      <c r="D644" s="97"/>
      <c r="E644" s="97">
        <v>13</v>
      </c>
      <c r="F644" s="97" t="s">
        <v>8122</v>
      </c>
      <c r="G644" s="97" t="s">
        <v>8197</v>
      </c>
      <c r="H644" s="97" t="s">
        <v>8198</v>
      </c>
      <c r="I644" s="97" t="s">
        <v>8199</v>
      </c>
      <c r="J644" s="97" t="s">
        <v>8200</v>
      </c>
      <c r="K644" s="97" t="s">
        <v>8201</v>
      </c>
    </row>
    <row r="645" spans="1:11" ht="20.100000000000001" customHeight="1" x14ac:dyDescent="0.25">
      <c r="A645" s="97"/>
      <c r="B645" s="97"/>
      <c r="C645" s="97"/>
      <c r="D645" s="97"/>
      <c r="E645" s="97">
        <v>14</v>
      </c>
      <c r="F645" s="97" t="s">
        <v>8471</v>
      </c>
      <c r="G645" s="97" t="s">
        <v>8381</v>
      </c>
      <c r="H645" s="97" t="s">
        <v>8382</v>
      </c>
      <c r="I645" s="97" t="s">
        <v>8383</v>
      </c>
      <c r="J645" s="97" t="s">
        <v>8384</v>
      </c>
      <c r="K645" s="97" t="s">
        <v>8385</v>
      </c>
    </row>
    <row r="646" spans="1:11" ht="20.100000000000001" customHeight="1" x14ac:dyDescent="0.25">
      <c r="A646" s="97"/>
      <c r="B646" s="97"/>
      <c r="C646" s="97"/>
      <c r="D646" s="97"/>
      <c r="E646" s="97">
        <v>15</v>
      </c>
      <c r="F646" s="97" t="s">
        <v>8124</v>
      </c>
      <c r="G646" s="97" t="s">
        <v>8207</v>
      </c>
      <c r="H646" s="97" t="s">
        <v>8208</v>
      </c>
      <c r="I646" s="97" t="s">
        <v>8209</v>
      </c>
      <c r="J646" s="97" t="s">
        <v>8210</v>
      </c>
      <c r="K646" s="97" t="s">
        <v>8211</v>
      </c>
    </row>
    <row r="647" spans="1:11" ht="20.100000000000001" customHeight="1" x14ac:dyDescent="0.25">
      <c r="A647" s="97"/>
      <c r="B647" s="97"/>
      <c r="C647" s="97"/>
      <c r="D647" s="97"/>
      <c r="E647" s="97">
        <v>16</v>
      </c>
      <c r="F647" s="97" t="s">
        <v>8472</v>
      </c>
      <c r="G647" s="97" t="s">
        <v>8391</v>
      </c>
      <c r="H647" s="97" t="s">
        <v>8392</v>
      </c>
      <c r="I647" s="97" t="s">
        <v>8393</v>
      </c>
      <c r="J647" s="97" t="s">
        <v>8394</v>
      </c>
      <c r="K647" s="97" t="s">
        <v>8395</v>
      </c>
    </row>
    <row r="648" spans="1:11" ht="20.100000000000001" customHeight="1" x14ac:dyDescent="0.25">
      <c r="A648" s="97"/>
      <c r="B648" s="97"/>
      <c r="C648" s="97"/>
      <c r="D648" s="97"/>
      <c r="E648" s="97">
        <v>17</v>
      </c>
      <c r="F648" s="97" t="s">
        <v>8126</v>
      </c>
      <c r="G648" s="97" t="s">
        <v>8217</v>
      </c>
      <c r="H648" s="97" t="s">
        <v>8218</v>
      </c>
      <c r="I648" s="97" t="s">
        <v>8219</v>
      </c>
      <c r="J648" s="97" t="s">
        <v>8220</v>
      </c>
      <c r="K648" s="97" t="s">
        <v>8221</v>
      </c>
    </row>
    <row r="649" spans="1:11" ht="20.100000000000001" customHeight="1" x14ac:dyDescent="0.25">
      <c r="A649" s="97"/>
      <c r="B649" s="97"/>
      <c r="C649" s="97"/>
      <c r="D649" s="97"/>
      <c r="E649" s="97">
        <v>18</v>
      </c>
      <c r="F649" s="97" t="s">
        <v>8473</v>
      </c>
      <c r="G649" s="97" t="s">
        <v>8401</v>
      </c>
      <c r="H649" s="97" t="s">
        <v>8402</v>
      </c>
      <c r="I649" s="97" t="s">
        <v>8403</v>
      </c>
      <c r="J649" s="97" t="s">
        <v>8404</v>
      </c>
      <c r="K649" s="97" t="s">
        <v>8405</v>
      </c>
    </row>
    <row r="650" spans="1:11" ht="20.100000000000001" customHeight="1" x14ac:dyDescent="0.25">
      <c r="A650" s="97"/>
      <c r="B650" s="97"/>
      <c r="C650" s="97"/>
      <c r="D650" s="97"/>
      <c r="E650" s="97">
        <v>19</v>
      </c>
      <c r="F650" s="97" t="s">
        <v>8128</v>
      </c>
      <c r="G650" s="97" t="s">
        <v>8227</v>
      </c>
      <c r="H650" s="97" t="s">
        <v>8228</v>
      </c>
      <c r="I650" s="97" t="s">
        <v>8229</v>
      </c>
      <c r="J650" s="97" t="s">
        <v>8230</v>
      </c>
      <c r="K650" s="97" t="s">
        <v>8231</v>
      </c>
    </row>
    <row r="651" spans="1:11" ht="20.100000000000001" customHeight="1" x14ac:dyDescent="0.25">
      <c r="A651" s="97"/>
      <c r="B651" s="97"/>
      <c r="C651" s="97"/>
      <c r="D651" s="97"/>
      <c r="E651" s="97">
        <v>20</v>
      </c>
      <c r="F651" s="97" t="s">
        <v>8474</v>
      </c>
      <c r="G651" s="97" t="s">
        <v>8411</v>
      </c>
      <c r="H651" s="97" t="s">
        <v>8412</v>
      </c>
      <c r="I651" s="97" t="s">
        <v>8413</v>
      </c>
      <c r="J651" s="97" t="s">
        <v>8414</v>
      </c>
      <c r="K651" s="97" t="s">
        <v>8415</v>
      </c>
    </row>
    <row r="652" spans="1:11" ht="20.100000000000001" customHeight="1" x14ac:dyDescent="0.25">
      <c r="A652" s="97"/>
      <c r="B652" s="97"/>
      <c r="C652" s="97"/>
      <c r="D652" s="97"/>
      <c r="E652" s="97">
        <v>21</v>
      </c>
      <c r="F652" s="97" t="s">
        <v>8475</v>
      </c>
      <c r="G652" s="97" t="s">
        <v>8237</v>
      </c>
      <c r="H652" s="97" t="s">
        <v>8238</v>
      </c>
      <c r="I652" s="97" t="s">
        <v>8239</v>
      </c>
      <c r="J652" s="97" t="s">
        <v>8240</v>
      </c>
      <c r="K652" s="97" t="s">
        <v>8241</v>
      </c>
    </row>
    <row r="653" spans="1:11" ht="20.100000000000001" customHeight="1" x14ac:dyDescent="0.25">
      <c r="A653" s="97"/>
      <c r="B653" s="97"/>
      <c r="C653" s="97"/>
      <c r="D653" s="97"/>
      <c r="E653" s="97">
        <v>22</v>
      </c>
      <c r="F653" s="97" t="s">
        <v>8307</v>
      </c>
      <c r="G653" s="97" t="s">
        <v>8482</v>
      </c>
      <c r="H653" s="97" t="s">
        <v>8422</v>
      </c>
      <c r="I653" s="97" t="s">
        <v>8423</v>
      </c>
      <c r="J653" s="97" t="s">
        <v>8424</v>
      </c>
      <c r="K653" s="97" t="s">
        <v>8483</v>
      </c>
    </row>
    <row r="654" spans="1:11" ht="20.100000000000001" customHeight="1" x14ac:dyDescent="0.25">
      <c r="A654" s="97"/>
      <c r="B654" s="97"/>
      <c r="C654" s="97"/>
      <c r="D654" s="97"/>
      <c r="E654" s="97">
        <v>23</v>
      </c>
      <c r="F654" s="97" t="s">
        <v>8132</v>
      </c>
      <c r="G654" s="97" t="s">
        <v>8484</v>
      </c>
      <c r="H654" s="97" t="s">
        <v>8247</v>
      </c>
      <c r="I654" s="97" t="s">
        <v>8248</v>
      </c>
      <c r="J654" s="97" t="s">
        <v>8249</v>
      </c>
      <c r="K654" s="97" t="s">
        <v>8485</v>
      </c>
    </row>
    <row r="655" spans="1:11" ht="20.100000000000001" customHeight="1" x14ac:dyDescent="0.25">
      <c r="A655" s="97"/>
      <c r="B655" s="97"/>
      <c r="C655" s="97"/>
      <c r="D655" s="97"/>
      <c r="E655" s="97">
        <v>24</v>
      </c>
      <c r="F655" s="97" t="s">
        <v>8309</v>
      </c>
      <c r="G655" s="97" t="s">
        <v>8486</v>
      </c>
      <c r="H655" s="97" t="s">
        <v>8432</v>
      </c>
      <c r="I655" s="97" t="s">
        <v>8433</v>
      </c>
      <c r="J655" s="97" t="s">
        <v>8434</v>
      </c>
      <c r="K655" s="97" t="s">
        <v>8487</v>
      </c>
    </row>
    <row r="656" spans="1:11" ht="20.100000000000001" customHeight="1" x14ac:dyDescent="0.25">
      <c r="A656" s="97"/>
      <c r="B656" s="97"/>
      <c r="C656" s="97"/>
      <c r="D656" s="97"/>
      <c r="E656" s="97">
        <v>25</v>
      </c>
      <c r="F656" s="97" t="s">
        <v>8134</v>
      </c>
      <c r="G656" s="97" t="s">
        <v>8488</v>
      </c>
      <c r="H656" s="97" t="s">
        <v>8257</v>
      </c>
      <c r="I656" s="97" t="s">
        <v>8258</v>
      </c>
      <c r="J656" s="97" t="s">
        <v>8259</v>
      </c>
      <c r="K656" s="97" t="s">
        <v>8489</v>
      </c>
    </row>
    <row r="657" spans="1:11" ht="20.100000000000001" customHeight="1" x14ac:dyDescent="0.25">
      <c r="A657" s="97"/>
      <c r="B657" s="97"/>
      <c r="C657" s="97"/>
      <c r="D657" s="97"/>
      <c r="E657" s="97">
        <v>26</v>
      </c>
      <c r="F657" s="97" t="s">
        <v>8311</v>
      </c>
      <c r="G657" s="97" t="s">
        <v>8490</v>
      </c>
      <c r="H657" s="97" t="s">
        <v>8442</v>
      </c>
      <c r="I657" s="97" t="s">
        <v>8443</v>
      </c>
      <c r="J657" s="97" t="s">
        <v>8444</v>
      </c>
      <c r="K657" s="97" t="s">
        <v>8491</v>
      </c>
    </row>
    <row r="658" spans="1:11" ht="20.100000000000001" customHeight="1" x14ac:dyDescent="0.25">
      <c r="A658" s="97"/>
      <c r="B658" s="97"/>
      <c r="C658" s="97"/>
      <c r="D658" s="97"/>
      <c r="E658" s="97">
        <v>27</v>
      </c>
      <c r="F658" s="97" t="s">
        <v>8476</v>
      </c>
      <c r="G658" s="97" t="s">
        <v>8266</v>
      </c>
      <c r="H658" s="97" t="s">
        <v>8267</v>
      </c>
      <c r="I658" s="97" t="s">
        <v>8268</v>
      </c>
      <c r="J658" s="97" t="s">
        <v>8269</v>
      </c>
      <c r="K658" s="97" t="s">
        <v>8270</v>
      </c>
    </row>
    <row r="659" spans="1:11" ht="20.100000000000001" customHeight="1" x14ac:dyDescent="0.25">
      <c r="A659" s="97"/>
      <c r="B659" s="97"/>
      <c r="C659" s="97"/>
      <c r="D659" s="97"/>
      <c r="E659" s="97">
        <v>28</v>
      </c>
      <c r="F659" s="97" t="s">
        <v>8313</v>
      </c>
      <c r="G659" s="97" t="s">
        <v>8492</v>
      </c>
      <c r="H659" s="97" t="s">
        <v>8452</v>
      </c>
      <c r="I659" s="97" t="s">
        <v>8453</v>
      </c>
      <c r="J659" s="97" t="s">
        <v>8454</v>
      </c>
      <c r="K659" s="97" t="s">
        <v>8455</v>
      </c>
    </row>
    <row r="660" spans="1:11" ht="20.100000000000001" customHeight="1" x14ac:dyDescent="0.25">
      <c r="A660" s="97"/>
      <c r="B660" s="97"/>
      <c r="C660" s="97"/>
      <c r="D660" s="97"/>
      <c r="E660" s="97">
        <v>29</v>
      </c>
      <c r="F660" s="97" t="s">
        <v>8477</v>
      </c>
      <c r="G660" s="97" t="s">
        <v>8493</v>
      </c>
      <c r="H660" s="97" t="s">
        <v>8277</v>
      </c>
      <c r="I660" s="97" t="s">
        <v>8278</v>
      </c>
      <c r="J660" s="97" t="s">
        <v>8279</v>
      </c>
      <c r="K660" s="97" t="s">
        <v>8280</v>
      </c>
    </row>
    <row r="661" spans="1:11" ht="20.100000000000001" customHeight="1" x14ac:dyDescent="0.25">
      <c r="A661" s="97"/>
      <c r="B661" s="97"/>
      <c r="C661" s="97"/>
      <c r="D661" s="97"/>
      <c r="E661" s="97">
        <v>30</v>
      </c>
      <c r="F661" s="97" t="s">
        <v>8315</v>
      </c>
      <c r="G661" s="97" t="s">
        <v>8494</v>
      </c>
      <c r="H661" s="97" t="s">
        <v>8462</v>
      </c>
      <c r="I661" s="97" t="s">
        <v>8463</v>
      </c>
      <c r="J661" s="97" t="s">
        <v>8464</v>
      </c>
      <c r="K661" s="97" t="s">
        <v>8465</v>
      </c>
    </row>
    <row r="662" spans="1:11" ht="20.100000000000001" customHeight="1" x14ac:dyDescent="0.25">
      <c r="A662" s="26"/>
      <c r="B662" s="26"/>
      <c r="C662" s="26" t="s">
        <v>8105</v>
      </c>
      <c r="D662" s="26" t="s">
        <v>8104</v>
      </c>
      <c r="E662" s="26">
        <v>1</v>
      </c>
      <c r="F662" s="26" t="s">
        <v>8495</v>
      </c>
      <c r="G662" s="26" t="s">
        <v>8505</v>
      </c>
      <c r="H662" s="26" t="s">
        <v>8317</v>
      </c>
      <c r="I662" s="26" t="s">
        <v>8318</v>
      </c>
      <c r="J662" s="26" t="s">
        <v>8319</v>
      </c>
      <c r="K662" s="26" t="s">
        <v>8320</v>
      </c>
    </row>
    <row r="663" spans="1:11" ht="20.100000000000001" customHeight="1" x14ac:dyDescent="0.25">
      <c r="A663" s="26"/>
      <c r="B663" s="26"/>
      <c r="C663" s="26"/>
      <c r="D663" s="26" t="s">
        <v>8522</v>
      </c>
      <c r="E663" s="26">
        <v>2</v>
      </c>
      <c r="F663" s="26" t="s">
        <v>8496</v>
      </c>
      <c r="G663" s="26" t="s">
        <v>8145</v>
      </c>
      <c r="H663" s="26" t="s">
        <v>8146</v>
      </c>
      <c r="I663" s="26" t="s">
        <v>8147</v>
      </c>
      <c r="J663" s="26" t="s">
        <v>8148</v>
      </c>
      <c r="K663" s="26" t="s">
        <v>8149</v>
      </c>
    </row>
    <row r="664" spans="1:11" ht="20.100000000000001" customHeight="1" x14ac:dyDescent="0.25">
      <c r="A664" s="26"/>
      <c r="B664" s="26"/>
      <c r="C664" s="26"/>
      <c r="D664" s="26"/>
      <c r="E664" s="26">
        <v>3</v>
      </c>
      <c r="F664" s="26" t="s">
        <v>8288</v>
      </c>
      <c r="G664" s="26" t="s">
        <v>8326</v>
      </c>
      <c r="H664" s="26" t="s">
        <v>8327</v>
      </c>
      <c r="I664" s="26" t="s">
        <v>8328</v>
      </c>
      <c r="J664" s="26" t="s">
        <v>8329</v>
      </c>
      <c r="K664" s="26" t="s">
        <v>8330</v>
      </c>
    </row>
    <row r="665" spans="1:11" ht="20.100000000000001" customHeight="1" x14ac:dyDescent="0.25">
      <c r="A665" s="26"/>
      <c r="B665" s="26"/>
      <c r="C665" s="26"/>
      <c r="D665" s="26"/>
      <c r="E665" s="26">
        <v>4</v>
      </c>
      <c r="F665" s="26" t="s">
        <v>8497</v>
      </c>
      <c r="G665" s="26" t="s">
        <v>8155</v>
      </c>
      <c r="H665" s="26" t="s">
        <v>8156</v>
      </c>
      <c r="I665" s="26" t="s">
        <v>8157</v>
      </c>
      <c r="J665" s="26" t="s">
        <v>8158</v>
      </c>
      <c r="K665" s="26" t="s">
        <v>8159</v>
      </c>
    </row>
    <row r="666" spans="1:11" ht="20.100000000000001" customHeight="1" x14ac:dyDescent="0.25">
      <c r="A666" s="26"/>
      <c r="B666" s="26"/>
      <c r="C666" s="26"/>
      <c r="D666" s="26"/>
      <c r="E666" s="26">
        <v>5</v>
      </c>
      <c r="F666" s="26" t="s">
        <v>8290</v>
      </c>
      <c r="G666" s="26" t="s">
        <v>8336</v>
      </c>
      <c r="H666" s="26" t="s">
        <v>8337</v>
      </c>
      <c r="I666" s="26" t="s">
        <v>8338</v>
      </c>
      <c r="J666" s="26" t="s">
        <v>8339</v>
      </c>
      <c r="K666" s="26" t="s">
        <v>8340</v>
      </c>
    </row>
    <row r="667" spans="1:11" ht="20.100000000000001" customHeight="1" x14ac:dyDescent="0.25">
      <c r="A667" s="26"/>
      <c r="B667" s="26"/>
      <c r="C667" s="26"/>
      <c r="D667" s="26"/>
      <c r="E667" s="26">
        <v>6</v>
      </c>
      <c r="F667" s="26" t="s">
        <v>8498</v>
      </c>
      <c r="G667" s="26" t="s">
        <v>8165</v>
      </c>
      <c r="H667" s="26" t="s">
        <v>8166</v>
      </c>
      <c r="I667" s="26" t="s">
        <v>8167</v>
      </c>
      <c r="J667" s="26" t="s">
        <v>8168</v>
      </c>
      <c r="K667" s="26" t="s">
        <v>8169</v>
      </c>
    </row>
    <row r="668" spans="1:11" ht="20.100000000000001" customHeight="1" x14ac:dyDescent="0.25">
      <c r="A668" s="26"/>
      <c r="B668" s="26"/>
      <c r="C668" s="26"/>
      <c r="D668" s="26"/>
      <c r="E668" s="26">
        <v>7</v>
      </c>
      <c r="F668" s="26" t="s">
        <v>8292</v>
      </c>
      <c r="G668" s="26" t="s">
        <v>8346</v>
      </c>
      <c r="H668" s="26" t="s">
        <v>8347</v>
      </c>
      <c r="I668" s="26" t="s">
        <v>8348</v>
      </c>
      <c r="J668" s="26" t="s">
        <v>8349</v>
      </c>
      <c r="K668" s="26" t="s">
        <v>8350</v>
      </c>
    </row>
    <row r="669" spans="1:11" ht="20.100000000000001" customHeight="1" x14ac:dyDescent="0.25">
      <c r="A669" s="26"/>
      <c r="B669" s="26"/>
      <c r="C669" s="26"/>
      <c r="D669" s="26"/>
      <c r="E669" s="26">
        <v>8</v>
      </c>
      <c r="F669" s="26" t="s">
        <v>8117</v>
      </c>
      <c r="G669" s="26" t="s">
        <v>8175</v>
      </c>
      <c r="H669" s="26" t="s">
        <v>8176</v>
      </c>
      <c r="I669" s="26" t="s">
        <v>8177</v>
      </c>
      <c r="J669" s="26" t="s">
        <v>8178</v>
      </c>
      <c r="K669" s="26" t="s">
        <v>8179</v>
      </c>
    </row>
    <row r="670" spans="1:11" ht="20.100000000000001" customHeight="1" x14ac:dyDescent="0.25">
      <c r="A670" s="26"/>
      <c r="B670" s="26"/>
      <c r="C670" s="26"/>
      <c r="D670" s="26"/>
      <c r="E670" s="26">
        <v>9</v>
      </c>
      <c r="F670" s="26" t="s">
        <v>8294</v>
      </c>
      <c r="G670" s="26" t="s">
        <v>8356</v>
      </c>
      <c r="H670" s="26" t="s">
        <v>8357</v>
      </c>
      <c r="I670" s="26" t="s">
        <v>8358</v>
      </c>
      <c r="J670" s="26" t="s">
        <v>8359</v>
      </c>
      <c r="K670" s="26" t="s">
        <v>8360</v>
      </c>
    </row>
    <row r="671" spans="1:11" ht="20.100000000000001" customHeight="1" x14ac:dyDescent="0.25">
      <c r="A671" s="26"/>
      <c r="B671" s="26"/>
      <c r="C671" s="26"/>
      <c r="D671" s="26"/>
      <c r="E671" s="26">
        <v>10</v>
      </c>
      <c r="F671" s="26" t="s">
        <v>8119</v>
      </c>
      <c r="G671" s="26" t="s">
        <v>8506</v>
      </c>
      <c r="H671" s="26" t="s">
        <v>7490</v>
      </c>
      <c r="I671" s="26" t="s">
        <v>7491</v>
      </c>
      <c r="J671" s="26" t="s">
        <v>7492</v>
      </c>
      <c r="K671" s="26" t="s">
        <v>8507</v>
      </c>
    </row>
    <row r="672" spans="1:11" ht="20.100000000000001" customHeight="1" x14ac:dyDescent="0.25">
      <c r="A672" s="26"/>
      <c r="B672" s="26"/>
      <c r="C672" s="26"/>
      <c r="D672" s="26"/>
      <c r="E672" s="26">
        <v>11</v>
      </c>
      <c r="F672" s="26" t="s">
        <v>8296</v>
      </c>
      <c r="G672" s="26" t="s">
        <v>8366</v>
      </c>
      <c r="H672" s="26" t="s">
        <v>8367</v>
      </c>
      <c r="I672" s="26" t="s">
        <v>8368</v>
      </c>
      <c r="J672" s="26" t="s">
        <v>8369</v>
      </c>
      <c r="K672" s="26" t="s">
        <v>8370</v>
      </c>
    </row>
    <row r="673" spans="1:11" ht="20.100000000000001" customHeight="1" x14ac:dyDescent="0.25">
      <c r="A673" s="26"/>
      <c r="B673" s="26"/>
      <c r="C673" s="26"/>
      <c r="D673" s="26"/>
      <c r="E673" s="26">
        <v>12</v>
      </c>
      <c r="F673" s="26" t="s">
        <v>8499</v>
      </c>
      <c r="G673" s="26" t="s">
        <v>8192</v>
      </c>
      <c r="H673" s="26" t="s">
        <v>8193</v>
      </c>
      <c r="I673" s="26" t="s">
        <v>8194</v>
      </c>
      <c r="J673" s="26" t="s">
        <v>8195</v>
      </c>
      <c r="K673" s="26" t="s">
        <v>8196</v>
      </c>
    </row>
    <row r="674" spans="1:11" ht="20.100000000000001" customHeight="1" x14ac:dyDescent="0.25">
      <c r="A674" s="26"/>
      <c r="B674" s="26"/>
      <c r="C674" s="26"/>
      <c r="D674" s="26"/>
      <c r="E674" s="26">
        <v>13</v>
      </c>
      <c r="F674" s="26" t="s">
        <v>8500</v>
      </c>
      <c r="G674" s="26" t="s">
        <v>8376</v>
      </c>
      <c r="H674" s="26" t="s">
        <v>8377</v>
      </c>
      <c r="I674" s="26" t="s">
        <v>8378</v>
      </c>
      <c r="J674" s="26" t="s">
        <v>8379</v>
      </c>
      <c r="K674" s="26" t="s">
        <v>8380</v>
      </c>
    </row>
    <row r="675" spans="1:11" ht="20.100000000000001" customHeight="1" x14ac:dyDescent="0.25">
      <c r="A675" s="26"/>
      <c r="B675" s="26"/>
      <c r="C675" s="26"/>
      <c r="D675" s="26"/>
      <c r="E675" s="26">
        <v>14</v>
      </c>
      <c r="F675" s="26" t="s">
        <v>8501</v>
      </c>
      <c r="G675" s="26" t="s">
        <v>8202</v>
      </c>
      <c r="H675" s="26" t="s">
        <v>8203</v>
      </c>
      <c r="I675" s="26" t="s">
        <v>8204</v>
      </c>
      <c r="J675" s="26" t="s">
        <v>8205</v>
      </c>
      <c r="K675" s="26" t="s">
        <v>8206</v>
      </c>
    </row>
    <row r="676" spans="1:11" ht="20.100000000000001" customHeight="1" x14ac:dyDescent="0.25">
      <c r="A676" s="26"/>
      <c r="B676" s="26"/>
      <c r="C676" s="26"/>
      <c r="D676" s="26"/>
      <c r="E676" s="26">
        <v>15</v>
      </c>
      <c r="F676" s="26" t="s">
        <v>8300</v>
      </c>
      <c r="G676" s="26" t="s">
        <v>8386</v>
      </c>
      <c r="H676" s="26" t="s">
        <v>8387</v>
      </c>
      <c r="I676" s="26" t="s">
        <v>8388</v>
      </c>
      <c r="J676" s="26" t="s">
        <v>8389</v>
      </c>
      <c r="K676" s="26" t="s">
        <v>8390</v>
      </c>
    </row>
    <row r="677" spans="1:11" ht="20.100000000000001" customHeight="1" x14ac:dyDescent="0.25">
      <c r="A677" s="26"/>
      <c r="B677" s="26"/>
      <c r="C677" s="26"/>
      <c r="D677" s="26"/>
      <c r="E677" s="26">
        <v>16</v>
      </c>
      <c r="F677" s="26" t="s">
        <v>8502</v>
      </c>
      <c r="G677" s="26" t="s">
        <v>8212</v>
      </c>
      <c r="H677" s="26" t="s">
        <v>8213</v>
      </c>
      <c r="I677" s="26" t="s">
        <v>8214</v>
      </c>
      <c r="J677" s="26" t="s">
        <v>8215</v>
      </c>
      <c r="K677" s="26" t="s">
        <v>8216</v>
      </c>
    </row>
    <row r="678" spans="1:11" ht="20.100000000000001" customHeight="1" x14ac:dyDescent="0.25">
      <c r="A678" s="26"/>
      <c r="B678" s="26"/>
      <c r="C678" s="26"/>
      <c r="D678" s="26"/>
      <c r="E678" s="26">
        <v>17</v>
      </c>
      <c r="F678" s="26" t="s">
        <v>8302</v>
      </c>
      <c r="G678" s="26" t="s">
        <v>8396</v>
      </c>
      <c r="H678" s="26" t="s">
        <v>8397</v>
      </c>
      <c r="I678" s="26" t="s">
        <v>8398</v>
      </c>
      <c r="J678" s="26" t="s">
        <v>8399</v>
      </c>
      <c r="K678" s="26" t="s">
        <v>8400</v>
      </c>
    </row>
    <row r="679" spans="1:11" ht="20.100000000000001" customHeight="1" x14ac:dyDescent="0.25">
      <c r="A679" s="26"/>
      <c r="B679" s="26"/>
      <c r="C679" s="26"/>
      <c r="D679" s="26"/>
      <c r="E679" s="26">
        <v>18</v>
      </c>
      <c r="F679" s="26" t="s">
        <v>8503</v>
      </c>
      <c r="G679" s="26" t="s">
        <v>8222</v>
      </c>
      <c r="H679" s="26" t="s">
        <v>8223</v>
      </c>
      <c r="I679" s="26" t="s">
        <v>8224</v>
      </c>
      <c r="J679" s="26" t="s">
        <v>8225</v>
      </c>
      <c r="K679" s="26" t="s">
        <v>8226</v>
      </c>
    </row>
    <row r="680" spans="1:11" ht="20.100000000000001" customHeight="1" x14ac:dyDescent="0.25">
      <c r="A680" s="26"/>
      <c r="B680" s="26"/>
      <c r="C680" s="26"/>
      <c r="D680" s="26"/>
      <c r="E680" s="26">
        <v>19</v>
      </c>
      <c r="F680" s="26" t="s">
        <v>8304</v>
      </c>
      <c r="G680" s="26" t="s">
        <v>8406</v>
      </c>
      <c r="H680" s="26" t="s">
        <v>8407</v>
      </c>
      <c r="I680" s="26" t="s">
        <v>8408</v>
      </c>
      <c r="J680" s="26" t="s">
        <v>8409</v>
      </c>
      <c r="K680" s="26" t="s">
        <v>8410</v>
      </c>
    </row>
    <row r="681" spans="1:11" ht="20.100000000000001" customHeight="1" x14ac:dyDescent="0.25">
      <c r="A681" s="26"/>
      <c r="B681" s="26"/>
      <c r="C681" s="26"/>
      <c r="D681" s="26"/>
      <c r="E681" s="26">
        <v>20</v>
      </c>
      <c r="F681" s="26" t="s">
        <v>8129</v>
      </c>
      <c r="G681" s="26" t="s">
        <v>8232</v>
      </c>
      <c r="H681" s="26" t="s">
        <v>8233</v>
      </c>
      <c r="I681" s="26" t="s">
        <v>8234</v>
      </c>
      <c r="J681" s="26" t="s">
        <v>8235</v>
      </c>
      <c r="K681" s="26" t="s">
        <v>8236</v>
      </c>
    </row>
    <row r="682" spans="1:11" ht="20.100000000000001" customHeight="1" x14ac:dyDescent="0.25">
      <c r="A682" s="26"/>
      <c r="B682" s="26"/>
      <c r="C682" s="26"/>
      <c r="D682" s="26"/>
      <c r="E682" s="26">
        <v>21</v>
      </c>
      <c r="F682" s="26" t="s">
        <v>8306</v>
      </c>
      <c r="G682" s="26" t="s">
        <v>8416</v>
      </c>
      <c r="H682" s="26" t="s">
        <v>8417</v>
      </c>
      <c r="I682" s="26" t="s">
        <v>8418</v>
      </c>
      <c r="J682" s="26" t="s">
        <v>8419</v>
      </c>
      <c r="K682" s="26" t="s">
        <v>8420</v>
      </c>
    </row>
    <row r="683" spans="1:11" ht="20.100000000000001" customHeight="1" x14ac:dyDescent="0.25">
      <c r="A683" s="26"/>
      <c r="B683" s="26"/>
      <c r="C683" s="26"/>
      <c r="D683" s="26"/>
      <c r="E683" s="26">
        <v>22</v>
      </c>
      <c r="F683" s="26" t="s">
        <v>8131</v>
      </c>
      <c r="G683" s="26" t="s">
        <v>8508</v>
      </c>
      <c r="H683" s="26" t="s">
        <v>8242</v>
      </c>
      <c r="I683" s="26" t="s">
        <v>8243</v>
      </c>
      <c r="J683" s="26" t="s">
        <v>8244</v>
      </c>
      <c r="K683" s="26" t="s">
        <v>8509</v>
      </c>
    </row>
    <row r="684" spans="1:11" ht="20.100000000000001" customHeight="1" x14ac:dyDescent="0.25">
      <c r="A684" s="26"/>
      <c r="B684" s="26"/>
      <c r="C684" s="26"/>
      <c r="D684" s="26"/>
      <c r="E684" s="26">
        <v>23</v>
      </c>
      <c r="F684" s="26" t="s">
        <v>8308</v>
      </c>
      <c r="G684" s="26" t="s">
        <v>8510</v>
      </c>
      <c r="H684" s="26" t="s">
        <v>8427</v>
      </c>
      <c r="I684" s="26" t="s">
        <v>8428</v>
      </c>
      <c r="J684" s="26" t="s">
        <v>8429</v>
      </c>
      <c r="K684" s="26" t="s">
        <v>8511</v>
      </c>
    </row>
    <row r="685" spans="1:11" ht="20.100000000000001" customHeight="1" x14ac:dyDescent="0.25">
      <c r="A685" s="26"/>
      <c r="B685" s="26"/>
      <c r="C685" s="26"/>
      <c r="D685" s="26"/>
      <c r="E685" s="26">
        <v>24</v>
      </c>
      <c r="F685" s="26" t="s">
        <v>8504</v>
      </c>
      <c r="G685" s="26" t="s">
        <v>8512</v>
      </c>
      <c r="H685" s="26" t="s">
        <v>8252</v>
      </c>
      <c r="I685" s="26" t="s">
        <v>8253</v>
      </c>
      <c r="J685" s="26" t="s">
        <v>8254</v>
      </c>
      <c r="K685" s="26" t="s">
        <v>8513</v>
      </c>
    </row>
    <row r="686" spans="1:11" ht="20.100000000000001" customHeight="1" x14ac:dyDescent="0.25">
      <c r="A686" s="26"/>
      <c r="B686" s="26"/>
      <c r="C686" s="26"/>
      <c r="D686" s="26"/>
      <c r="E686" s="26">
        <v>25</v>
      </c>
      <c r="F686" s="26" t="s">
        <v>8310</v>
      </c>
      <c r="G686" s="26" t="s">
        <v>8514</v>
      </c>
      <c r="H686" s="26" t="s">
        <v>8437</v>
      </c>
      <c r="I686" s="26" t="s">
        <v>8438</v>
      </c>
      <c r="J686" s="26" t="s">
        <v>8439</v>
      </c>
      <c r="K686" s="26" t="s">
        <v>8515</v>
      </c>
    </row>
    <row r="687" spans="1:11" ht="20.100000000000001" customHeight="1" x14ac:dyDescent="0.25">
      <c r="A687" s="26"/>
      <c r="B687" s="26"/>
      <c r="C687" s="26"/>
      <c r="D687" s="26"/>
      <c r="E687" s="26">
        <v>26</v>
      </c>
      <c r="F687" s="26" t="s">
        <v>8135</v>
      </c>
      <c r="G687" s="26" t="s">
        <v>8261</v>
      </c>
      <c r="H687" s="26" t="s">
        <v>8262</v>
      </c>
      <c r="I687" s="26" t="s">
        <v>8263</v>
      </c>
      <c r="J687" s="26" t="s">
        <v>8264</v>
      </c>
      <c r="K687" s="26" t="s">
        <v>8516</v>
      </c>
    </row>
    <row r="688" spans="1:11" ht="20.100000000000001" customHeight="1" x14ac:dyDescent="0.25">
      <c r="A688" s="26"/>
      <c r="B688" s="26"/>
      <c r="C688" s="26"/>
      <c r="D688" s="26"/>
      <c r="E688" s="26">
        <v>27</v>
      </c>
      <c r="F688" s="26" t="s">
        <v>8312</v>
      </c>
      <c r="G688" s="26" t="s">
        <v>8517</v>
      </c>
      <c r="H688" s="26" t="s">
        <v>8447</v>
      </c>
      <c r="I688" s="26" t="s">
        <v>8448</v>
      </c>
      <c r="J688" s="26" t="s">
        <v>8449</v>
      </c>
      <c r="K688" s="26" t="s">
        <v>8518</v>
      </c>
    </row>
    <row r="689" spans="1:11" ht="20.100000000000001" customHeight="1" x14ac:dyDescent="0.25">
      <c r="A689" s="26"/>
      <c r="B689" s="26"/>
      <c r="C689" s="26"/>
      <c r="D689" s="26"/>
      <c r="E689" s="26">
        <v>28</v>
      </c>
      <c r="F689" s="26" t="s">
        <v>8137</v>
      </c>
      <c r="G689" s="26" t="s">
        <v>8271</v>
      </c>
      <c r="H689" s="26" t="s">
        <v>8272</v>
      </c>
      <c r="I689" s="26" t="s">
        <v>8273</v>
      </c>
      <c r="J689" s="26" t="s">
        <v>8274</v>
      </c>
      <c r="K689" s="26" t="s">
        <v>8275</v>
      </c>
    </row>
    <row r="690" spans="1:11" ht="20.100000000000001" customHeight="1" x14ac:dyDescent="0.25">
      <c r="A690" s="26"/>
      <c r="B690" s="26"/>
      <c r="C690" s="26"/>
      <c r="D690" s="26"/>
      <c r="E690" s="26">
        <v>29</v>
      </c>
      <c r="F690" s="26" t="s">
        <v>8314</v>
      </c>
      <c r="G690" s="26" t="s">
        <v>8519</v>
      </c>
      <c r="H690" s="26" t="s">
        <v>8457</v>
      </c>
      <c r="I690" s="26" t="s">
        <v>8458</v>
      </c>
      <c r="J690" s="26" t="s">
        <v>8459</v>
      </c>
      <c r="K690" s="26" t="s">
        <v>8460</v>
      </c>
    </row>
    <row r="691" spans="1:11" ht="20.100000000000001" customHeight="1" x14ac:dyDescent="0.25">
      <c r="A691" s="26"/>
      <c r="B691" s="26"/>
      <c r="C691" s="26"/>
      <c r="D691" s="26"/>
      <c r="E691" s="26">
        <v>30</v>
      </c>
      <c r="F691" s="26" t="s">
        <v>8139</v>
      </c>
      <c r="G691" s="26" t="s">
        <v>8520</v>
      </c>
      <c r="H691" s="26" t="s">
        <v>8282</v>
      </c>
      <c r="I691" s="26" t="s">
        <v>8283</v>
      </c>
      <c r="J691" s="26" t="s">
        <v>8284</v>
      </c>
      <c r="K691" s="26" t="s">
        <v>8285</v>
      </c>
    </row>
    <row r="692" spans="1:11" ht="20.100000000000001" customHeight="1" x14ac:dyDescent="0.25">
      <c r="A692" s="103"/>
      <c r="B692" s="25"/>
      <c r="C692" s="25">
        <v>201</v>
      </c>
      <c r="D692" s="25" t="s">
        <v>6450</v>
      </c>
      <c r="E692" s="25">
        <v>1</v>
      </c>
      <c r="F692" s="25" t="s">
        <v>6621</v>
      </c>
      <c r="G692" s="25" t="s">
        <v>6789</v>
      </c>
      <c r="H692" s="25" t="s">
        <v>6650</v>
      </c>
      <c r="I692" s="25" t="s">
        <v>6651</v>
      </c>
      <c r="J692" s="25" t="s">
        <v>6760</v>
      </c>
      <c r="K692" s="25" t="s">
        <v>6652</v>
      </c>
    </row>
    <row r="693" spans="1:11" ht="20.100000000000001" customHeight="1" x14ac:dyDescent="0.25">
      <c r="A693" s="103"/>
      <c r="B693" s="25"/>
      <c r="C693" s="25"/>
      <c r="D693" s="25" t="s">
        <v>4872</v>
      </c>
      <c r="E693" s="25">
        <v>2</v>
      </c>
      <c r="F693" s="25" t="s">
        <v>6622</v>
      </c>
      <c r="G693" s="25" t="s">
        <v>6790</v>
      </c>
      <c r="H693" s="25" t="s">
        <v>6653</v>
      </c>
      <c r="I693" s="25" t="s">
        <v>6654</v>
      </c>
      <c r="J693" s="25" t="s">
        <v>6761</v>
      </c>
      <c r="K693" s="25" t="s">
        <v>6798</v>
      </c>
    </row>
    <row r="694" spans="1:11" ht="20.100000000000001" customHeight="1" x14ac:dyDescent="0.25">
      <c r="A694" s="103"/>
      <c r="B694" s="25"/>
      <c r="C694" s="25"/>
      <c r="D694" s="25"/>
      <c r="E694" s="25">
        <v>3</v>
      </c>
      <c r="F694" s="25" t="s">
        <v>6623</v>
      </c>
      <c r="G694" s="25" t="s">
        <v>6791</v>
      </c>
      <c r="H694" s="25" t="s">
        <v>6655</v>
      </c>
      <c r="I694" s="25" t="s">
        <v>6656</v>
      </c>
      <c r="J694" s="25" t="s">
        <v>6762</v>
      </c>
      <c r="K694" s="25" t="s">
        <v>6657</v>
      </c>
    </row>
    <row r="695" spans="1:11" ht="20.100000000000001" customHeight="1" x14ac:dyDescent="0.25">
      <c r="A695" s="103"/>
      <c r="B695" s="25"/>
      <c r="C695" s="25"/>
      <c r="D695" s="25"/>
      <c r="E695" s="25">
        <v>4</v>
      </c>
      <c r="F695" s="25" t="s">
        <v>6624</v>
      </c>
      <c r="G695" s="25" t="s">
        <v>6792</v>
      </c>
      <c r="H695" s="25" t="s">
        <v>6658</v>
      </c>
      <c r="I695" s="25" t="s">
        <v>6799</v>
      </c>
      <c r="J695" s="25" t="s">
        <v>6659</v>
      </c>
      <c r="K695" s="25" t="s">
        <v>6660</v>
      </c>
    </row>
    <row r="696" spans="1:11" ht="20.100000000000001" customHeight="1" x14ac:dyDescent="0.25">
      <c r="A696" s="103"/>
      <c r="B696" s="25"/>
      <c r="C696" s="25"/>
      <c r="D696" s="25"/>
      <c r="E696" s="25">
        <v>5</v>
      </c>
      <c r="F696" s="25" t="s">
        <v>6625</v>
      </c>
      <c r="G696" s="25" t="s">
        <v>6793</v>
      </c>
      <c r="H696" s="25" t="s">
        <v>6661</v>
      </c>
      <c r="I696" s="25" t="s">
        <v>6662</v>
      </c>
      <c r="J696" s="25" t="s">
        <v>6763</v>
      </c>
      <c r="K696" s="25" t="s">
        <v>6663</v>
      </c>
    </row>
    <row r="697" spans="1:11" ht="20.100000000000001" customHeight="1" x14ac:dyDescent="0.25">
      <c r="A697" s="103"/>
      <c r="B697" s="25"/>
      <c r="C697" s="25"/>
      <c r="D697" s="25"/>
      <c r="E697" s="25">
        <v>6</v>
      </c>
      <c r="F697" s="25" t="s">
        <v>6626</v>
      </c>
      <c r="G697" s="25" t="s">
        <v>6794</v>
      </c>
      <c r="H697" s="25" t="s">
        <v>6664</v>
      </c>
      <c r="I697" s="25" t="s">
        <v>6665</v>
      </c>
      <c r="J697" s="25" t="s">
        <v>6764</v>
      </c>
      <c r="K697" s="25" t="s">
        <v>6666</v>
      </c>
    </row>
    <row r="698" spans="1:11" ht="20.100000000000001" customHeight="1" x14ac:dyDescent="0.25">
      <c r="A698" s="103"/>
      <c r="B698" s="25"/>
      <c r="C698" s="25"/>
      <c r="D698" s="25"/>
      <c r="E698" s="25">
        <v>7</v>
      </c>
      <c r="F698" s="25" t="s">
        <v>6627</v>
      </c>
      <c r="G698" s="25" t="s">
        <v>6795</v>
      </c>
      <c r="H698" s="25" t="s">
        <v>6667</v>
      </c>
      <c r="I698" s="25" t="s">
        <v>6668</v>
      </c>
      <c r="J698" s="25" t="s">
        <v>6765</v>
      </c>
      <c r="K698" s="25" t="s">
        <v>6669</v>
      </c>
    </row>
    <row r="699" spans="1:11" ht="20.100000000000001" customHeight="1" x14ac:dyDescent="0.25">
      <c r="A699" s="103"/>
      <c r="B699" s="25"/>
      <c r="C699" s="25"/>
      <c r="D699" s="25"/>
      <c r="E699" s="25">
        <v>8</v>
      </c>
      <c r="F699" s="25" t="s">
        <v>6628</v>
      </c>
      <c r="G699" s="25" t="s">
        <v>6796</v>
      </c>
      <c r="H699" s="25" t="s">
        <v>6670</v>
      </c>
      <c r="I699" s="25" t="s">
        <v>6671</v>
      </c>
      <c r="J699" s="25" t="s">
        <v>6766</v>
      </c>
      <c r="K699" s="25" t="s">
        <v>6672</v>
      </c>
    </row>
    <row r="700" spans="1:11" ht="20.100000000000001" customHeight="1" x14ac:dyDescent="0.25">
      <c r="A700" s="103"/>
      <c r="B700" s="25"/>
      <c r="C700" s="25"/>
      <c r="D700" s="25"/>
      <c r="E700" s="25">
        <v>9</v>
      </c>
      <c r="F700" s="25" t="s">
        <v>6842</v>
      </c>
      <c r="G700" s="25" t="s">
        <v>6797</v>
      </c>
      <c r="H700" s="25" t="s">
        <v>6673</v>
      </c>
      <c r="I700" s="25" t="s">
        <v>6674</v>
      </c>
      <c r="J700" s="25" t="s">
        <v>6767</v>
      </c>
      <c r="K700" s="25" t="s">
        <v>6675</v>
      </c>
    </row>
    <row r="701" spans="1:11" ht="20.100000000000001" customHeight="1" x14ac:dyDescent="0.25">
      <c r="A701" s="103"/>
      <c r="B701" s="25"/>
      <c r="C701" s="25"/>
      <c r="D701" s="25"/>
      <c r="E701" s="25">
        <v>10</v>
      </c>
      <c r="F701" s="25" t="s">
        <v>6629</v>
      </c>
      <c r="G701" s="25" t="s">
        <v>6676</v>
      </c>
      <c r="H701" s="25" t="s">
        <v>6677</v>
      </c>
      <c r="I701" s="25" t="s">
        <v>6678</v>
      </c>
      <c r="J701" s="25" t="s">
        <v>6768</v>
      </c>
      <c r="K701" s="25" t="s">
        <v>6679</v>
      </c>
    </row>
    <row r="702" spans="1:11" ht="20.100000000000001" customHeight="1" x14ac:dyDescent="0.25">
      <c r="A702" s="103"/>
      <c r="B702" s="25"/>
      <c r="C702" s="25"/>
      <c r="D702" s="25"/>
      <c r="E702" s="25">
        <v>11</v>
      </c>
      <c r="F702" s="25" t="s">
        <v>6630</v>
      </c>
      <c r="G702" s="25" t="s">
        <v>6680</v>
      </c>
      <c r="H702" s="25" t="s">
        <v>6681</v>
      </c>
      <c r="I702" s="25" t="s">
        <v>6682</v>
      </c>
      <c r="J702" s="25" t="s">
        <v>6769</v>
      </c>
      <c r="K702" s="25" t="s">
        <v>6683</v>
      </c>
    </row>
    <row r="703" spans="1:11" ht="20.100000000000001" customHeight="1" x14ac:dyDescent="0.25">
      <c r="A703" s="103"/>
      <c r="B703" s="25"/>
      <c r="C703" s="25"/>
      <c r="D703" s="25"/>
      <c r="E703" s="25">
        <v>12</v>
      </c>
      <c r="F703" s="25" t="s">
        <v>6631</v>
      </c>
      <c r="G703" s="25" t="s">
        <v>6684</v>
      </c>
      <c r="H703" s="25" t="s">
        <v>6685</v>
      </c>
      <c r="I703" s="25" t="s">
        <v>6686</v>
      </c>
      <c r="J703" s="25" t="s">
        <v>6770</v>
      </c>
      <c r="K703" s="25" t="s">
        <v>6687</v>
      </c>
    </row>
    <row r="704" spans="1:11" ht="20.100000000000001" customHeight="1" x14ac:dyDescent="0.25">
      <c r="A704" s="103"/>
      <c r="B704" s="25"/>
      <c r="C704" s="25"/>
      <c r="D704" s="25"/>
      <c r="E704" s="25">
        <v>13</v>
      </c>
      <c r="F704" s="25" t="s">
        <v>6632</v>
      </c>
      <c r="G704" s="25" t="s">
        <v>6688</v>
      </c>
      <c r="H704" s="25" t="s">
        <v>6689</v>
      </c>
      <c r="I704" s="25" t="s">
        <v>6690</v>
      </c>
      <c r="J704" s="25" t="s">
        <v>6771</v>
      </c>
      <c r="K704" s="25" t="s">
        <v>6691</v>
      </c>
    </row>
    <row r="705" spans="1:11" ht="20.100000000000001" customHeight="1" x14ac:dyDescent="0.25">
      <c r="A705" s="103"/>
      <c r="B705" s="25"/>
      <c r="C705" s="25"/>
      <c r="D705" s="25"/>
      <c r="E705" s="25">
        <v>14</v>
      </c>
      <c r="F705" s="25" t="s">
        <v>6633</v>
      </c>
      <c r="G705" s="25" t="s">
        <v>6692</v>
      </c>
      <c r="H705" s="25" t="s">
        <v>6693</v>
      </c>
      <c r="I705" s="25" t="s">
        <v>6694</v>
      </c>
      <c r="J705" s="25" t="s">
        <v>6772</v>
      </c>
      <c r="K705" s="25" t="s">
        <v>6695</v>
      </c>
    </row>
    <row r="706" spans="1:11" ht="20.100000000000001" customHeight="1" x14ac:dyDescent="0.25">
      <c r="A706" s="103"/>
      <c r="B706" s="25"/>
      <c r="C706" s="25"/>
      <c r="D706" s="25"/>
      <c r="E706" s="25">
        <v>15</v>
      </c>
      <c r="F706" s="25" t="s">
        <v>6634</v>
      </c>
      <c r="G706" s="25" t="s">
        <v>6696</v>
      </c>
      <c r="H706" s="25" t="s">
        <v>6697</v>
      </c>
      <c r="I706" s="25" t="s">
        <v>6698</v>
      </c>
      <c r="J706" s="25" t="s">
        <v>6773</v>
      </c>
      <c r="K706" s="25" t="s">
        <v>6699</v>
      </c>
    </row>
    <row r="707" spans="1:11" ht="20.100000000000001" customHeight="1" x14ac:dyDescent="0.25">
      <c r="A707" s="103"/>
      <c r="B707" s="25"/>
      <c r="C707" s="25"/>
      <c r="D707" s="25"/>
      <c r="E707" s="25">
        <v>16</v>
      </c>
      <c r="F707" s="25" t="s">
        <v>6635</v>
      </c>
      <c r="G707" s="25" t="s">
        <v>6700</v>
      </c>
      <c r="H707" s="25" t="s">
        <v>6701</v>
      </c>
      <c r="I707" s="25" t="s">
        <v>6702</v>
      </c>
      <c r="J707" s="25" t="s">
        <v>6774</v>
      </c>
      <c r="K707" s="25" t="s">
        <v>6703</v>
      </c>
    </row>
    <row r="708" spans="1:11" ht="20.100000000000001" customHeight="1" x14ac:dyDescent="0.25">
      <c r="A708" s="103"/>
      <c r="B708" s="25"/>
      <c r="C708" s="25"/>
      <c r="D708" s="25"/>
      <c r="E708" s="25">
        <v>17</v>
      </c>
      <c r="F708" s="25" t="s">
        <v>6636</v>
      </c>
      <c r="G708" s="25" t="s">
        <v>6704</v>
      </c>
      <c r="H708" s="25" t="s">
        <v>6705</v>
      </c>
      <c r="I708" s="25" t="s">
        <v>6706</v>
      </c>
      <c r="J708" s="25" t="s">
        <v>6775</v>
      </c>
      <c r="K708" s="25" t="s">
        <v>6707</v>
      </c>
    </row>
    <row r="709" spans="1:11" ht="20.100000000000001" customHeight="1" x14ac:dyDescent="0.25">
      <c r="A709" s="103"/>
      <c r="B709" s="25"/>
      <c r="C709" s="25"/>
      <c r="D709" s="25"/>
      <c r="E709" s="25">
        <v>18</v>
      </c>
      <c r="F709" s="25" t="s">
        <v>6637</v>
      </c>
      <c r="G709" s="25" t="s">
        <v>6708</v>
      </c>
      <c r="H709" s="25" t="s">
        <v>6709</v>
      </c>
      <c r="I709" s="25" t="s">
        <v>6710</v>
      </c>
      <c r="J709" s="25" t="s">
        <v>6776</v>
      </c>
      <c r="K709" s="25" t="s">
        <v>6711</v>
      </c>
    </row>
    <row r="710" spans="1:11" ht="20.100000000000001" customHeight="1" x14ac:dyDescent="0.25">
      <c r="A710" s="103"/>
      <c r="B710" s="25"/>
      <c r="C710" s="25"/>
      <c r="D710" s="25"/>
      <c r="E710" s="25">
        <v>19</v>
      </c>
      <c r="F710" s="25" t="s">
        <v>6638</v>
      </c>
      <c r="G710" s="25" t="s">
        <v>6712</v>
      </c>
      <c r="H710" s="25" t="s">
        <v>6713</v>
      </c>
      <c r="I710" s="25" t="s">
        <v>6714</v>
      </c>
      <c r="J710" s="25" t="s">
        <v>6777</v>
      </c>
      <c r="K710" s="25" t="s">
        <v>6715</v>
      </c>
    </row>
    <row r="711" spans="1:11" ht="20.100000000000001" customHeight="1" x14ac:dyDescent="0.25">
      <c r="A711" s="103"/>
      <c r="B711" s="25"/>
      <c r="C711" s="25"/>
      <c r="D711" s="25"/>
      <c r="E711" s="25">
        <v>20</v>
      </c>
      <c r="F711" s="25" t="s">
        <v>6639</v>
      </c>
      <c r="G711" s="25" t="s">
        <v>6716</v>
      </c>
      <c r="H711" s="25" t="s">
        <v>6717</v>
      </c>
      <c r="I711" s="25" t="s">
        <v>6718</v>
      </c>
      <c r="J711" s="25" t="s">
        <v>6778</v>
      </c>
      <c r="K711" s="25" t="s">
        <v>6719</v>
      </c>
    </row>
    <row r="712" spans="1:11" ht="20.100000000000001" customHeight="1" x14ac:dyDescent="0.25">
      <c r="A712" s="103"/>
      <c r="B712" s="25"/>
      <c r="C712" s="25"/>
      <c r="D712" s="25"/>
      <c r="E712" s="25">
        <v>21</v>
      </c>
      <c r="F712" s="25" t="s">
        <v>6640</v>
      </c>
      <c r="G712" s="25" t="s">
        <v>6720</v>
      </c>
      <c r="H712" s="25" t="s">
        <v>6721</v>
      </c>
      <c r="I712" s="25" t="s">
        <v>6722</v>
      </c>
      <c r="J712" s="25" t="s">
        <v>6779</v>
      </c>
      <c r="K712" s="25" t="s">
        <v>6723</v>
      </c>
    </row>
    <row r="713" spans="1:11" ht="20.100000000000001" customHeight="1" x14ac:dyDescent="0.25">
      <c r="A713" s="103"/>
      <c r="B713" s="25"/>
      <c r="C713" s="25"/>
      <c r="D713" s="25"/>
      <c r="E713" s="25">
        <v>22</v>
      </c>
      <c r="F713" s="25" t="s">
        <v>6641</v>
      </c>
      <c r="G713" s="25" t="s">
        <v>6724</v>
      </c>
      <c r="H713" s="25" t="s">
        <v>6725</v>
      </c>
      <c r="I713" s="25" t="s">
        <v>6726</v>
      </c>
      <c r="J713" s="25" t="s">
        <v>6780</v>
      </c>
      <c r="K713" s="25" t="s">
        <v>6727</v>
      </c>
    </row>
    <row r="714" spans="1:11" ht="20.100000000000001" customHeight="1" x14ac:dyDescent="0.25">
      <c r="A714" s="103"/>
      <c r="B714" s="25"/>
      <c r="C714" s="25"/>
      <c r="D714" s="25"/>
      <c r="E714" s="25">
        <v>23</v>
      </c>
      <c r="F714" s="25" t="s">
        <v>6642</v>
      </c>
      <c r="G714" s="25" t="s">
        <v>6728</v>
      </c>
      <c r="H714" s="25" t="s">
        <v>6729</v>
      </c>
      <c r="I714" s="25" t="s">
        <v>6730</v>
      </c>
      <c r="J714" s="25" t="s">
        <v>6781</v>
      </c>
      <c r="K714" s="25" t="s">
        <v>6731</v>
      </c>
    </row>
    <row r="715" spans="1:11" ht="20.100000000000001" customHeight="1" x14ac:dyDescent="0.25">
      <c r="A715" s="103"/>
      <c r="B715" s="25"/>
      <c r="C715" s="25"/>
      <c r="D715" s="25"/>
      <c r="E715" s="25">
        <v>24</v>
      </c>
      <c r="F715" s="25" t="s">
        <v>6643</v>
      </c>
      <c r="G715" s="25" t="s">
        <v>6732</v>
      </c>
      <c r="H715" s="25" t="s">
        <v>6733</v>
      </c>
      <c r="I715" s="25" t="s">
        <v>6734</v>
      </c>
      <c r="J715" s="25" t="s">
        <v>6782</v>
      </c>
      <c r="K715" s="25" t="s">
        <v>6735</v>
      </c>
    </row>
    <row r="716" spans="1:11" ht="20.100000000000001" customHeight="1" x14ac:dyDescent="0.25">
      <c r="A716" s="103"/>
      <c r="B716" s="25"/>
      <c r="C716" s="25"/>
      <c r="D716" s="25"/>
      <c r="E716" s="25">
        <v>25</v>
      </c>
      <c r="F716" s="25" t="s">
        <v>6644</v>
      </c>
      <c r="G716" s="25" t="s">
        <v>6736</v>
      </c>
      <c r="H716" s="25" t="s">
        <v>6737</v>
      </c>
      <c r="I716" s="25" t="s">
        <v>6738</v>
      </c>
      <c r="J716" s="25" t="s">
        <v>6783</v>
      </c>
      <c r="K716" s="25" t="s">
        <v>6739</v>
      </c>
    </row>
    <row r="717" spans="1:11" ht="20.100000000000001" customHeight="1" x14ac:dyDescent="0.25">
      <c r="A717" s="103"/>
      <c r="B717" s="25"/>
      <c r="C717" s="25"/>
      <c r="D717" s="25"/>
      <c r="E717" s="25">
        <v>26</v>
      </c>
      <c r="F717" s="25" t="s">
        <v>6645</v>
      </c>
      <c r="G717" s="25" t="s">
        <v>6740</v>
      </c>
      <c r="H717" s="25" t="s">
        <v>6741</v>
      </c>
      <c r="I717" s="25" t="s">
        <v>6742</v>
      </c>
      <c r="J717" s="25" t="s">
        <v>6784</v>
      </c>
      <c r="K717" s="25" t="s">
        <v>6743</v>
      </c>
    </row>
    <row r="718" spans="1:11" ht="20.100000000000001" customHeight="1" x14ac:dyDescent="0.25">
      <c r="A718" s="103"/>
      <c r="B718" s="25"/>
      <c r="C718" s="25"/>
      <c r="D718" s="25"/>
      <c r="E718" s="25">
        <v>27</v>
      </c>
      <c r="F718" s="25" t="s">
        <v>6646</v>
      </c>
      <c r="G718" s="25" t="s">
        <v>6744</v>
      </c>
      <c r="H718" s="25" t="s">
        <v>6745</v>
      </c>
      <c r="I718" s="25" t="s">
        <v>6746</v>
      </c>
      <c r="J718" s="25" t="s">
        <v>6785</v>
      </c>
      <c r="K718" s="25" t="s">
        <v>6747</v>
      </c>
    </row>
    <row r="719" spans="1:11" ht="20.100000000000001" customHeight="1" x14ac:dyDescent="0.25">
      <c r="A719" s="103"/>
      <c r="B719" s="25"/>
      <c r="C719" s="25"/>
      <c r="D719" s="25"/>
      <c r="E719" s="25">
        <v>28</v>
      </c>
      <c r="F719" s="25" t="s">
        <v>6647</v>
      </c>
      <c r="G719" s="25" t="s">
        <v>6748</v>
      </c>
      <c r="H719" s="25" t="s">
        <v>6749</v>
      </c>
      <c r="I719" s="25" t="s">
        <v>6750</v>
      </c>
      <c r="J719" s="25" t="s">
        <v>6786</v>
      </c>
      <c r="K719" s="25" t="s">
        <v>6751</v>
      </c>
    </row>
    <row r="720" spans="1:11" ht="20.100000000000001" customHeight="1" x14ac:dyDescent="0.25">
      <c r="A720" s="103"/>
      <c r="B720" s="25"/>
      <c r="C720" s="25"/>
      <c r="D720" s="25"/>
      <c r="E720" s="25">
        <v>29</v>
      </c>
      <c r="F720" s="25" t="s">
        <v>6648</v>
      </c>
      <c r="G720" s="25" t="s">
        <v>6752</v>
      </c>
      <c r="H720" s="25" t="s">
        <v>6753</v>
      </c>
      <c r="I720" s="25" t="s">
        <v>6754</v>
      </c>
      <c r="J720" s="25" t="s">
        <v>6787</v>
      </c>
      <c r="K720" s="25" t="s">
        <v>6755</v>
      </c>
    </row>
    <row r="721" spans="1:11" ht="20.100000000000001" customHeight="1" x14ac:dyDescent="0.25">
      <c r="A721" s="103"/>
      <c r="B721" s="25"/>
      <c r="C721" s="25"/>
      <c r="D721" s="25"/>
      <c r="E721" s="25">
        <v>30</v>
      </c>
      <c r="F721" s="25" t="s">
        <v>6649</v>
      </c>
      <c r="G721" s="25" t="s">
        <v>6756</v>
      </c>
      <c r="H721" s="25" t="s">
        <v>6757</v>
      </c>
      <c r="I721" s="25" t="s">
        <v>6758</v>
      </c>
      <c r="J721" s="25" t="s">
        <v>6788</v>
      </c>
      <c r="K721" s="25" t="s">
        <v>6759</v>
      </c>
    </row>
    <row r="722" spans="1:11" x14ac:dyDescent="0.25">
      <c r="A722" s="114"/>
      <c r="B722" s="96"/>
      <c r="C722" s="96">
        <v>202</v>
      </c>
      <c r="D722" s="96" t="s">
        <v>7570</v>
      </c>
      <c r="E722" s="96">
        <v>1</v>
      </c>
      <c r="F722" s="115" t="s">
        <v>7571</v>
      </c>
      <c r="G722" s="115" t="s">
        <v>7572</v>
      </c>
      <c r="H722" s="115" t="s">
        <v>7573</v>
      </c>
      <c r="I722" s="115" t="s">
        <v>7574</v>
      </c>
      <c r="J722" s="115" t="s">
        <v>7575</v>
      </c>
      <c r="K722" s="115" t="s">
        <v>7576</v>
      </c>
    </row>
    <row r="723" spans="1:11" ht="30" x14ac:dyDescent="0.25">
      <c r="A723" s="114"/>
      <c r="B723" s="96"/>
      <c r="C723" s="96"/>
      <c r="D723" s="96" t="s">
        <v>7577</v>
      </c>
      <c r="E723" s="96">
        <v>2</v>
      </c>
      <c r="F723" s="115" t="s">
        <v>7578</v>
      </c>
      <c r="G723" s="115" t="s">
        <v>7579</v>
      </c>
      <c r="H723" s="115" t="s">
        <v>7580</v>
      </c>
      <c r="I723" s="115" t="s">
        <v>7581</v>
      </c>
      <c r="J723" s="115" t="s">
        <v>7582</v>
      </c>
      <c r="K723" s="115" t="s">
        <v>7583</v>
      </c>
    </row>
    <row r="724" spans="1:11" x14ac:dyDescent="0.25">
      <c r="A724" s="114"/>
      <c r="B724" s="96"/>
      <c r="C724" s="96"/>
      <c r="D724" s="96"/>
      <c r="E724" s="96">
        <v>3</v>
      </c>
      <c r="F724" s="115" t="s">
        <v>7584</v>
      </c>
      <c r="G724" s="115" t="s">
        <v>7585</v>
      </c>
      <c r="H724" s="115" t="s">
        <v>7586</v>
      </c>
      <c r="I724" s="115" t="s">
        <v>7587</v>
      </c>
      <c r="J724" s="115" t="s">
        <v>7588</v>
      </c>
      <c r="K724" s="115" t="s">
        <v>7589</v>
      </c>
    </row>
    <row r="725" spans="1:11" x14ac:dyDescent="0.25">
      <c r="A725" s="114"/>
      <c r="B725" s="96"/>
      <c r="C725" s="96"/>
      <c r="D725" s="96"/>
      <c r="E725" s="96">
        <v>4</v>
      </c>
      <c r="F725" s="115" t="s">
        <v>7590</v>
      </c>
      <c r="G725" s="115" t="s">
        <v>7591</v>
      </c>
      <c r="H725" s="115" t="s">
        <v>7592</v>
      </c>
      <c r="I725" s="115" t="s">
        <v>7593</v>
      </c>
      <c r="J725" s="115" t="s">
        <v>7594</v>
      </c>
      <c r="K725" s="115" t="s">
        <v>7595</v>
      </c>
    </row>
    <row r="726" spans="1:11" x14ac:dyDescent="0.25">
      <c r="A726" s="114"/>
      <c r="B726" s="96"/>
      <c r="C726" s="96"/>
      <c r="D726" s="96"/>
      <c r="E726" s="96">
        <v>5</v>
      </c>
      <c r="F726" s="115" t="s">
        <v>7596</v>
      </c>
      <c r="G726" s="115" t="s">
        <v>7597</v>
      </c>
      <c r="H726" s="115" t="s">
        <v>7598</v>
      </c>
      <c r="I726" s="115" t="s">
        <v>7599</v>
      </c>
      <c r="J726" s="115" t="s">
        <v>7600</v>
      </c>
      <c r="K726" s="115" t="s">
        <v>7601</v>
      </c>
    </row>
    <row r="727" spans="1:11" x14ac:dyDescent="0.25">
      <c r="A727" s="114"/>
      <c r="B727" s="96"/>
      <c r="C727" s="96"/>
      <c r="D727" s="96"/>
      <c r="E727" s="96">
        <v>6</v>
      </c>
      <c r="F727" s="115" t="s">
        <v>7602</v>
      </c>
      <c r="G727" s="115" t="s">
        <v>7603</v>
      </c>
      <c r="H727" s="115" t="s">
        <v>7604</v>
      </c>
      <c r="I727" s="115" t="s">
        <v>7605</v>
      </c>
      <c r="J727" s="115" t="s">
        <v>7606</v>
      </c>
      <c r="K727" s="115" t="s">
        <v>7607</v>
      </c>
    </row>
    <row r="728" spans="1:11" x14ac:dyDescent="0.25">
      <c r="A728" s="114"/>
      <c r="B728" s="96"/>
      <c r="C728" s="96"/>
      <c r="D728" s="96"/>
      <c r="E728" s="96">
        <v>7</v>
      </c>
      <c r="F728" s="115" t="s">
        <v>7608</v>
      </c>
      <c r="G728" s="115" t="s">
        <v>7609</v>
      </c>
      <c r="H728" s="115" t="s">
        <v>7610</v>
      </c>
      <c r="I728" s="115" t="s">
        <v>7611</v>
      </c>
      <c r="J728" s="115" t="s">
        <v>7612</v>
      </c>
      <c r="K728" s="115" t="s">
        <v>7613</v>
      </c>
    </row>
    <row r="729" spans="1:11" x14ac:dyDescent="0.25">
      <c r="A729" s="114"/>
      <c r="B729" s="96"/>
      <c r="C729" s="96"/>
      <c r="D729" s="96"/>
      <c r="E729" s="96">
        <v>8</v>
      </c>
      <c r="F729" s="115" t="s">
        <v>7614</v>
      </c>
      <c r="G729" s="115" t="s">
        <v>7615</v>
      </c>
      <c r="H729" s="115" t="s">
        <v>7616</v>
      </c>
      <c r="I729" s="115" t="s">
        <v>7617</v>
      </c>
      <c r="J729" s="115" t="s">
        <v>7618</v>
      </c>
      <c r="K729" s="115" t="s">
        <v>7619</v>
      </c>
    </row>
    <row r="730" spans="1:11" x14ac:dyDescent="0.25">
      <c r="A730" s="114"/>
      <c r="B730" s="96"/>
      <c r="C730" s="96"/>
      <c r="D730" s="96"/>
      <c r="E730" s="96">
        <v>9</v>
      </c>
      <c r="F730" s="115" t="s">
        <v>7620</v>
      </c>
      <c r="G730" s="115" t="s">
        <v>7621</v>
      </c>
      <c r="H730" s="115" t="s">
        <v>7622</v>
      </c>
      <c r="I730" s="115" t="s">
        <v>7623</v>
      </c>
      <c r="J730" s="115" t="s">
        <v>7624</v>
      </c>
      <c r="K730" s="115" t="s">
        <v>7625</v>
      </c>
    </row>
    <row r="731" spans="1:11" x14ac:dyDescent="0.25">
      <c r="A731" s="114"/>
      <c r="B731" s="96"/>
      <c r="C731" s="96"/>
      <c r="D731" s="96"/>
      <c r="E731" s="96">
        <v>10</v>
      </c>
      <c r="F731" s="115" t="s">
        <v>7626</v>
      </c>
      <c r="G731" s="115" t="s">
        <v>7627</v>
      </c>
      <c r="H731" s="115" t="s">
        <v>7628</v>
      </c>
      <c r="I731" s="115" t="s">
        <v>7629</v>
      </c>
      <c r="J731" s="115" t="s">
        <v>7630</v>
      </c>
      <c r="K731" s="115" t="s">
        <v>7631</v>
      </c>
    </row>
    <row r="732" spans="1:11" x14ac:dyDescent="0.25">
      <c r="A732" s="114"/>
      <c r="B732" s="96"/>
      <c r="C732" s="96"/>
      <c r="D732" s="96"/>
      <c r="E732" s="96">
        <v>11</v>
      </c>
      <c r="F732" s="115" t="s">
        <v>7632</v>
      </c>
      <c r="G732" s="115" t="s">
        <v>7633</v>
      </c>
      <c r="H732" s="115" t="s">
        <v>7634</v>
      </c>
      <c r="I732" s="115" t="s">
        <v>7635</v>
      </c>
      <c r="J732" s="115" t="s">
        <v>7636</v>
      </c>
      <c r="K732" s="115" t="s">
        <v>7637</v>
      </c>
    </row>
    <row r="733" spans="1:11" x14ac:dyDescent="0.25">
      <c r="A733" s="114"/>
      <c r="B733" s="96"/>
      <c r="C733" s="96"/>
      <c r="D733" s="96"/>
      <c r="E733" s="96">
        <v>12</v>
      </c>
      <c r="F733" s="115" t="s">
        <v>7638</v>
      </c>
      <c r="G733" s="115" t="s">
        <v>7639</v>
      </c>
      <c r="H733" s="115" t="s">
        <v>7640</v>
      </c>
      <c r="I733" s="115" t="s">
        <v>7641</v>
      </c>
      <c r="J733" s="115" t="s">
        <v>7642</v>
      </c>
      <c r="K733" s="115" t="s">
        <v>7643</v>
      </c>
    </row>
    <row r="734" spans="1:11" x14ac:dyDescent="0.25">
      <c r="A734" s="114"/>
      <c r="B734" s="96"/>
      <c r="C734" s="96"/>
      <c r="D734" s="96"/>
      <c r="E734" s="96">
        <v>13</v>
      </c>
      <c r="F734" s="115" t="s">
        <v>7644</v>
      </c>
      <c r="G734" s="115" t="s">
        <v>7645</v>
      </c>
      <c r="H734" s="115" t="s">
        <v>7646</v>
      </c>
      <c r="I734" s="115" t="s">
        <v>7647</v>
      </c>
      <c r="J734" s="115" t="s">
        <v>7648</v>
      </c>
      <c r="K734" s="115" t="s">
        <v>7649</v>
      </c>
    </row>
    <row r="735" spans="1:11" x14ac:dyDescent="0.25">
      <c r="A735" s="114"/>
      <c r="B735" s="96"/>
      <c r="C735" s="96"/>
      <c r="D735" s="96"/>
      <c r="E735" s="96">
        <v>14</v>
      </c>
      <c r="F735" s="115" t="s">
        <v>7650</v>
      </c>
      <c r="G735" s="115" t="s">
        <v>7651</v>
      </c>
      <c r="H735" s="115" t="s">
        <v>7652</v>
      </c>
      <c r="I735" s="115" t="s">
        <v>7653</v>
      </c>
      <c r="J735" s="115" t="s">
        <v>7654</v>
      </c>
      <c r="K735" s="115" t="s">
        <v>7655</v>
      </c>
    </row>
    <row r="736" spans="1:11" x14ac:dyDescent="0.25">
      <c r="A736" s="114"/>
      <c r="B736" s="96"/>
      <c r="C736" s="96"/>
      <c r="D736" s="96"/>
      <c r="E736" s="96">
        <v>15</v>
      </c>
      <c r="F736" s="115" t="s">
        <v>7656</v>
      </c>
      <c r="G736" s="115" t="s">
        <v>7657</v>
      </c>
      <c r="H736" s="115" t="s">
        <v>7658</v>
      </c>
      <c r="I736" s="115" t="s">
        <v>7659</v>
      </c>
      <c r="J736" s="115" t="s">
        <v>7660</v>
      </c>
      <c r="K736" s="115" t="s">
        <v>7661</v>
      </c>
    </row>
    <row r="737" spans="1:11" x14ac:dyDescent="0.25">
      <c r="A737" s="114"/>
      <c r="B737" s="96"/>
      <c r="C737" s="96"/>
      <c r="D737" s="96"/>
      <c r="E737" s="96">
        <v>16</v>
      </c>
      <c r="F737" s="115" t="s">
        <v>7662</v>
      </c>
      <c r="G737" s="115" t="s">
        <v>7663</v>
      </c>
      <c r="H737" s="115" t="s">
        <v>7664</v>
      </c>
      <c r="I737" s="115" t="s">
        <v>7665</v>
      </c>
      <c r="J737" s="115" t="s">
        <v>7666</v>
      </c>
      <c r="K737" s="115" t="s">
        <v>7667</v>
      </c>
    </row>
    <row r="738" spans="1:11" x14ac:dyDescent="0.25">
      <c r="A738" s="114"/>
      <c r="B738" s="96"/>
      <c r="C738" s="96"/>
      <c r="D738" s="96"/>
      <c r="E738" s="96">
        <v>17</v>
      </c>
      <c r="F738" s="115" t="s">
        <v>7668</v>
      </c>
      <c r="G738" s="115" t="s">
        <v>7669</v>
      </c>
      <c r="H738" s="115" t="s">
        <v>7670</v>
      </c>
      <c r="I738" s="115" t="s">
        <v>7671</v>
      </c>
      <c r="J738" s="115" t="s">
        <v>7672</v>
      </c>
      <c r="K738" s="115" t="s">
        <v>7673</v>
      </c>
    </row>
    <row r="739" spans="1:11" x14ac:dyDescent="0.25">
      <c r="A739" s="114"/>
      <c r="B739" s="96"/>
      <c r="C739" s="96"/>
      <c r="D739" s="96"/>
      <c r="E739" s="96">
        <v>18</v>
      </c>
      <c r="F739" s="115" t="s">
        <v>7674</v>
      </c>
      <c r="G739" s="115" t="s">
        <v>6708</v>
      </c>
      <c r="H739" s="115" t="s">
        <v>7675</v>
      </c>
      <c r="I739" s="115" t="s">
        <v>7676</v>
      </c>
      <c r="J739" s="115" t="s">
        <v>7677</v>
      </c>
      <c r="K739" s="115" t="s">
        <v>7678</v>
      </c>
    </row>
    <row r="740" spans="1:11" x14ac:dyDescent="0.25">
      <c r="A740" s="114"/>
      <c r="B740" s="96"/>
      <c r="C740" s="96"/>
      <c r="D740" s="96"/>
      <c r="E740" s="96">
        <v>19</v>
      </c>
      <c r="F740" s="115" t="s">
        <v>7679</v>
      </c>
      <c r="G740" s="115" t="s">
        <v>7680</v>
      </c>
      <c r="H740" s="115" t="s">
        <v>7681</v>
      </c>
      <c r="I740" s="115" t="s">
        <v>7682</v>
      </c>
      <c r="J740" s="115" t="s">
        <v>7683</v>
      </c>
      <c r="K740" s="115" t="s">
        <v>7684</v>
      </c>
    </row>
    <row r="741" spans="1:11" x14ac:dyDescent="0.25">
      <c r="A741" s="114"/>
      <c r="B741" s="96"/>
      <c r="C741" s="96"/>
      <c r="D741" s="96"/>
      <c r="E741" s="96">
        <v>20</v>
      </c>
      <c r="F741" s="115" t="s">
        <v>7685</v>
      </c>
      <c r="G741" s="115" t="s">
        <v>7686</v>
      </c>
      <c r="H741" s="115" t="s">
        <v>7687</v>
      </c>
      <c r="I741" s="115" t="s">
        <v>7688</v>
      </c>
      <c r="J741" s="115" t="s">
        <v>7689</v>
      </c>
      <c r="K741" s="115" t="s">
        <v>7690</v>
      </c>
    </row>
    <row r="742" spans="1:11" x14ac:dyDescent="0.25">
      <c r="A742" s="114"/>
      <c r="B742" s="96"/>
      <c r="C742" s="96"/>
      <c r="D742" s="96"/>
      <c r="E742" s="96">
        <v>21</v>
      </c>
      <c r="F742" s="115" t="s">
        <v>7691</v>
      </c>
      <c r="G742" s="115" t="s">
        <v>7692</v>
      </c>
      <c r="H742" s="115" t="s">
        <v>7693</v>
      </c>
      <c r="I742" s="115" t="s">
        <v>7694</v>
      </c>
      <c r="J742" s="115" t="s">
        <v>7695</v>
      </c>
      <c r="K742" s="115" t="s">
        <v>7696</v>
      </c>
    </row>
    <row r="743" spans="1:11" x14ac:dyDescent="0.25">
      <c r="A743" s="114"/>
      <c r="B743" s="96"/>
      <c r="C743" s="96"/>
      <c r="D743" s="96"/>
      <c r="E743" s="96">
        <v>22</v>
      </c>
      <c r="F743" s="115" t="s">
        <v>7697</v>
      </c>
      <c r="G743" s="115" t="s">
        <v>7698</v>
      </c>
      <c r="H743" s="115" t="s">
        <v>7699</v>
      </c>
      <c r="I743" s="115" t="s">
        <v>7700</v>
      </c>
      <c r="J743" s="115" t="s">
        <v>7701</v>
      </c>
      <c r="K743" s="115" t="s">
        <v>7702</v>
      </c>
    </row>
    <row r="744" spans="1:11" x14ac:dyDescent="0.25">
      <c r="A744" s="114"/>
      <c r="B744" s="96"/>
      <c r="C744" s="96"/>
      <c r="D744" s="96"/>
      <c r="E744" s="96">
        <v>23</v>
      </c>
      <c r="F744" s="115" t="s">
        <v>7703</v>
      </c>
      <c r="G744" s="115" t="s">
        <v>7704</v>
      </c>
      <c r="H744" s="115" t="s">
        <v>7705</v>
      </c>
      <c r="I744" s="115" t="s">
        <v>7706</v>
      </c>
      <c r="J744" s="115" t="s">
        <v>7707</v>
      </c>
      <c r="K744" s="115" t="s">
        <v>7708</v>
      </c>
    </row>
    <row r="745" spans="1:11" x14ac:dyDescent="0.25">
      <c r="A745" s="114"/>
      <c r="B745" s="96"/>
      <c r="C745" s="96"/>
      <c r="D745" s="96"/>
      <c r="E745" s="96">
        <v>24</v>
      </c>
      <c r="F745" s="115" t="s">
        <v>7709</v>
      </c>
      <c r="G745" s="115" t="s">
        <v>7710</v>
      </c>
      <c r="H745" s="115" t="s">
        <v>7711</v>
      </c>
      <c r="I745" s="115" t="s">
        <v>7712</v>
      </c>
      <c r="J745" s="115" t="s">
        <v>7713</v>
      </c>
      <c r="K745" s="115" t="s">
        <v>7714</v>
      </c>
    </row>
    <row r="746" spans="1:11" x14ac:dyDescent="0.25">
      <c r="A746" s="114"/>
      <c r="B746" s="96"/>
      <c r="C746" s="96"/>
      <c r="D746" s="96"/>
      <c r="E746" s="96">
        <v>25</v>
      </c>
      <c r="F746" s="115" t="s">
        <v>7715</v>
      </c>
      <c r="G746" s="115" t="s">
        <v>7716</v>
      </c>
      <c r="H746" s="115" t="s">
        <v>7717</v>
      </c>
      <c r="I746" s="115" t="s">
        <v>7718</v>
      </c>
      <c r="J746" s="115" t="s">
        <v>7719</v>
      </c>
      <c r="K746" s="115" t="s">
        <v>7720</v>
      </c>
    </row>
    <row r="747" spans="1:11" x14ac:dyDescent="0.25">
      <c r="A747" s="114"/>
      <c r="B747" s="96"/>
      <c r="C747" s="96"/>
      <c r="D747" s="96"/>
      <c r="E747" s="96">
        <v>26</v>
      </c>
      <c r="F747" s="115" t="s">
        <v>7721</v>
      </c>
      <c r="G747" s="115" t="s">
        <v>7722</v>
      </c>
      <c r="H747" s="115" t="s">
        <v>7723</v>
      </c>
      <c r="I747" s="115" t="s">
        <v>7724</v>
      </c>
      <c r="J747" s="115" t="s">
        <v>7725</v>
      </c>
      <c r="K747" s="115" t="s">
        <v>7726</v>
      </c>
    </row>
    <row r="748" spans="1:11" x14ac:dyDescent="0.25">
      <c r="A748" s="114"/>
      <c r="B748" s="96"/>
      <c r="C748" s="96"/>
      <c r="D748" s="96"/>
      <c r="E748" s="96">
        <v>27</v>
      </c>
      <c r="F748" s="115" t="s">
        <v>7727</v>
      </c>
      <c r="G748" s="115" t="s">
        <v>7728</v>
      </c>
      <c r="H748" s="115" t="s">
        <v>7729</v>
      </c>
      <c r="I748" s="115" t="s">
        <v>7730</v>
      </c>
      <c r="J748" s="115" t="s">
        <v>7731</v>
      </c>
      <c r="K748" s="115" t="s">
        <v>7732</v>
      </c>
    </row>
    <row r="749" spans="1:11" x14ac:dyDescent="0.25">
      <c r="A749" s="114"/>
      <c r="B749" s="96"/>
      <c r="C749" s="96"/>
      <c r="D749" s="96"/>
      <c r="E749" s="96">
        <v>28</v>
      </c>
      <c r="F749" s="115" t="s">
        <v>7733</v>
      </c>
      <c r="G749" s="115" t="s">
        <v>7734</v>
      </c>
      <c r="H749" s="115" t="s">
        <v>7735</v>
      </c>
      <c r="I749" s="115" t="s">
        <v>7736</v>
      </c>
      <c r="J749" s="115" t="s">
        <v>7737</v>
      </c>
      <c r="K749" s="115" t="s">
        <v>7738</v>
      </c>
    </row>
    <row r="750" spans="1:11" x14ac:dyDescent="0.25">
      <c r="A750" s="114"/>
      <c r="B750" s="96"/>
      <c r="C750" s="96"/>
      <c r="D750" s="96"/>
      <c r="E750" s="96">
        <v>29</v>
      </c>
      <c r="F750" s="115" t="s">
        <v>7739</v>
      </c>
      <c r="G750" s="115" t="s">
        <v>7740</v>
      </c>
      <c r="H750" s="115" t="s">
        <v>7741</v>
      </c>
      <c r="I750" s="115" t="s">
        <v>7742</v>
      </c>
      <c r="J750" s="115" t="s">
        <v>7743</v>
      </c>
      <c r="K750" s="115" t="s">
        <v>7744</v>
      </c>
    </row>
    <row r="751" spans="1:11" x14ac:dyDescent="0.25">
      <c r="A751" s="114"/>
      <c r="B751" s="96"/>
      <c r="C751" s="96"/>
      <c r="D751" s="96"/>
      <c r="E751" s="96">
        <v>30</v>
      </c>
      <c r="F751" s="115" t="s">
        <v>7745</v>
      </c>
      <c r="G751" s="115" t="s">
        <v>7746</v>
      </c>
      <c r="H751" s="115" t="s">
        <v>7747</v>
      </c>
      <c r="I751" s="115" t="s">
        <v>7748</v>
      </c>
      <c r="J751" s="115" t="s">
        <v>7749</v>
      </c>
      <c r="K751" s="115" t="s">
        <v>7750</v>
      </c>
    </row>
    <row r="752" spans="1:11" x14ac:dyDescent="0.25">
      <c r="A752" s="91"/>
      <c r="B752" s="91"/>
      <c r="C752" s="91"/>
      <c r="D752" s="91"/>
      <c r="E752" s="91"/>
      <c r="F752" s="91"/>
      <c r="G752" s="91"/>
      <c r="H752" s="91"/>
      <c r="I752" s="91"/>
      <c r="J752" s="91"/>
      <c r="K752" s="91"/>
    </row>
    <row r="753" spans="1:11" x14ac:dyDescent="0.25">
      <c r="A753" s="91"/>
      <c r="B753" s="91"/>
      <c r="C753" s="91"/>
      <c r="D753" s="91"/>
      <c r="E753" s="91"/>
      <c r="F753" s="91"/>
      <c r="G753" s="91"/>
      <c r="H753" s="91"/>
      <c r="I753" s="91"/>
      <c r="J753" s="91"/>
      <c r="K753" s="91"/>
    </row>
    <row r="754" spans="1:11" x14ac:dyDescent="0.25">
      <c r="A754" s="91"/>
      <c r="B754" s="91"/>
      <c r="C754" s="91"/>
      <c r="D754" s="91"/>
      <c r="E754" s="91"/>
      <c r="F754" s="91"/>
      <c r="G754" s="91"/>
      <c r="H754" s="91"/>
      <c r="I754" s="91"/>
      <c r="J754" s="91"/>
      <c r="K754" s="91"/>
    </row>
    <row r="755" spans="1:11" x14ac:dyDescent="0.25">
      <c r="A755" s="91"/>
      <c r="B755" s="91"/>
      <c r="C755" s="91"/>
      <c r="D755" s="91"/>
      <c r="E755" s="91"/>
      <c r="F755" s="91"/>
      <c r="G755" s="91"/>
      <c r="H755" s="91"/>
      <c r="I755" s="91"/>
      <c r="J755" s="91"/>
      <c r="K755" s="91"/>
    </row>
    <row r="756" spans="1:11" x14ac:dyDescent="0.25">
      <c r="A756" s="91"/>
      <c r="B756" s="91"/>
      <c r="C756" s="91"/>
      <c r="D756" s="91"/>
      <c r="E756" s="91"/>
      <c r="F756" s="91"/>
      <c r="G756" s="91"/>
      <c r="H756" s="91"/>
      <c r="I756" s="91"/>
      <c r="J756" s="91"/>
      <c r="K756" s="91"/>
    </row>
    <row r="757" spans="1:11" x14ac:dyDescent="0.25">
      <c r="A757" s="91"/>
      <c r="B757" s="91"/>
      <c r="C757" s="91"/>
      <c r="D757" s="91"/>
      <c r="E757" s="91"/>
      <c r="F757" s="91"/>
      <c r="G757" s="91"/>
      <c r="H757" s="91"/>
      <c r="I757" s="91"/>
      <c r="J757" s="91"/>
      <c r="K757" s="91"/>
    </row>
    <row r="758" spans="1:11" x14ac:dyDescent="0.25">
      <c r="A758" s="91"/>
      <c r="B758" s="91"/>
      <c r="C758" s="91"/>
      <c r="D758" s="91"/>
      <c r="E758" s="91"/>
      <c r="F758" s="91"/>
      <c r="G758" s="91"/>
      <c r="H758" s="91"/>
      <c r="I758" s="91"/>
      <c r="J758" s="91"/>
      <c r="K758" s="91"/>
    </row>
    <row r="759" spans="1:11" x14ac:dyDescent="0.25">
      <c r="A759" s="91"/>
      <c r="B759" s="91"/>
      <c r="C759" s="91"/>
      <c r="D759" s="91"/>
      <c r="E759" s="91"/>
      <c r="F759" s="91"/>
      <c r="G759" s="91"/>
      <c r="H759" s="91"/>
      <c r="I759" s="91"/>
      <c r="J759" s="91"/>
      <c r="K759" s="91"/>
    </row>
    <row r="760" spans="1:11" x14ac:dyDescent="0.25">
      <c r="A760" s="91"/>
      <c r="B760" s="91"/>
      <c r="C760" s="91"/>
      <c r="D760" s="91"/>
      <c r="E760" s="91"/>
      <c r="F760" s="91"/>
      <c r="G760" s="91"/>
      <c r="H760" s="91"/>
      <c r="I760" s="91"/>
      <c r="J760" s="91"/>
      <c r="K760" s="91"/>
    </row>
    <row r="761" spans="1:11" x14ac:dyDescent="0.25">
      <c r="A761" s="91"/>
      <c r="B761" s="91"/>
      <c r="C761" s="91"/>
      <c r="D761" s="91"/>
      <c r="E761" s="91"/>
      <c r="F761" s="91"/>
      <c r="G761" s="91"/>
      <c r="H761" s="91"/>
      <c r="I761" s="91"/>
      <c r="J761" s="91"/>
      <c r="K761" s="91"/>
    </row>
    <row r="762" spans="1:11" x14ac:dyDescent="0.25">
      <c r="A762" s="91"/>
      <c r="B762" s="91"/>
      <c r="C762" s="91"/>
      <c r="D762" s="91"/>
      <c r="E762" s="91"/>
      <c r="F762" s="91"/>
      <c r="G762" s="91"/>
      <c r="H762" s="91"/>
      <c r="I762" s="91"/>
      <c r="J762" s="91"/>
      <c r="K762" s="91"/>
    </row>
    <row r="763" spans="1:11" x14ac:dyDescent="0.25">
      <c r="A763" s="91"/>
      <c r="B763" s="91"/>
      <c r="C763" s="91"/>
      <c r="D763" s="91"/>
      <c r="E763" s="91"/>
      <c r="F763" s="91"/>
      <c r="G763" s="91"/>
      <c r="H763" s="91"/>
      <c r="I763" s="91"/>
      <c r="J763" s="91"/>
      <c r="K763" s="91"/>
    </row>
    <row r="764" spans="1:11" x14ac:dyDescent="0.25">
      <c r="A764" s="91"/>
      <c r="B764" s="91"/>
      <c r="C764" s="91"/>
      <c r="D764" s="91"/>
      <c r="E764" s="91"/>
      <c r="F764" s="91"/>
      <c r="G764" s="91"/>
      <c r="H764" s="91"/>
      <c r="I764" s="91"/>
      <c r="J764" s="91"/>
      <c r="K764" s="91"/>
    </row>
    <row r="765" spans="1:11" x14ac:dyDescent="0.25">
      <c r="A765" s="91"/>
      <c r="B765" s="91"/>
      <c r="C765" s="91"/>
      <c r="D765" s="91"/>
      <c r="E765" s="91"/>
      <c r="F765" s="91"/>
      <c r="G765" s="91"/>
      <c r="H765" s="91"/>
      <c r="I765" s="91"/>
      <c r="J765" s="91"/>
      <c r="K765" s="91"/>
    </row>
    <row r="766" spans="1:11" x14ac:dyDescent="0.25">
      <c r="A766" s="91"/>
      <c r="B766" s="91"/>
      <c r="C766" s="91"/>
      <c r="D766" s="91"/>
      <c r="E766" s="91"/>
      <c r="F766" s="91"/>
      <c r="G766" s="91"/>
      <c r="H766" s="91"/>
      <c r="I766" s="91"/>
      <c r="J766" s="91"/>
      <c r="K766" s="91"/>
    </row>
    <row r="767" spans="1:11" x14ac:dyDescent="0.25">
      <c r="A767" s="91"/>
      <c r="B767" s="91"/>
      <c r="C767" s="91"/>
      <c r="D767" s="91"/>
      <c r="E767" s="91"/>
      <c r="F767" s="91"/>
      <c r="G767" s="91"/>
      <c r="H767" s="91"/>
      <c r="I767" s="91"/>
      <c r="J767" s="91"/>
      <c r="K767" s="91"/>
    </row>
    <row r="768" spans="1:11" x14ac:dyDescent="0.25">
      <c r="A768" s="91"/>
      <c r="B768" s="91"/>
      <c r="C768" s="91"/>
      <c r="D768" s="91"/>
      <c r="E768" s="91"/>
      <c r="F768" s="91"/>
      <c r="G768" s="91"/>
      <c r="H768" s="91"/>
      <c r="I768" s="91"/>
      <c r="J768" s="91"/>
      <c r="K768" s="91"/>
    </row>
    <row r="769" spans="1:11" x14ac:dyDescent="0.25">
      <c r="A769" s="91"/>
      <c r="B769" s="91"/>
      <c r="C769" s="91"/>
      <c r="D769" s="91"/>
      <c r="E769" s="91"/>
      <c r="F769" s="91"/>
      <c r="G769" s="91"/>
      <c r="H769" s="91"/>
      <c r="I769" s="91"/>
      <c r="J769" s="91"/>
      <c r="K769" s="91"/>
    </row>
    <row r="770" spans="1:11" x14ac:dyDescent="0.25">
      <c r="A770" s="91"/>
      <c r="B770" s="91"/>
      <c r="C770" s="91"/>
      <c r="D770" s="91"/>
      <c r="E770" s="91"/>
      <c r="F770" s="91"/>
      <c r="G770" s="91"/>
      <c r="H770" s="91"/>
      <c r="I770" s="91"/>
      <c r="J770" s="91"/>
      <c r="K770" s="91"/>
    </row>
    <row r="771" spans="1:11" x14ac:dyDescent="0.25">
      <c r="A771" s="91"/>
      <c r="B771" s="91"/>
      <c r="C771" s="91"/>
      <c r="D771" s="91"/>
      <c r="E771" s="91"/>
      <c r="F771" s="91"/>
      <c r="G771" s="91"/>
      <c r="H771" s="91"/>
      <c r="I771" s="91"/>
      <c r="J771" s="91"/>
      <c r="K771" s="91"/>
    </row>
    <row r="772" spans="1:11" x14ac:dyDescent="0.25">
      <c r="A772" s="91"/>
      <c r="B772" s="91"/>
      <c r="C772" s="91"/>
      <c r="D772" s="91"/>
      <c r="E772" s="91"/>
      <c r="F772" s="91"/>
      <c r="G772" s="91"/>
      <c r="H772" s="91"/>
      <c r="I772" s="91"/>
      <c r="J772" s="91"/>
      <c r="K772" s="91"/>
    </row>
    <row r="773" spans="1:11" x14ac:dyDescent="0.25">
      <c r="A773" s="91"/>
      <c r="B773" s="91"/>
      <c r="C773" s="91"/>
      <c r="D773" s="91"/>
      <c r="E773" s="91"/>
      <c r="F773" s="91"/>
      <c r="G773" s="91"/>
      <c r="H773" s="91"/>
      <c r="I773" s="91"/>
      <c r="J773" s="91"/>
      <c r="K773" s="91"/>
    </row>
    <row r="774" spans="1:11" x14ac:dyDescent="0.25">
      <c r="A774" s="91"/>
      <c r="B774" s="91"/>
      <c r="C774" s="91"/>
      <c r="D774" s="91"/>
      <c r="E774" s="91"/>
      <c r="F774" s="91"/>
      <c r="G774" s="91"/>
      <c r="H774" s="91"/>
      <c r="I774" s="91"/>
      <c r="J774" s="91"/>
      <c r="K774" s="91"/>
    </row>
    <row r="775" spans="1:11" x14ac:dyDescent="0.25">
      <c r="A775" s="91"/>
      <c r="B775" s="91"/>
      <c r="C775" s="91"/>
      <c r="D775" s="91"/>
      <c r="E775" s="91"/>
      <c r="F775" s="91"/>
      <c r="G775" s="91"/>
      <c r="H775" s="91"/>
      <c r="I775" s="91"/>
      <c r="J775" s="91"/>
      <c r="K775" s="91"/>
    </row>
    <row r="776" spans="1:11" x14ac:dyDescent="0.25">
      <c r="A776" s="91"/>
      <c r="B776" s="91"/>
      <c r="C776" s="91"/>
      <c r="D776" s="91"/>
      <c r="E776" s="91"/>
      <c r="F776" s="91"/>
      <c r="G776" s="91"/>
      <c r="H776" s="91"/>
      <c r="I776" s="91"/>
      <c r="J776" s="91"/>
      <c r="K776" s="91"/>
    </row>
    <row r="777" spans="1:11" x14ac:dyDescent="0.25">
      <c r="A777" s="91"/>
      <c r="B777" s="91"/>
      <c r="C777" s="91"/>
      <c r="D777" s="91"/>
      <c r="E777" s="91"/>
      <c r="F777" s="91"/>
      <c r="G777" s="91"/>
      <c r="H777" s="91"/>
      <c r="I777" s="91"/>
      <c r="J777" s="91"/>
      <c r="K777" s="91"/>
    </row>
    <row r="778" spans="1:11" x14ac:dyDescent="0.25">
      <c r="A778" s="91"/>
      <c r="B778" s="91"/>
      <c r="C778" s="91"/>
      <c r="D778" s="91"/>
      <c r="E778" s="91"/>
      <c r="F778" s="91"/>
      <c r="G778" s="91"/>
      <c r="H778" s="91"/>
      <c r="I778" s="91"/>
      <c r="J778" s="91"/>
      <c r="K778" s="91"/>
    </row>
  </sheetData>
  <pageMargins left="0.7" right="0.7" top="0.75" bottom="0.75" header="0.3" footer="0.3"/>
  <pageSetup paperSize="9" orientation="portrait" horizontalDpi="200" verticalDpi="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425"/>
  <sheetViews>
    <sheetView topLeftCell="A133" zoomScaleNormal="100" workbookViewId="0">
      <selection activeCell="B154" sqref="B154"/>
    </sheetView>
  </sheetViews>
  <sheetFormatPr baseColWidth="10" defaultRowHeight="15" x14ac:dyDescent="0.25"/>
  <cols>
    <col min="1" max="1" width="43" customWidth="1"/>
    <col min="2" max="2" width="17.85546875" customWidth="1"/>
    <col min="3" max="3" width="5.28515625" customWidth="1"/>
    <col min="4" max="4" width="15.5703125" customWidth="1"/>
  </cols>
  <sheetData>
    <row r="1" spans="1:5" x14ac:dyDescent="0.25">
      <c r="A1" s="4" t="s">
        <v>272</v>
      </c>
      <c r="B1" s="5" t="s">
        <v>273</v>
      </c>
      <c r="D1" s="4" t="s">
        <v>270</v>
      </c>
    </row>
    <row r="2" spans="1:5" x14ac:dyDescent="0.25">
      <c r="A2" s="3" t="s">
        <v>522</v>
      </c>
      <c r="B2" s="6" t="s">
        <v>4880</v>
      </c>
      <c r="D2" s="98" t="s">
        <v>12</v>
      </c>
    </row>
    <row r="3" spans="1:5" x14ac:dyDescent="0.25">
      <c r="A3" s="3" t="s">
        <v>1224</v>
      </c>
      <c r="B3" s="6" t="s">
        <v>4881</v>
      </c>
      <c r="D3" s="98" t="s">
        <v>13</v>
      </c>
    </row>
    <row r="4" spans="1:5" x14ac:dyDescent="0.25">
      <c r="A4" s="3" t="s">
        <v>1363</v>
      </c>
      <c r="B4" s="6" t="s">
        <v>1364</v>
      </c>
      <c r="D4" s="98" t="s">
        <v>14</v>
      </c>
    </row>
    <row r="5" spans="1:5" x14ac:dyDescent="0.25">
      <c r="A5" s="3" t="s">
        <v>1250</v>
      </c>
      <c r="B5" s="6" t="s">
        <v>4882</v>
      </c>
      <c r="D5" s="98" t="s">
        <v>360</v>
      </c>
    </row>
    <row r="6" spans="1:5" x14ac:dyDescent="0.25">
      <c r="A6" s="3" t="s">
        <v>1251</v>
      </c>
      <c r="B6" s="6" t="s">
        <v>4883</v>
      </c>
      <c r="D6" s="4" t="s">
        <v>426</v>
      </c>
      <c r="E6" s="98">
        <v>75</v>
      </c>
    </row>
    <row r="7" spans="1:5" x14ac:dyDescent="0.25">
      <c r="A7" s="3" t="s">
        <v>1365</v>
      </c>
      <c r="B7" s="6" t="s">
        <v>1366</v>
      </c>
      <c r="D7" s="4" t="s">
        <v>427</v>
      </c>
      <c r="E7" t="s">
        <v>428</v>
      </c>
    </row>
    <row r="8" spans="1:5" x14ac:dyDescent="0.25">
      <c r="A8" s="3" t="s">
        <v>2909</v>
      </c>
      <c r="B8" s="6" t="s">
        <v>2910</v>
      </c>
      <c r="D8" s="4"/>
    </row>
    <row r="9" spans="1:5" x14ac:dyDescent="0.25">
      <c r="A9" s="3" t="s">
        <v>4623</v>
      </c>
      <c r="B9" s="6" t="s">
        <v>4626</v>
      </c>
      <c r="D9" s="4"/>
    </row>
    <row r="10" spans="1:5" x14ac:dyDescent="0.25">
      <c r="A10" s="3" t="s">
        <v>4624</v>
      </c>
      <c r="B10" s="6" t="s">
        <v>4627</v>
      </c>
      <c r="D10" s="4"/>
    </row>
    <row r="11" spans="1:5" x14ac:dyDescent="0.25">
      <c r="A11" s="3" t="s">
        <v>4625</v>
      </c>
      <c r="B11" s="6" t="s">
        <v>4628</v>
      </c>
      <c r="D11" s="4" t="s">
        <v>271</v>
      </c>
    </row>
    <row r="12" spans="1:5" x14ac:dyDescent="0.25">
      <c r="A12" s="3" t="s">
        <v>5616</v>
      </c>
      <c r="B12" s="6">
        <v>28696353</v>
      </c>
      <c r="D12" s="98" t="s">
        <v>268</v>
      </c>
    </row>
    <row r="13" spans="1:5" x14ac:dyDescent="0.25">
      <c r="A13" s="3" t="s">
        <v>4884</v>
      </c>
      <c r="B13" s="6" t="s">
        <v>4885</v>
      </c>
      <c r="D13" s="98" t="s">
        <v>269</v>
      </c>
    </row>
    <row r="14" spans="1:5" x14ac:dyDescent="0.25">
      <c r="A14" s="3" t="s">
        <v>4934</v>
      </c>
      <c r="B14" s="6" t="s">
        <v>4886</v>
      </c>
      <c r="D14" s="98" t="s">
        <v>14</v>
      </c>
    </row>
    <row r="15" spans="1:5" x14ac:dyDescent="0.25">
      <c r="A15" s="3" t="s">
        <v>4935</v>
      </c>
      <c r="B15" s="6" t="s">
        <v>4887</v>
      </c>
      <c r="D15" s="98" t="s">
        <v>360</v>
      </c>
    </row>
    <row r="16" spans="1:5" x14ac:dyDescent="0.25">
      <c r="A16" s="3" t="s">
        <v>4936</v>
      </c>
      <c r="B16" s="6" t="s">
        <v>4888</v>
      </c>
      <c r="D16" s="4" t="s">
        <v>426</v>
      </c>
      <c r="E16" s="98">
        <v>75</v>
      </c>
    </row>
    <row r="17" spans="1:5" x14ac:dyDescent="0.25">
      <c r="A17" s="3" t="s">
        <v>4937</v>
      </c>
      <c r="B17" s="6" t="s">
        <v>4889</v>
      </c>
      <c r="D17" s="4" t="s">
        <v>427</v>
      </c>
      <c r="E17" s="98" t="s">
        <v>428</v>
      </c>
    </row>
    <row r="18" spans="1:5" x14ac:dyDescent="0.25">
      <c r="A18" s="3" t="s">
        <v>4938</v>
      </c>
      <c r="B18" s="6" t="s">
        <v>4890</v>
      </c>
    </row>
    <row r="19" spans="1:5" x14ac:dyDescent="0.25">
      <c r="A19" s="3" t="s">
        <v>4939</v>
      </c>
      <c r="B19" s="6" t="s">
        <v>4891</v>
      </c>
    </row>
    <row r="20" spans="1:5" x14ac:dyDescent="0.25">
      <c r="A20" s="3" t="s">
        <v>4940</v>
      </c>
      <c r="B20" s="6" t="s">
        <v>4892</v>
      </c>
    </row>
    <row r="21" spans="1:5" x14ac:dyDescent="0.25">
      <c r="A21" s="3" t="s">
        <v>4941</v>
      </c>
      <c r="B21" s="6" t="s">
        <v>4893</v>
      </c>
    </row>
    <row r="22" spans="1:5" x14ac:dyDescent="0.25">
      <c r="A22" s="3" t="s">
        <v>4942</v>
      </c>
      <c r="B22" s="6" t="s">
        <v>4894</v>
      </c>
    </row>
    <row r="23" spans="1:5" x14ac:dyDescent="0.25">
      <c r="A23" s="3" t="s">
        <v>4943</v>
      </c>
      <c r="B23" s="6" t="s">
        <v>4895</v>
      </c>
    </row>
    <row r="24" spans="1:5" x14ac:dyDescent="0.25">
      <c r="A24" s="3" t="s">
        <v>4944</v>
      </c>
      <c r="B24" s="6" t="s">
        <v>4896</v>
      </c>
    </row>
    <row r="25" spans="1:5" x14ac:dyDescent="0.25">
      <c r="A25" s="3" t="s">
        <v>4945</v>
      </c>
      <c r="B25" s="6" t="s">
        <v>4897</v>
      </c>
    </row>
    <row r="26" spans="1:5" x14ac:dyDescent="0.25">
      <c r="A26" s="3" t="s">
        <v>4946</v>
      </c>
      <c r="B26" s="6" t="s">
        <v>4898</v>
      </c>
    </row>
    <row r="27" spans="1:5" x14ac:dyDescent="0.25">
      <c r="A27" s="3" t="s">
        <v>4947</v>
      </c>
      <c r="B27" s="6" t="s">
        <v>4899</v>
      </c>
    </row>
    <row r="28" spans="1:5" x14ac:dyDescent="0.25">
      <c r="A28" s="3" t="s">
        <v>4948</v>
      </c>
      <c r="B28" s="6" t="s">
        <v>4900</v>
      </c>
    </row>
    <row r="29" spans="1:5" x14ac:dyDescent="0.25">
      <c r="A29" s="3" t="s">
        <v>4949</v>
      </c>
      <c r="B29" s="6" t="s">
        <v>4901</v>
      </c>
    </row>
    <row r="30" spans="1:5" x14ac:dyDescent="0.25">
      <c r="A30" s="3" t="s">
        <v>4950</v>
      </c>
      <c r="B30" s="6" t="s">
        <v>4902</v>
      </c>
    </row>
    <row r="31" spans="1:5" x14ac:dyDescent="0.25">
      <c r="A31" s="3" t="s">
        <v>4951</v>
      </c>
      <c r="B31" s="6" t="s">
        <v>4903</v>
      </c>
    </row>
    <row r="32" spans="1:5" x14ac:dyDescent="0.25">
      <c r="A32" s="3" t="s">
        <v>4952</v>
      </c>
      <c r="B32" s="6" t="s">
        <v>4904</v>
      </c>
    </row>
    <row r="33" spans="1:2" x14ac:dyDescent="0.25">
      <c r="A33" s="3" t="s">
        <v>4953</v>
      </c>
      <c r="B33" s="6" t="s">
        <v>4905</v>
      </c>
    </row>
    <row r="34" spans="1:2" x14ac:dyDescent="0.25">
      <c r="A34" s="3" t="s">
        <v>4954</v>
      </c>
      <c r="B34" s="6" t="s">
        <v>4906</v>
      </c>
    </row>
    <row r="35" spans="1:2" x14ac:dyDescent="0.25">
      <c r="A35" s="3" t="s">
        <v>4955</v>
      </c>
      <c r="B35" s="6" t="s">
        <v>4907</v>
      </c>
    </row>
    <row r="36" spans="1:2" x14ac:dyDescent="0.25">
      <c r="A36" s="3" t="s">
        <v>4956</v>
      </c>
      <c r="B36" s="6" t="s">
        <v>4908</v>
      </c>
    </row>
    <row r="37" spans="1:2" x14ac:dyDescent="0.25">
      <c r="A37" s="3" t="s">
        <v>4957</v>
      </c>
      <c r="B37" s="6" t="s">
        <v>4909</v>
      </c>
    </row>
    <row r="38" spans="1:2" x14ac:dyDescent="0.25">
      <c r="A38" s="3" t="s">
        <v>4958</v>
      </c>
      <c r="B38" s="6" t="s">
        <v>4910</v>
      </c>
    </row>
    <row r="39" spans="1:2" x14ac:dyDescent="0.25">
      <c r="A39" s="3" t="s">
        <v>4959</v>
      </c>
      <c r="B39" s="6" t="s">
        <v>4911</v>
      </c>
    </row>
    <row r="40" spans="1:2" x14ac:dyDescent="0.25">
      <c r="A40" s="3" t="s">
        <v>4960</v>
      </c>
      <c r="B40" s="6" t="s">
        <v>4912</v>
      </c>
    </row>
    <row r="41" spans="1:2" x14ac:dyDescent="0.25">
      <c r="A41" s="3" t="s">
        <v>4961</v>
      </c>
      <c r="B41" s="6" t="s">
        <v>4913</v>
      </c>
    </row>
    <row r="42" spans="1:2" x14ac:dyDescent="0.25">
      <c r="A42" s="3" t="s">
        <v>4962</v>
      </c>
      <c r="B42" s="6" t="s">
        <v>4914</v>
      </c>
    </row>
    <row r="43" spans="1:2" x14ac:dyDescent="0.25">
      <c r="A43" s="3" t="s">
        <v>4963</v>
      </c>
      <c r="B43" s="6" t="s">
        <v>4915</v>
      </c>
    </row>
    <row r="44" spans="1:2" x14ac:dyDescent="0.25">
      <c r="A44" s="3" t="s">
        <v>4964</v>
      </c>
      <c r="B44" s="6" t="s">
        <v>4916</v>
      </c>
    </row>
    <row r="45" spans="1:2" x14ac:dyDescent="0.25">
      <c r="A45" s="3" t="s">
        <v>4965</v>
      </c>
      <c r="B45" s="6" t="s">
        <v>4917</v>
      </c>
    </row>
    <row r="46" spans="1:2" x14ac:dyDescent="0.25">
      <c r="A46" s="3" t="s">
        <v>4966</v>
      </c>
      <c r="B46" s="6" t="s">
        <v>4918</v>
      </c>
    </row>
    <row r="47" spans="1:2" x14ac:dyDescent="0.25">
      <c r="A47" s="3" t="s">
        <v>4967</v>
      </c>
      <c r="B47" s="6" t="s">
        <v>4919</v>
      </c>
    </row>
    <row r="48" spans="1:2" x14ac:dyDescent="0.25">
      <c r="A48" s="3" t="s">
        <v>4968</v>
      </c>
      <c r="B48" s="6" t="s">
        <v>4920</v>
      </c>
    </row>
    <row r="49" spans="1:2" x14ac:dyDescent="0.25">
      <c r="A49" s="3" t="s">
        <v>4969</v>
      </c>
      <c r="B49" s="6" t="s">
        <v>4921</v>
      </c>
    </row>
    <row r="50" spans="1:2" x14ac:dyDescent="0.25">
      <c r="A50" s="3" t="s">
        <v>4970</v>
      </c>
      <c r="B50" s="6" t="s">
        <v>4922</v>
      </c>
    </row>
    <row r="51" spans="1:2" x14ac:dyDescent="0.25">
      <c r="A51" s="3" t="s">
        <v>4971</v>
      </c>
      <c r="B51" s="6" t="s">
        <v>4923</v>
      </c>
    </row>
    <row r="52" spans="1:2" x14ac:dyDescent="0.25">
      <c r="A52" s="3" t="s">
        <v>4972</v>
      </c>
      <c r="B52" s="6" t="s">
        <v>4933</v>
      </c>
    </row>
    <row r="53" spans="1:2" x14ac:dyDescent="0.25">
      <c r="A53" s="3" t="s">
        <v>4973</v>
      </c>
      <c r="B53" s="6" t="s">
        <v>4924</v>
      </c>
    </row>
    <row r="54" spans="1:2" x14ac:dyDescent="0.25">
      <c r="A54" s="3" t="s">
        <v>4974</v>
      </c>
      <c r="B54" s="6" t="s">
        <v>4925</v>
      </c>
    </row>
    <row r="55" spans="1:2" x14ac:dyDescent="0.25">
      <c r="A55" s="3" t="s">
        <v>4975</v>
      </c>
      <c r="B55" s="6" t="s">
        <v>4926</v>
      </c>
    </row>
    <row r="56" spans="1:2" x14ac:dyDescent="0.25">
      <c r="A56" s="3" t="s">
        <v>4976</v>
      </c>
      <c r="B56" s="6" t="s">
        <v>4927</v>
      </c>
    </row>
    <row r="57" spans="1:2" x14ac:dyDescent="0.25">
      <c r="A57" s="3" t="s">
        <v>4977</v>
      </c>
      <c r="B57" s="6" t="s">
        <v>4928</v>
      </c>
    </row>
    <row r="58" spans="1:2" x14ac:dyDescent="0.25">
      <c r="A58" s="3" t="s">
        <v>4978</v>
      </c>
      <c r="B58" s="6" t="s">
        <v>4929</v>
      </c>
    </row>
    <row r="59" spans="1:2" x14ac:dyDescent="0.25">
      <c r="A59" s="3" t="s">
        <v>4979</v>
      </c>
      <c r="B59" s="6" t="s">
        <v>4930</v>
      </c>
    </row>
    <row r="60" spans="1:2" x14ac:dyDescent="0.25">
      <c r="A60" s="3" t="s">
        <v>4980</v>
      </c>
      <c r="B60" s="6" t="s">
        <v>4931</v>
      </c>
    </row>
    <row r="61" spans="1:2" x14ac:dyDescent="0.25">
      <c r="A61" s="3" t="s">
        <v>4981</v>
      </c>
      <c r="B61" s="6" t="s">
        <v>4932</v>
      </c>
    </row>
    <row r="62" spans="1:2" x14ac:dyDescent="0.25">
      <c r="A62" s="3" t="s">
        <v>5217</v>
      </c>
      <c r="B62" s="6" t="s">
        <v>5237</v>
      </c>
    </row>
    <row r="63" spans="1:2" x14ac:dyDescent="0.25">
      <c r="A63" s="3" t="s">
        <v>5218</v>
      </c>
      <c r="B63" s="6" t="s">
        <v>5238</v>
      </c>
    </row>
    <row r="64" spans="1:2" x14ac:dyDescent="0.25">
      <c r="A64" s="3" t="s">
        <v>5219</v>
      </c>
      <c r="B64" s="6" t="s">
        <v>5239</v>
      </c>
    </row>
    <row r="65" spans="1:2" x14ac:dyDescent="0.25">
      <c r="A65" s="3" t="s">
        <v>5220</v>
      </c>
      <c r="B65" s="6" t="s">
        <v>5240</v>
      </c>
    </row>
    <row r="66" spans="1:2" x14ac:dyDescent="0.25">
      <c r="A66" s="3" t="s">
        <v>5221</v>
      </c>
      <c r="B66" s="6" t="s">
        <v>5241</v>
      </c>
    </row>
    <row r="67" spans="1:2" x14ac:dyDescent="0.25">
      <c r="A67" s="3" t="s">
        <v>5222</v>
      </c>
      <c r="B67" s="6" t="s">
        <v>5242</v>
      </c>
    </row>
    <row r="68" spans="1:2" x14ac:dyDescent="0.25">
      <c r="A68" s="3" t="s">
        <v>5223</v>
      </c>
      <c r="B68" s="6" t="s">
        <v>5243</v>
      </c>
    </row>
    <row r="69" spans="1:2" x14ac:dyDescent="0.25">
      <c r="A69" s="3" t="s">
        <v>5224</v>
      </c>
      <c r="B69" s="6" t="s">
        <v>5244</v>
      </c>
    </row>
    <row r="70" spans="1:2" x14ac:dyDescent="0.25">
      <c r="A70" s="3" t="s">
        <v>5225</v>
      </c>
      <c r="B70" s="6" t="s">
        <v>5245</v>
      </c>
    </row>
    <row r="71" spans="1:2" x14ac:dyDescent="0.25">
      <c r="A71" s="3" t="s">
        <v>5226</v>
      </c>
      <c r="B71" s="6" t="s">
        <v>5246</v>
      </c>
    </row>
    <row r="72" spans="1:2" x14ac:dyDescent="0.25">
      <c r="A72" s="3" t="s">
        <v>5227</v>
      </c>
      <c r="B72" s="6" t="s">
        <v>5247</v>
      </c>
    </row>
    <row r="73" spans="1:2" x14ac:dyDescent="0.25">
      <c r="A73" s="3" t="s">
        <v>5228</v>
      </c>
      <c r="B73" s="6" t="s">
        <v>5248</v>
      </c>
    </row>
    <row r="74" spans="1:2" x14ac:dyDescent="0.25">
      <c r="A74" s="3" t="s">
        <v>5229</v>
      </c>
      <c r="B74" s="6" t="s">
        <v>5249</v>
      </c>
    </row>
    <row r="75" spans="1:2" x14ac:dyDescent="0.25">
      <c r="A75" s="3" t="s">
        <v>5230</v>
      </c>
      <c r="B75" s="6" t="s">
        <v>5250</v>
      </c>
    </row>
    <row r="76" spans="1:2" x14ac:dyDescent="0.25">
      <c r="A76" s="3" t="s">
        <v>5231</v>
      </c>
      <c r="B76" s="6" t="s">
        <v>5251</v>
      </c>
    </row>
    <row r="77" spans="1:2" x14ac:dyDescent="0.25">
      <c r="A77" s="3" t="s">
        <v>5232</v>
      </c>
      <c r="B77" s="6" t="s">
        <v>5252</v>
      </c>
    </row>
    <row r="78" spans="1:2" x14ac:dyDescent="0.25">
      <c r="A78" s="3" t="s">
        <v>5233</v>
      </c>
      <c r="B78" s="6" t="s">
        <v>5253</v>
      </c>
    </row>
    <row r="79" spans="1:2" x14ac:dyDescent="0.25">
      <c r="A79" s="3" t="s">
        <v>5234</v>
      </c>
      <c r="B79" s="6" t="s">
        <v>5254</v>
      </c>
    </row>
    <row r="80" spans="1:2" x14ac:dyDescent="0.25">
      <c r="A80" s="3" t="s">
        <v>5235</v>
      </c>
      <c r="B80" s="6" t="s">
        <v>5255</v>
      </c>
    </row>
    <row r="81" spans="1:2" x14ac:dyDescent="0.25">
      <c r="A81" s="3" t="s">
        <v>5236</v>
      </c>
      <c r="B81" s="6" t="s">
        <v>5256</v>
      </c>
    </row>
    <row r="82" spans="1:2" x14ac:dyDescent="0.25">
      <c r="A82" s="3" t="s">
        <v>5597</v>
      </c>
      <c r="B82" s="6" t="s">
        <v>5577</v>
      </c>
    </row>
    <row r="83" spans="1:2" x14ac:dyDescent="0.25">
      <c r="A83" s="3" t="s">
        <v>5598</v>
      </c>
      <c r="B83" s="6" t="s">
        <v>5578</v>
      </c>
    </row>
    <row r="84" spans="1:2" x14ac:dyDescent="0.25">
      <c r="A84" s="3" t="s">
        <v>5599</v>
      </c>
      <c r="B84" s="6" t="s">
        <v>5579</v>
      </c>
    </row>
    <row r="85" spans="1:2" x14ac:dyDescent="0.25">
      <c r="A85" s="3" t="s">
        <v>5600</v>
      </c>
      <c r="B85" s="6" t="s">
        <v>5580</v>
      </c>
    </row>
    <row r="86" spans="1:2" x14ac:dyDescent="0.25">
      <c r="A86" s="3" t="s">
        <v>5601</v>
      </c>
      <c r="B86" s="6" t="s">
        <v>5581</v>
      </c>
    </row>
    <row r="87" spans="1:2" x14ac:dyDescent="0.25">
      <c r="A87" s="3" t="s">
        <v>5602</v>
      </c>
      <c r="B87" s="6" t="s">
        <v>5582</v>
      </c>
    </row>
    <row r="88" spans="1:2" x14ac:dyDescent="0.25">
      <c r="A88" s="3" t="s">
        <v>5603</v>
      </c>
      <c r="B88" s="6" t="s">
        <v>5583</v>
      </c>
    </row>
    <row r="89" spans="1:2" x14ac:dyDescent="0.25">
      <c r="A89" s="3" t="s">
        <v>5604</v>
      </c>
      <c r="B89" s="6" t="s">
        <v>5584</v>
      </c>
    </row>
    <row r="90" spans="1:2" x14ac:dyDescent="0.25">
      <c r="A90" s="3" t="s">
        <v>5617</v>
      </c>
      <c r="B90" s="6" t="s">
        <v>5585</v>
      </c>
    </row>
    <row r="91" spans="1:2" x14ac:dyDescent="0.25">
      <c r="A91" s="3" t="s">
        <v>5605</v>
      </c>
      <c r="B91" s="6" t="s">
        <v>5586</v>
      </c>
    </row>
    <row r="92" spans="1:2" x14ac:dyDescent="0.25">
      <c r="A92" s="3" t="s">
        <v>5606</v>
      </c>
      <c r="B92" s="6" t="s">
        <v>5587</v>
      </c>
    </row>
    <row r="93" spans="1:2" x14ac:dyDescent="0.25">
      <c r="A93" s="3" t="s">
        <v>5607</v>
      </c>
      <c r="B93" s="6" t="s">
        <v>5588</v>
      </c>
    </row>
    <row r="94" spans="1:2" x14ac:dyDescent="0.25">
      <c r="A94" s="3" t="s">
        <v>5608</v>
      </c>
      <c r="B94" s="6" t="s">
        <v>5589</v>
      </c>
    </row>
    <row r="95" spans="1:2" x14ac:dyDescent="0.25">
      <c r="A95" s="3" t="s">
        <v>5609</v>
      </c>
      <c r="B95" s="6" t="s">
        <v>5590</v>
      </c>
    </row>
    <row r="96" spans="1:2" x14ac:dyDescent="0.25">
      <c r="A96" s="3" t="s">
        <v>5610</v>
      </c>
      <c r="B96" s="6" t="s">
        <v>5591</v>
      </c>
    </row>
    <row r="97" spans="1:2" x14ac:dyDescent="0.25">
      <c r="A97" s="3" t="s">
        <v>5611</v>
      </c>
      <c r="B97" s="6" t="s">
        <v>5592</v>
      </c>
    </row>
    <row r="98" spans="1:2" x14ac:dyDescent="0.25">
      <c r="A98" s="3" t="s">
        <v>5612</v>
      </c>
      <c r="B98" s="6" t="s">
        <v>5593</v>
      </c>
    </row>
    <row r="99" spans="1:2" x14ac:dyDescent="0.25">
      <c r="A99" s="3" t="s">
        <v>5613</v>
      </c>
      <c r="B99" s="6" t="s">
        <v>5594</v>
      </c>
    </row>
    <row r="100" spans="1:2" x14ac:dyDescent="0.25">
      <c r="A100" s="3" t="s">
        <v>5614</v>
      </c>
      <c r="B100" s="6" t="s">
        <v>5595</v>
      </c>
    </row>
    <row r="101" spans="1:2" x14ac:dyDescent="0.25">
      <c r="A101" s="3" t="s">
        <v>5615</v>
      </c>
      <c r="B101" s="6" t="s">
        <v>5596</v>
      </c>
    </row>
    <row r="102" spans="1:2" x14ac:dyDescent="0.25">
      <c r="A102" s="3" t="s">
        <v>5618</v>
      </c>
      <c r="B102" s="6" t="s">
        <v>5666</v>
      </c>
    </row>
    <row r="103" spans="1:2" x14ac:dyDescent="0.25">
      <c r="A103" s="3" t="s">
        <v>5619</v>
      </c>
      <c r="B103" s="6" t="s">
        <v>5667</v>
      </c>
    </row>
    <row r="104" spans="1:2" x14ac:dyDescent="0.25">
      <c r="A104" s="3" t="s">
        <v>5620</v>
      </c>
      <c r="B104" s="6" t="s">
        <v>5668</v>
      </c>
    </row>
    <row r="105" spans="1:2" x14ac:dyDescent="0.25">
      <c r="A105" s="3" t="s">
        <v>5621</v>
      </c>
      <c r="B105" s="6" t="s">
        <v>5669</v>
      </c>
    </row>
    <row r="106" spans="1:2" x14ac:dyDescent="0.25">
      <c r="A106" s="3" t="s">
        <v>5622</v>
      </c>
      <c r="B106" s="6" t="s">
        <v>5670</v>
      </c>
    </row>
    <row r="107" spans="1:2" x14ac:dyDescent="0.25">
      <c r="A107" s="3" t="s">
        <v>5623</v>
      </c>
      <c r="B107" s="6" t="s">
        <v>5671</v>
      </c>
    </row>
    <row r="108" spans="1:2" x14ac:dyDescent="0.25">
      <c r="A108" s="3" t="s">
        <v>5624</v>
      </c>
      <c r="B108" s="6" t="s">
        <v>5672</v>
      </c>
    </row>
    <row r="109" spans="1:2" x14ac:dyDescent="0.25">
      <c r="A109" s="3" t="s">
        <v>5625</v>
      </c>
      <c r="B109" s="6" t="s">
        <v>5673</v>
      </c>
    </row>
    <row r="110" spans="1:2" x14ac:dyDescent="0.25">
      <c r="A110" s="3" t="s">
        <v>5626</v>
      </c>
      <c r="B110" s="6" t="s">
        <v>5674</v>
      </c>
    </row>
    <row r="111" spans="1:2" x14ac:dyDescent="0.25">
      <c r="A111" s="3" t="s">
        <v>5627</v>
      </c>
      <c r="B111" s="6" t="s">
        <v>5675</v>
      </c>
    </row>
    <row r="112" spans="1:2" x14ac:dyDescent="0.25">
      <c r="A112" s="3" t="s">
        <v>5628</v>
      </c>
      <c r="B112" s="6" t="s">
        <v>5676</v>
      </c>
    </row>
    <row r="113" spans="1:2" x14ac:dyDescent="0.25">
      <c r="A113" s="3" t="s">
        <v>5629</v>
      </c>
      <c r="B113" s="6" t="s">
        <v>5677</v>
      </c>
    </row>
    <row r="114" spans="1:2" x14ac:dyDescent="0.25">
      <c r="A114" s="3" t="s">
        <v>5630</v>
      </c>
      <c r="B114" s="6" t="s">
        <v>5678</v>
      </c>
    </row>
    <row r="115" spans="1:2" x14ac:dyDescent="0.25">
      <c r="A115" s="3" t="s">
        <v>5631</v>
      </c>
      <c r="B115" s="6" t="s">
        <v>5679</v>
      </c>
    </row>
    <row r="116" spans="1:2" x14ac:dyDescent="0.25">
      <c r="A116" s="3" t="s">
        <v>5632</v>
      </c>
      <c r="B116" s="6" t="s">
        <v>5680</v>
      </c>
    </row>
    <row r="117" spans="1:2" x14ac:dyDescent="0.25">
      <c r="A117" s="3" t="s">
        <v>5633</v>
      </c>
      <c r="B117" s="6" t="s">
        <v>5681</v>
      </c>
    </row>
    <row r="118" spans="1:2" x14ac:dyDescent="0.25">
      <c r="A118" s="3" t="s">
        <v>5634</v>
      </c>
      <c r="B118" s="6" t="s">
        <v>5682</v>
      </c>
    </row>
    <row r="119" spans="1:2" x14ac:dyDescent="0.25">
      <c r="A119" s="3" t="s">
        <v>5635</v>
      </c>
      <c r="B119" s="6" t="s">
        <v>5683</v>
      </c>
    </row>
    <row r="120" spans="1:2" x14ac:dyDescent="0.25">
      <c r="A120" s="3" t="s">
        <v>5636</v>
      </c>
      <c r="B120" s="6" t="s">
        <v>5684</v>
      </c>
    </row>
    <row r="121" spans="1:2" x14ac:dyDescent="0.25">
      <c r="A121" s="3" t="s">
        <v>5637</v>
      </c>
      <c r="B121" s="6" t="s">
        <v>5685</v>
      </c>
    </row>
    <row r="122" spans="1:2" x14ac:dyDescent="0.25">
      <c r="A122" s="3" t="s">
        <v>5638</v>
      </c>
      <c r="B122" s="6" t="s">
        <v>5686</v>
      </c>
    </row>
    <row r="123" spans="1:2" x14ac:dyDescent="0.25">
      <c r="A123" s="3" t="s">
        <v>5639</v>
      </c>
      <c r="B123" s="6" t="s">
        <v>5687</v>
      </c>
    </row>
    <row r="124" spans="1:2" x14ac:dyDescent="0.25">
      <c r="A124" s="3" t="s">
        <v>5640</v>
      </c>
      <c r="B124" s="6" t="s">
        <v>5688</v>
      </c>
    </row>
    <row r="125" spans="1:2" x14ac:dyDescent="0.25">
      <c r="A125" s="3" t="s">
        <v>5641</v>
      </c>
      <c r="B125" s="6" t="s">
        <v>5689</v>
      </c>
    </row>
    <row r="126" spans="1:2" x14ac:dyDescent="0.25">
      <c r="A126" s="3" t="s">
        <v>5642</v>
      </c>
      <c r="B126" s="6" t="s">
        <v>5690</v>
      </c>
    </row>
    <row r="127" spans="1:2" x14ac:dyDescent="0.25">
      <c r="A127" s="3" t="s">
        <v>5643</v>
      </c>
      <c r="B127" s="6" t="s">
        <v>5691</v>
      </c>
    </row>
    <row r="128" spans="1:2" x14ac:dyDescent="0.25">
      <c r="A128" s="3" t="s">
        <v>5644</v>
      </c>
      <c r="B128" s="6" t="s">
        <v>5692</v>
      </c>
    </row>
    <row r="129" spans="1:2" x14ac:dyDescent="0.25">
      <c r="A129" s="3" t="s">
        <v>5645</v>
      </c>
      <c r="B129" s="6" t="s">
        <v>5693</v>
      </c>
    </row>
    <row r="130" spans="1:2" x14ac:dyDescent="0.25">
      <c r="A130" s="3" t="s">
        <v>5646</v>
      </c>
      <c r="B130" s="6" t="s">
        <v>5694</v>
      </c>
    </row>
    <row r="131" spans="1:2" x14ac:dyDescent="0.25">
      <c r="A131" s="3" t="s">
        <v>5647</v>
      </c>
      <c r="B131" s="6" t="s">
        <v>5695</v>
      </c>
    </row>
    <row r="132" spans="1:2" x14ac:dyDescent="0.25">
      <c r="A132" s="3" t="s">
        <v>5648</v>
      </c>
      <c r="B132" s="6" t="s">
        <v>5696</v>
      </c>
    </row>
    <row r="133" spans="1:2" x14ac:dyDescent="0.25">
      <c r="A133" s="3" t="s">
        <v>5649</v>
      </c>
      <c r="B133" s="6" t="s">
        <v>5697</v>
      </c>
    </row>
    <row r="134" spans="1:2" x14ac:dyDescent="0.25">
      <c r="A134" s="3" t="s">
        <v>5650</v>
      </c>
      <c r="B134" s="6" t="s">
        <v>5698</v>
      </c>
    </row>
    <row r="135" spans="1:2" x14ac:dyDescent="0.25">
      <c r="A135" s="3" t="s">
        <v>5651</v>
      </c>
      <c r="B135" s="6" t="s">
        <v>5699</v>
      </c>
    </row>
    <row r="136" spans="1:2" x14ac:dyDescent="0.25">
      <c r="A136" s="3" t="s">
        <v>5652</v>
      </c>
      <c r="B136" s="6" t="s">
        <v>5700</v>
      </c>
    </row>
    <row r="137" spans="1:2" x14ac:dyDescent="0.25">
      <c r="A137" s="3" t="s">
        <v>5653</v>
      </c>
      <c r="B137" s="6" t="s">
        <v>5701</v>
      </c>
    </row>
    <row r="138" spans="1:2" x14ac:dyDescent="0.25">
      <c r="A138" s="3" t="s">
        <v>5654</v>
      </c>
      <c r="B138" s="6" t="s">
        <v>5702</v>
      </c>
    </row>
    <row r="139" spans="1:2" x14ac:dyDescent="0.25">
      <c r="A139" s="3" t="s">
        <v>5655</v>
      </c>
      <c r="B139" s="6" t="s">
        <v>5703</v>
      </c>
    </row>
    <row r="140" spans="1:2" x14ac:dyDescent="0.25">
      <c r="A140" s="3" t="s">
        <v>5656</v>
      </c>
      <c r="B140" s="6" t="s">
        <v>5704</v>
      </c>
    </row>
    <row r="141" spans="1:2" x14ac:dyDescent="0.25">
      <c r="A141" s="3" t="s">
        <v>5657</v>
      </c>
      <c r="B141" s="6" t="s">
        <v>5705</v>
      </c>
    </row>
    <row r="142" spans="1:2" x14ac:dyDescent="0.25">
      <c r="A142" s="3" t="s">
        <v>5658</v>
      </c>
      <c r="B142" s="6" t="s">
        <v>5706</v>
      </c>
    </row>
    <row r="143" spans="1:2" x14ac:dyDescent="0.25">
      <c r="A143" s="3" t="s">
        <v>5659</v>
      </c>
      <c r="B143" s="6" t="s">
        <v>5707</v>
      </c>
    </row>
    <row r="144" spans="1:2" x14ac:dyDescent="0.25">
      <c r="A144" s="3" t="s">
        <v>5660</v>
      </c>
      <c r="B144" s="6" t="s">
        <v>5708</v>
      </c>
    </row>
    <row r="145" spans="1:2" x14ac:dyDescent="0.25">
      <c r="A145" s="3" t="s">
        <v>5661</v>
      </c>
      <c r="B145" s="6" t="s">
        <v>5709</v>
      </c>
    </row>
    <row r="146" spans="1:2" x14ac:dyDescent="0.25">
      <c r="A146" s="3" t="s">
        <v>5662</v>
      </c>
      <c r="B146" s="6" t="s">
        <v>5710</v>
      </c>
    </row>
    <row r="147" spans="1:2" x14ac:dyDescent="0.25">
      <c r="A147" s="3" t="s">
        <v>5663</v>
      </c>
      <c r="B147" s="6" t="s">
        <v>5711</v>
      </c>
    </row>
    <row r="148" spans="1:2" x14ac:dyDescent="0.25">
      <c r="A148" s="3" t="s">
        <v>5664</v>
      </c>
      <c r="B148" s="6" t="s">
        <v>5712</v>
      </c>
    </row>
    <row r="149" spans="1:2" x14ac:dyDescent="0.25">
      <c r="A149" s="3" t="s">
        <v>5665</v>
      </c>
      <c r="B149" s="99" t="s">
        <v>5713</v>
      </c>
    </row>
    <row r="150" spans="1:2" x14ac:dyDescent="0.25">
      <c r="A150" s="3" t="s">
        <v>7993</v>
      </c>
      <c r="B150" s="6" t="s">
        <v>8013</v>
      </c>
    </row>
    <row r="151" spans="1:2" x14ac:dyDescent="0.25">
      <c r="A151" s="3" t="s">
        <v>7994</v>
      </c>
      <c r="B151" s="6" t="s">
        <v>8014</v>
      </c>
    </row>
    <row r="152" spans="1:2" x14ac:dyDescent="0.25">
      <c r="A152" s="3" t="s">
        <v>7995</v>
      </c>
      <c r="B152" s="6" t="s">
        <v>8015</v>
      </c>
    </row>
    <row r="153" spans="1:2" x14ac:dyDescent="0.25">
      <c r="A153" s="3" t="s">
        <v>7996</v>
      </c>
      <c r="B153" s="6" t="s">
        <v>8016</v>
      </c>
    </row>
    <row r="154" spans="1:2" x14ac:dyDescent="0.25">
      <c r="A154" s="3" t="s">
        <v>7997</v>
      </c>
      <c r="B154" s="6" t="s">
        <v>8017</v>
      </c>
    </row>
    <row r="155" spans="1:2" x14ac:dyDescent="0.25">
      <c r="A155" s="3" t="s">
        <v>7998</v>
      </c>
      <c r="B155" s="6" t="s">
        <v>8018</v>
      </c>
    </row>
    <row r="156" spans="1:2" x14ac:dyDescent="0.25">
      <c r="A156" s="3" t="s">
        <v>7999</v>
      </c>
      <c r="B156" s="6" t="s">
        <v>8031</v>
      </c>
    </row>
    <row r="157" spans="1:2" x14ac:dyDescent="0.25">
      <c r="A157" s="3" t="s">
        <v>8000</v>
      </c>
      <c r="B157" s="6" t="s">
        <v>8019</v>
      </c>
    </row>
    <row r="158" spans="1:2" x14ac:dyDescent="0.25">
      <c r="A158" s="3" t="s">
        <v>8001</v>
      </c>
      <c r="B158" s="6" t="s">
        <v>8032</v>
      </c>
    </row>
    <row r="159" spans="1:2" x14ac:dyDescent="0.25">
      <c r="A159" s="3" t="s">
        <v>8002</v>
      </c>
      <c r="B159" s="6" t="s">
        <v>8020</v>
      </c>
    </row>
    <row r="160" spans="1:2" x14ac:dyDescent="0.25">
      <c r="A160" s="3" t="s">
        <v>8003</v>
      </c>
      <c r="B160" s="6" t="s">
        <v>8021</v>
      </c>
    </row>
    <row r="161" spans="1:2" x14ac:dyDescent="0.25">
      <c r="A161" s="3" t="s">
        <v>8004</v>
      </c>
      <c r="B161" s="6" t="s">
        <v>8022</v>
      </c>
    </row>
    <row r="162" spans="1:2" x14ac:dyDescent="0.25">
      <c r="A162" s="3" t="s">
        <v>8005</v>
      </c>
      <c r="B162" s="6" t="s">
        <v>8023</v>
      </c>
    </row>
    <row r="163" spans="1:2" x14ac:dyDescent="0.25">
      <c r="A163" s="3" t="s">
        <v>8006</v>
      </c>
      <c r="B163" s="6" t="s">
        <v>8024</v>
      </c>
    </row>
    <row r="164" spans="1:2" x14ac:dyDescent="0.25">
      <c r="A164" s="3" t="s">
        <v>8007</v>
      </c>
      <c r="B164" s="6" t="s">
        <v>8025</v>
      </c>
    </row>
    <row r="165" spans="1:2" x14ac:dyDescent="0.25">
      <c r="A165" s="3" t="s">
        <v>8008</v>
      </c>
      <c r="B165" s="6" t="s">
        <v>8026</v>
      </c>
    </row>
    <row r="166" spans="1:2" x14ac:dyDescent="0.25">
      <c r="A166" s="3" t="s">
        <v>8009</v>
      </c>
      <c r="B166" s="6" t="s">
        <v>8027</v>
      </c>
    </row>
    <row r="167" spans="1:2" x14ac:dyDescent="0.25">
      <c r="A167" s="3" t="s">
        <v>8010</v>
      </c>
      <c r="B167" s="6" t="s">
        <v>8028</v>
      </c>
    </row>
    <row r="168" spans="1:2" x14ac:dyDescent="0.25">
      <c r="A168" s="3" t="s">
        <v>8011</v>
      </c>
      <c r="B168" s="6" t="s">
        <v>8029</v>
      </c>
    </row>
    <row r="169" spans="1:2" x14ac:dyDescent="0.25">
      <c r="A169" s="3" t="s">
        <v>8012</v>
      </c>
      <c r="B169" s="6" t="s">
        <v>8030</v>
      </c>
    </row>
    <row r="170" spans="1:2" x14ac:dyDescent="0.25">
      <c r="A170" s="3"/>
      <c r="B170" s="6"/>
    </row>
    <row r="171" spans="1:2" x14ac:dyDescent="0.25">
      <c r="A171" s="3"/>
      <c r="B171" s="6"/>
    </row>
    <row r="172" spans="1:2" x14ac:dyDescent="0.25">
      <c r="A172" s="3"/>
      <c r="B172" s="6"/>
    </row>
    <row r="173" spans="1:2" x14ac:dyDescent="0.25">
      <c r="A173" s="3"/>
      <c r="B173" s="6"/>
    </row>
    <row r="174" spans="1:2" x14ac:dyDescent="0.25">
      <c r="A174" s="3"/>
      <c r="B174" s="6"/>
    </row>
    <row r="175" spans="1:2" x14ac:dyDescent="0.25">
      <c r="A175" s="3"/>
      <c r="B175" s="6"/>
    </row>
    <row r="176" spans="1:2" x14ac:dyDescent="0.25">
      <c r="A176" s="3"/>
      <c r="B176" s="6"/>
    </row>
    <row r="177" spans="1:2" x14ac:dyDescent="0.25">
      <c r="A177" s="3"/>
      <c r="B177" s="6"/>
    </row>
    <row r="178" spans="1:2" x14ac:dyDescent="0.25">
      <c r="A178" s="3"/>
      <c r="B178" s="6"/>
    </row>
    <row r="179" spans="1:2" x14ac:dyDescent="0.25">
      <c r="A179" s="3"/>
      <c r="B179" s="6"/>
    </row>
    <row r="180" spans="1:2" x14ac:dyDescent="0.25">
      <c r="A180" s="3"/>
      <c r="B180" s="6"/>
    </row>
    <row r="181" spans="1:2" x14ac:dyDescent="0.25">
      <c r="A181" s="3"/>
      <c r="B181" s="6"/>
    </row>
    <row r="182" spans="1:2" x14ac:dyDescent="0.25">
      <c r="A182" s="3"/>
      <c r="B182" s="6"/>
    </row>
    <row r="183" spans="1:2" x14ac:dyDescent="0.25">
      <c r="A183" s="3"/>
      <c r="B183" s="6"/>
    </row>
    <row r="184" spans="1:2" x14ac:dyDescent="0.25">
      <c r="A184" s="3"/>
      <c r="B184" s="6"/>
    </row>
    <row r="185" spans="1:2" x14ac:dyDescent="0.25">
      <c r="A185" s="3"/>
      <c r="B185" s="6"/>
    </row>
    <row r="186" spans="1:2" x14ac:dyDescent="0.25">
      <c r="A186" s="3"/>
      <c r="B186" s="6"/>
    </row>
    <row r="187" spans="1:2" x14ac:dyDescent="0.25">
      <c r="A187" s="3"/>
      <c r="B187" s="6"/>
    </row>
    <row r="188" spans="1:2" x14ac:dyDescent="0.25">
      <c r="A188" s="3"/>
      <c r="B188" s="6"/>
    </row>
    <row r="189" spans="1:2" x14ac:dyDescent="0.25">
      <c r="A189" s="3"/>
      <c r="B189" s="6"/>
    </row>
    <row r="190" spans="1:2" x14ac:dyDescent="0.25">
      <c r="A190" s="3"/>
      <c r="B190" s="6"/>
    </row>
    <row r="191" spans="1:2" x14ac:dyDescent="0.25">
      <c r="A191" s="3"/>
      <c r="B191" s="6"/>
    </row>
    <row r="192" spans="1:2" x14ac:dyDescent="0.25">
      <c r="A192" s="3"/>
      <c r="B192" s="6"/>
    </row>
    <row r="193" spans="1:2" x14ac:dyDescent="0.25">
      <c r="A193" s="3"/>
      <c r="B193" s="6"/>
    </row>
    <row r="194" spans="1:2" x14ac:dyDescent="0.25">
      <c r="A194" s="3"/>
      <c r="B194" s="6"/>
    </row>
    <row r="195" spans="1:2" x14ac:dyDescent="0.25">
      <c r="A195" s="3"/>
      <c r="B195" s="6"/>
    </row>
    <row r="196" spans="1:2" x14ac:dyDescent="0.25">
      <c r="A196" s="3"/>
      <c r="B196" s="6"/>
    </row>
    <row r="197" spans="1:2" x14ac:dyDescent="0.25">
      <c r="A197" s="3"/>
      <c r="B197" s="6"/>
    </row>
    <row r="198" spans="1:2" x14ac:dyDescent="0.25">
      <c r="A198" s="3"/>
      <c r="B198" s="6"/>
    </row>
    <row r="199" spans="1:2" x14ac:dyDescent="0.25">
      <c r="A199" s="3"/>
      <c r="B199" s="6"/>
    </row>
    <row r="200" spans="1:2" x14ac:dyDescent="0.25">
      <c r="A200" s="3"/>
      <c r="B200" s="6"/>
    </row>
    <row r="201" spans="1:2" x14ac:dyDescent="0.25">
      <c r="A201" s="3"/>
      <c r="B201" s="6"/>
    </row>
    <row r="202" spans="1:2" x14ac:dyDescent="0.25">
      <c r="A202" s="3"/>
      <c r="B202" s="6"/>
    </row>
    <row r="203" spans="1:2" x14ac:dyDescent="0.25">
      <c r="A203" s="3"/>
      <c r="B203" s="6"/>
    </row>
    <row r="204" spans="1:2" x14ac:dyDescent="0.25">
      <c r="A204" s="3"/>
      <c r="B204" s="6"/>
    </row>
    <row r="205" spans="1:2" x14ac:dyDescent="0.25">
      <c r="A205" s="3"/>
      <c r="B205" s="6"/>
    </row>
    <row r="206" spans="1:2" x14ac:dyDescent="0.25">
      <c r="A206" s="3"/>
      <c r="B206" s="6"/>
    </row>
    <row r="207" spans="1:2" x14ac:dyDescent="0.25">
      <c r="A207" s="3"/>
      <c r="B207" s="6"/>
    </row>
    <row r="208" spans="1:2" x14ac:dyDescent="0.25">
      <c r="A208" s="3"/>
      <c r="B208" s="6"/>
    </row>
    <row r="209" spans="1:2" x14ac:dyDescent="0.25">
      <c r="A209" s="3"/>
      <c r="B209" s="6"/>
    </row>
    <row r="210" spans="1:2" x14ac:dyDescent="0.25">
      <c r="A210" s="3"/>
      <c r="B210" s="6"/>
    </row>
    <row r="211" spans="1:2" x14ac:dyDescent="0.25">
      <c r="A211" s="3"/>
      <c r="B211" s="6"/>
    </row>
    <row r="212" spans="1:2" x14ac:dyDescent="0.25">
      <c r="A212" s="3"/>
      <c r="B212" s="6"/>
    </row>
    <row r="213" spans="1:2" x14ac:dyDescent="0.25">
      <c r="A213" s="3"/>
      <c r="B213" s="6"/>
    </row>
    <row r="214" spans="1:2" x14ac:dyDescent="0.25">
      <c r="A214" s="3"/>
      <c r="B214" s="6"/>
    </row>
    <row r="215" spans="1:2" x14ac:dyDescent="0.25">
      <c r="A215" s="3"/>
      <c r="B215" s="6"/>
    </row>
    <row r="216" spans="1:2" x14ac:dyDescent="0.25">
      <c r="A216" s="3"/>
      <c r="B216" s="6"/>
    </row>
    <row r="217" spans="1:2" x14ac:dyDescent="0.25">
      <c r="A217" s="3"/>
      <c r="B217" s="6"/>
    </row>
    <row r="218" spans="1:2" x14ac:dyDescent="0.25">
      <c r="A218" s="3"/>
      <c r="B218" s="6"/>
    </row>
    <row r="219" spans="1:2" x14ac:dyDescent="0.25">
      <c r="A219" s="3"/>
      <c r="B219" s="6"/>
    </row>
    <row r="220" spans="1:2" x14ac:dyDescent="0.25">
      <c r="A220" s="3"/>
      <c r="B220" s="6"/>
    </row>
    <row r="221" spans="1:2" x14ac:dyDescent="0.25">
      <c r="A221" s="3"/>
      <c r="B221" s="6"/>
    </row>
    <row r="222" spans="1:2" x14ac:dyDescent="0.25">
      <c r="A222" s="3"/>
      <c r="B222" s="6"/>
    </row>
    <row r="223" spans="1:2" x14ac:dyDescent="0.25">
      <c r="A223" s="3"/>
      <c r="B223" s="6"/>
    </row>
    <row r="224" spans="1:2" x14ac:dyDescent="0.25">
      <c r="A224" s="3"/>
      <c r="B224" s="6"/>
    </row>
    <row r="225" spans="1:2" x14ac:dyDescent="0.25">
      <c r="A225" s="3"/>
      <c r="B225" s="6"/>
    </row>
    <row r="226" spans="1:2" x14ac:dyDescent="0.25">
      <c r="A226" s="3"/>
      <c r="B226" s="6"/>
    </row>
    <row r="227" spans="1:2" x14ac:dyDescent="0.25">
      <c r="A227" s="3"/>
      <c r="B227" s="6"/>
    </row>
    <row r="228" spans="1:2" x14ac:dyDescent="0.25">
      <c r="A228" s="3"/>
      <c r="B228" s="6"/>
    </row>
    <row r="229" spans="1:2" x14ac:dyDescent="0.25">
      <c r="A229" s="3"/>
      <c r="B229" s="6"/>
    </row>
    <row r="230" spans="1:2" x14ac:dyDescent="0.25">
      <c r="A230" s="3"/>
      <c r="B230" s="6"/>
    </row>
    <row r="231" spans="1:2" x14ac:dyDescent="0.25">
      <c r="A231" s="3"/>
      <c r="B231" s="6"/>
    </row>
    <row r="232" spans="1:2" x14ac:dyDescent="0.25">
      <c r="A232" s="3"/>
      <c r="B232" s="6"/>
    </row>
    <row r="233" spans="1:2" x14ac:dyDescent="0.25">
      <c r="A233" s="3"/>
      <c r="B233" s="6"/>
    </row>
    <row r="234" spans="1:2" x14ac:dyDescent="0.25">
      <c r="A234" s="3"/>
      <c r="B234" s="6"/>
    </row>
    <row r="235" spans="1:2" x14ac:dyDescent="0.25">
      <c r="A235" s="3"/>
      <c r="B235" s="6"/>
    </row>
    <row r="236" spans="1:2" x14ac:dyDescent="0.25">
      <c r="A236" s="3"/>
      <c r="B236" s="6"/>
    </row>
    <row r="237" spans="1:2" x14ac:dyDescent="0.25">
      <c r="A237" s="3"/>
      <c r="B237" s="6"/>
    </row>
    <row r="238" spans="1:2" x14ac:dyDescent="0.25">
      <c r="A238" s="3"/>
      <c r="B238" s="6"/>
    </row>
    <row r="239" spans="1:2" x14ac:dyDescent="0.25">
      <c r="A239" s="3"/>
      <c r="B239" s="6"/>
    </row>
    <row r="240" spans="1:2" x14ac:dyDescent="0.25">
      <c r="A240" s="3"/>
      <c r="B240" s="6"/>
    </row>
    <row r="241" spans="1:2" x14ac:dyDescent="0.25">
      <c r="A241" s="3"/>
      <c r="B241" s="6"/>
    </row>
    <row r="242" spans="1:2" x14ac:dyDescent="0.25">
      <c r="A242" s="3"/>
      <c r="B242" s="6"/>
    </row>
    <row r="243" spans="1:2" x14ac:dyDescent="0.25">
      <c r="A243" s="3"/>
      <c r="B243" s="6"/>
    </row>
    <row r="244" spans="1:2" x14ac:dyDescent="0.25">
      <c r="A244" s="3"/>
      <c r="B244" s="6"/>
    </row>
    <row r="245" spans="1:2" x14ac:dyDescent="0.25">
      <c r="A245" s="3"/>
      <c r="B245" s="6"/>
    </row>
    <row r="246" spans="1:2" x14ac:dyDescent="0.25">
      <c r="A246" s="3"/>
      <c r="B246" s="6"/>
    </row>
    <row r="247" spans="1:2" x14ac:dyDescent="0.25">
      <c r="A247" s="3"/>
      <c r="B247" s="6"/>
    </row>
    <row r="248" spans="1:2" x14ac:dyDescent="0.25">
      <c r="A248" s="3"/>
      <c r="B248" s="6"/>
    </row>
    <row r="249" spans="1:2" x14ac:dyDescent="0.25">
      <c r="A249" s="3"/>
      <c r="B249" s="6"/>
    </row>
    <row r="250" spans="1:2" x14ac:dyDescent="0.25">
      <c r="A250" s="3"/>
      <c r="B250" s="6"/>
    </row>
    <row r="251" spans="1:2" x14ac:dyDescent="0.25">
      <c r="A251" s="3"/>
      <c r="B251" s="6"/>
    </row>
    <row r="252" spans="1:2" x14ac:dyDescent="0.25">
      <c r="A252" s="3"/>
      <c r="B252" s="6"/>
    </row>
    <row r="253" spans="1:2" x14ac:dyDescent="0.25">
      <c r="A253" s="3"/>
      <c r="B253" s="6"/>
    </row>
    <row r="254" spans="1:2" x14ac:dyDescent="0.25">
      <c r="A254" s="3"/>
      <c r="B254" s="6"/>
    </row>
    <row r="255" spans="1:2" x14ac:dyDescent="0.25">
      <c r="A255" s="3"/>
      <c r="B255" s="6"/>
    </row>
    <row r="256" spans="1:2" x14ac:dyDescent="0.25">
      <c r="A256" s="3"/>
      <c r="B256" s="6"/>
    </row>
    <row r="257" spans="1:2" x14ac:dyDescent="0.25">
      <c r="A257" s="3"/>
      <c r="B257" s="6"/>
    </row>
    <row r="258" spans="1:2" x14ac:dyDescent="0.25">
      <c r="A258" s="3"/>
      <c r="B258" s="6"/>
    </row>
    <row r="259" spans="1:2" x14ac:dyDescent="0.25">
      <c r="A259" s="3"/>
      <c r="B259" s="6"/>
    </row>
    <row r="260" spans="1:2" x14ac:dyDescent="0.25">
      <c r="A260" s="3"/>
      <c r="B260" s="6"/>
    </row>
    <row r="261" spans="1:2" x14ac:dyDescent="0.25">
      <c r="A261" s="3"/>
      <c r="B261" s="6"/>
    </row>
    <row r="262" spans="1:2" x14ac:dyDescent="0.25">
      <c r="A262" s="3"/>
      <c r="B262" s="6"/>
    </row>
    <row r="263" spans="1:2" x14ac:dyDescent="0.25">
      <c r="A263" s="3"/>
      <c r="B263" s="6"/>
    </row>
    <row r="264" spans="1:2" x14ac:dyDescent="0.25">
      <c r="A264" s="3"/>
      <c r="B264" s="6"/>
    </row>
    <row r="265" spans="1:2" x14ac:dyDescent="0.25">
      <c r="A265" s="3"/>
      <c r="B265" s="6"/>
    </row>
    <row r="266" spans="1:2" x14ac:dyDescent="0.25">
      <c r="A266" s="3"/>
      <c r="B266" s="6"/>
    </row>
    <row r="267" spans="1:2" x14ac:dyDescent="0.25">
      <c r="A267" s="3"/>
      <c r="B267" s="6"/>
    </row>
    <row r="268" spans="1:2" x14ac:dyDescent="0.25">
      <c r="A268" s="3"/>
      <c r="B268" s="6"/>
    </row>
    <row r="269" spans="1:2" x14ac:dyDescent="0.25">
      <c r="A269" s="3"/>
      <c r="B269" s="6"/>
    </row>
    <row r="270" spans="1:2" x14ac:dyDescent="0.25">
      <c r="A270" s="3"/>
      <c r="B270" s="6"/>
    </row>
    <row r="271" spans="1:2" x14ac:dyDescent="0.25">
      <c r="A271" s="3"/>
      <c r="B271" s="6"/>
    </row>
    <row r="272" spans="1:2" x14ac:dyDescent="0.25">
      <c r="A272" s="3"/>
      <c r="B272" s="6"/>
    </row>
    <row r="273" spans="1:2" x14ac:dyDescent="0.25">
      <c r="A273" s="3"/>
      <c r="B273" s="6"/>
    </row>
    <row r="274" spans="1:2" x14ac:dyDescent="0.25">
      <c r="A274" s="3"/>
      <c r="B274" s="6"/>
    </row>
    <row r="275" spans="1:2" x14ac:dyDescent="0.25">
      <c r="A275" s="3"/>
      <c r="B275" s="6"/>
    </row>
    <row r="276" spans="1:2" x14ac:dyDescent="0.25">
      <c r="A276" s="3"/>
      <c r="B276" s="6"/>
    </row>
    <row r="277" spans="1:2" x14ac:dyDescent="0.25">
      <c r="A277" s="3"/>
      <c r="B277" s="6"/>
    </row>
    <row r="278" spans="1:2" x14ac:dyDescent="0.25">
      <c r="A278" s="3"/>
      <c r="B278" s="6"/>
    </row>
    <row r="279" spans="1:2" x14ac:dyDescent="0.25">
      <c r="A279" s="3"/>
      <c r="B279" s="6"/>
    </row>
    <row r="280" spans="1:2" x14ac:dyDescent="0.25">
      <c r="A280" s="3"/>
      <c r="B280" s="6"/>
    </row>
    <row r="281" spans="1:2" x14ac:dyDescent="0.25">
      <c r="A281" s="3"/>
      <c r="B281" s="6"/>
    </row>
    <row r="282" spans="1:2" x14ac:dyDescent="0.25">
      <c r="A282" s="3"/>
      <c r="B282" s="6"/>
    </row>
    <row r="283" spans="1:2" x14ac:dyDescent="0.25">
      <c r="A283" s="3"/>
      <c r="B283" s="6"/>
    </row>
    <row r="284" spans="1:2" x14ac:dyDescent="0.25">
      <c r="A284" s="3"/>
      <c r="B284" s="6"/>
    </row>
    <row r="285" spans="1:2" x14ac:dyDescent="0.25">
      <c r="A285" s="3"/>
      <c r="B285" s="6"/>
    </row>
    <row r="286" spans="1:2" x14ac:dyDescent="0.25">
      <c r="A286" s="3"/>
      <c r="B286" s="6"/>
    </row>
    <row r="287" spans="1:2" x14ac:dyDescent="0.25">
      <c r="A287" s="3"/>
      <c r="B287" s="6"/>
    </row>
    <row r="288" spans="1:2" x14ac:dyDescent="0.25">
      <c r="A288" s="3"/>
      <c r="B288" s="6"/>
    </row>
    <row r="289" spans="1:2" x14ac:dyDescent="0.25">
      <c r="A289" s="3"/>
      <c r="B289" s="6"/>
    </row>
    <row r="290" spans="1:2" x14ac:dyDescent="0.25">
      <c r="A290" s="3"/>
      <c r="B290" s="6"/>
    </row>
    <row r="291" spans="1:2" x14ac:dyDescent="0.25">
      <c r="A291" s="3"/>
      <c r="B291" s="6"/>
    </row>
    <row r="292" spans="1:2" x14ac:dyDescent="0.25">
      <c r="A292" s="3"/>
      <c r="B292" s="6"/>
    </row>
    <row r="293" spans="1:2" x14ac:dyDescent="0.25">
      <c r="A293" s="3"/>
      <c r="B293" s="6"/>
    </row>
    <row r="294" spans="1:2" x14ac:dyDescent="0.25">
      <c r="A294" s="3"/>
      <c r="B294" s="6"/>
    </row>
    <row r="295" spans="1:2" x14ac:dyDescent="0.25">
      <c r="A295" s="3"/>
      <c r="B295" s="6"/>
    </row>
    <row r="296" spans="1:2" x14ac:dyDescent="0.25">
      <c r="A296" s="3"/>
      <c r="B296" s="6"/>
    </row>
    <row r="297" spans="1:2" x14ac:dyDescent="0.25">
      <c r="A297" s="3"/>
      <c r="B297" s="6"/>
    </row>
    <row r="298" spans="1:2" x14ac:dyDescent="0.25">
      <c r="A298" s="3"/>
      <c r="B298" s="6"/>
    </row>
    <row r="299" spans="1:2" x14ac:dyDescent="0.25">
      <c r="A299" s="3"/>
      <c r="B299" s="6"/>
    </row>
    <row r="300" spans="1:2" x14ac:dyDescent="0.25">
      <c r="A300" s="3"/>
      <c r="B300" s="6"/>
    </row>
    <row r="301" spans="1:2" x14ac:dyDescent="0.25">
      <c r="A301" s="3"/>
      <c r="B301" s="6"/>
    </row>
    <row r="302" spans="1:2" x14ac:dyDescent="0.25">
      <c r="A302" s="3"/>
      <c r="B302" s="6"/>
    </row>
    <row r="303" spans="1:2" x14ac:dyDescent="0.25">
      <c r="A303" s="3"/>
      <c r="B303" s="6"/>
    </row>
    <row r="304" spans="1:2" x14ac:dyDescent="0.25">
      <c r="A304" s="3"/>
      <c r="B304" s="6"/>
    </row>
    <row r="305" spans="1:2" x14ac:dyDescent="0.25">
      <c r="A305" s="3"/>
      <c r="B305" s="6"/>
    </row>
    <row r="306" spans="1:2" x14ac:dyDescent="0.25">
      <c r="A306" s="3"/>
      <c r="B306" s="6"/>
    </row>
    <row r="307" spans="1:2" x14ac:dyDescent="0.25">
      <c r="A307" s="3"/>
      <c r="B307" s="6"/>
    </row>
    <row r="308" spans="1:2" x14ac:dyDescent="0.25">
      <c r="A308" s="3"/>
      <c r="B308" s="6"/>
    </row>
    <row r="309" spans="1:2" x14ac:dyDescent="0.25">
      <c r="A309" s="3"/>
      <c r="B309" s="6"/>
    </row>
    <row r="310" spans="1:2" x14ac:dyDescent="0.25">
      <c r="A310" s="3"/>
      <c r="B310" s="6"/>
    </row>
    <row r="311" spans="1:2" x14ac:dyDescent="0.25">
      <c r="A311" s="3"/>
      <c r="B311" s="6"/>
    </row>
    <row r="312" spans="1:2" x14ac:dyDescent="0.25">
      <c r="A312" s="3"/>
      <c r="B312" s="6"/>
    </row>
    <row r="313" spans="1:2" x14ac:dyDescent="0.25">
      <c r="A313" s="3"/>
      <c r="B313" s="6"/>
    </row>
    <row r="314" spans="1:2" x14ac:dyDescent="0.25">
      <c r="A314" s="3"/>
      <c r="B314" s="6"/>
    </row>
    <row r="315" spans="1:2" x14ac:dyDescent="0.25">
      <c r="A315" s="3"/>
      <c r="B315" s="6"/>
    </row>
    <row r="316" spans="1:2" x14ac:dyDescent="0.25">
      <c r="A316" s="3"/>
      <c r="B316" s="6"/>
    </row>
    <row r="317" spans="1:2" x14ac:dyDescent="0.25">
      <c r="A317" s="3"/>
      <c r="B317" s="6"/>
    </row>
    <row r="318" spans="1:2" x14ac:dyDescent="0.25">
      <c r="A318" s="3"/>
      <c r="B318" s="6"/>
    </row>
    <row r="319" spans="1:2" x14ac:dyDescent="0.25">
      <c r="A319" s="3"/>
      <c r="B319" s="6"/>
    </row>
    <row r="320" spans="1:2" x14ac:dyDescent="0.25">
      <c r="A320" s="3"/>
      <c r="B320" s="6"/>
    </row>
    <row r="321" spans="1:2" x14ac:dyDescent="0.25">
      <c r="A321" s="3"/>
      <c r="B321" s="6"/>
    </row>
    <row r="322" spans="1:2" x14ac:dyDescent="0.25">
      <c r="A322" s="3"/>
      <c r="B322" s="6"/>
    </row>
    <row r="323" spans="1:2" x14ac:dyDescent="0.25">
      <c r="A323" s="3"/>
      <c r="B323" s="6"/>
    </row>
    <row r="324" spans="1:2" x14ac:dyDescent="0.25">
      <c r="A324" s="3"/>
      <c r="B324" s="6"/>
    </row>
    <row r="325" spans="1:2" x14ac:dyDescent="0.25">
      <c r="A325" s="3"/>
      <c r="B325" s="6"/>
    </row>
    <row r="326" spans="1:2" x14ac:dyDescent="0.25">
      <c r="A326" s="3"/>
      <c r="B326" s="6"/>
    </row>
    <row r="327" spans="1:2" x14ac:dyDescent="0.25">
      <c r="A327" s="3"/>
      <c r="B327" s="6"/>
    </row>
    <row r="328" spans="1:2" x14ac:dyDescent="0.25">
      <c r="A328" s="3"/>
      <c r="B328" s="6"/>
    </row>
    <row r="329" spans="1:2" x14ac:dyDescent="0.25">
      <c r="A329" s="3"/>
      <c r="B329" s="6"/>
    </row>
    <row r="330" spans="1:2" x14ac:dyDescent="0.25">
      <c r="A330" s="3"/>
      <c r="B330" s="6"/>
    </row>
    <row r="331" spans="1:2" x14ac:dyDescent="0.25">
      <c r="A331" s="3"/>
      <c r="B331" s="6"/>
    </row>
    <row r="332" spans="1:2" x14ac:dyDescent="0.25">
      <c r="A332" s="3"/>
      <c r="B332" s="6"/>
    </row>
    <row r="333" spans="1:2" x14ac:dyDescent="0.25">
      <c r="A333" s="3"/>
      <c r="B333" s="6"/>
    </row>
    <row r="334" spans="1:2" x14ac:dyDescent="0.25">
      <c r="A334" s="3"/>
      <c r="B334" s="6"/>
    </row>
    <row r="335" spans="1:2" x14ac:dyDescent="0.25">
      <c r="A335" s="3"/>
      <c r="B335" s="6"/>
    </row>
    <row r="336" spans="1:2" x14ac:dyDescent="0.25">
      <c r="A336" s="3"/>
      <c r="B336" s="6"/>
    </row>
    <row r="337" spans="1:2" x14ac:dyDescent="0.25">
      <c r="A337" s="3"/>
      <c r="B337" s="6"/>
    </row>
    <row r="338" spans="1:2" x14ac:dyDescent="0.25">
      <c r="A338" s="3"/>
      <c r="B338" s="6"/>
    </row>
    <row r="339" spans="1:2" x14ac:dyDescent="0.25">
      <c r="A339" s="3"/>
      <c r="B339" s="6"/>
    </row>
    <row r="340" spans="1:2" x14ac:dyDescent="0.25">
      <c r="A340" s="3"/>
      <c r="B340" s="6"/>
    </row>
    <row r="341" spans="1:2" x14ac:dyDescent="0.25">
      <c r="A341" s="3"/>
      <c r="B341" s="6"/>
    </row>
    <row r="342" spans="1:2" x14ac:dyDescent="0.25">
      <c r="A342" s="3"/>
      <c r="B342" s="6"/>
    </row>
    <row r="343" spans="1:2" x14ac:dyDescent="0.25">
      <c r="A343" s="3"/>
      <c r="B343" s="6"/>
    </row>
    <row r="344" spans="1:2" x14ac:dyDescent="0.25">
      <c r="A344" s="3"/>
      <c r="B344" s="6"/>
    </row>
    <row r="345" spans="1:2" x14ac:dyDescent="0.25">
      <c r="A345" s="3"/>
      <c r="B345" s="6"/>
    </row>
    <row r="346" spans="1:2" x14ac:dyDescent="0.25">
      <c r="A346" s="3"/>
      <c r="B346" s="6"/>
    </row>
    <row r="347" spans="1:2" x14ac:dyDescent="0.25">
      <c r="A347" s="3"/>
      <c r="B347" s="6"/>
    </row>
    <row r="348" spans="1:2" x14ac:dyDescent="0.25">
      <c r="A348" s="3"/>
      <c r="B348" s="6"/>
    </row>
    <row r="349" spans="1:2" x14ac:dyDescent="0.25">
      <c r="A349" s="3"/>
      <c r="B349" s="6"/>
    </row>
    <row r="350" spans="1:2" x14ac:dyDescent="0.25">
      <c r="A350" s="3"/>
      <c r="B350" s="6"/>
    </row>
    <row r="351" spans="1:2" x14ac:dyDescent="0.25">
      <c r="A351" s="3"/>
      <c r="B351" s="6"/>
    </row>
    <row r="352" spans="1:2" x14ac:dyDescent="0.25">
      <c r="A352" s="3"/>
      <c r="B352" s="6"/>
    </row>
    <row r="353" spans="1:2" x14ac:dyDescent="0.25">
      <c r="A353" s="3"/>
      <c r="B353" s="6"/>
    </row>
    <row r="354" spans="1:2" x14ac:dyDescent="0.25">
      <c r="A354" s="3"/>
      <c r="B354" s="6"/>
    </row>
    <row r="355" spans="1:2" x14ac:dyDescent="0.25">
      <c r="A355" s="3"/>
      <c r="B355" s="6"/>
    </row>
    <row r="356" spans="1:2" x14ac:dyDescent="0.25">
      <c r="A356" s="3"/>
      <c r="B356" s="6"/>
    </row>
    <row r="357" spans="1:2" x14ac:dyDescent="0.25">
      <c r="A357" s="3"/>
      <c r="B357" s="6"/>
    </row>
    <row r="358" spans="1:2" x14ac:dyDescent="0.25">
      <c r="A358" s="3"/>
      <c r="B358" s="6"/>
    </row>
    <row r="359" spans="1:2" x14ac:dyDescent="0.25">
      <c r="A359" s="3"/>
      <c r="B359" s="6"/>
    </row>
    <row r="360" spans="1:2" x14ac:dyDescent="0.25">
      <c r="A360" s="3"/>
      <c r="B360" s="6"/>
    </row>
    <row r="361" spans="1:2" x14ac:dyDescent="0.25">
      <c r="A361" s="3"/>
      <c r="B361" s="6"/>
    </row>
    <row r="362" spans="1:2" x14ac:dyDescent="0.25">
      <c r="A362" s="3"/>
      <c r="B362" s="6"/>
    </row>
    <row r="363" spans="1:2" x14ac:dyDescent="0.25">
      <c r="A363" s="3"/>
      <c r="B363" s="6"/>
    </row>
    <row r="364" spans="1:2" x14ac:dyDescent="0.25">
      <c r="A364" s="3"/>
      <c r="B364" s="6"/>
    </row>
    <row r="365" spans="1:2" x14ac:dyDescent="0.25">
      <c r="A365" s="3"/>
      <c r="B365" s="6"/>
    </row>
    <row r="366" spans="1:2" x14ac:dyDescent="0.25">
      <c r="A366" s="3"/>
      <c r="B366" s="6"/>
    </row>
    <row r="367" spans="1:2" x14ac:dyDescent="0.25">
      <c r="A367" s="3"/>
      <c r="B367" s="6"/>
    </row>
    <row r="368" spans="1:2" x14ac:dyDescent="0.25">
      <c r="A368" s="3"/>
      <c r="B368" s="6"/>
    </row>
    <row r="369" spans="1:2" x14ac:dyDescent="0.25">
      <c r="A369" s="3"/>
      <c r="B369" s="6"/>
    </row>
    <row r="370" spans="1:2" x14ac:dyDescent="0.25">
      <c r="A370" s="3"/>
      <c r="B370" s="6"/>
    </row>
    <row r="371" spans="1:2" x14ac:dyDescent="0.25">
      <c r="A371" s="3"/>
      <c r="B371" s="6"/>
    </row>
    <row r="372" spans="1:2" x14ac:dyDescent="0.25">
      <c r="A372" s="3"/>
      <c r="B372" s="6"/>
    </row>
    <row r="373" spans="1:2" x14ac:dyDescent="0.25">
      <c r="A373" s="3"/>
      <c r="B373" s="6"/>
    </row>
    <row r="374" spans="1:2" x14ac:dyDescent="0.25">
      <c r="A374" s="3"/>
      <c r="B374" s="6"/>
    </row>
    <row r="375" spans="1:2" x14ac:dyDescent="0.25">
      <c r="A375" s="3"/>
      <c r="B375" s="6"/>
    </row>
    <row r="376" spans="1:2" x14ac:dyDescent="0.25">
      <c r="A376" s="3"/>
      <c r="B376" s="6"/>
    </row>
    <row r="377" spans="1:2" x14ac:dyDescent="0.25">
      <c r="A377" s="3"/>
      <c r="B377" s="6"/>
    </row>
    <row r="378" spans="1:2" x14ac:dyDescent="0.25">
      <c r="A378" s="3"/>
      <c r="B378" s="6"/>
    </row>
    <row r="379" spans="1:2" x14ac:dyDescent="0.25">
      <c r="A379" s="3"/>
      <c r="B379" s="6"/>
    </row>
    <row r="380" spans="1:2" x14ac:dyDescent="0.25">
      <c r="A380" s="3"/>
      <c r="B380" s="6"/>
    </row>
    <row r="381" spans="1:2" x14ac:dyDescent="0.25">
      <c r="A381" s="3"/>
      <c r="B381" s="6"/>
    </row>
    <row r="382" spans="1:2" x14ac:dyDescent="0.25">
      <c r="A382" s="3"/>
      <c r="B382" s="6"/>
    </row>
    <row r="383" spans="1:2" x14ac:dyDescent="0.25">
      <c r="A383" s="3"/>
      <c r="B383" s="6"/>
    </row>
    <row r="384" spans="1:2" x14ac:dyDescent="0.25">
      <c r="A384" s="3"/>
      <c r="B384" s="6"/>
    </row>
    <row r="385" spans="1:2" x14ac:dyDescent="0.25">
      <c r="A385" s="3"/>
      <c r="B385" s="6"/>
    </row>
    <row r="386" spans="1:2" x14ac:dyDescent="0.25">
      <c r="A386" s="3"/>
      <c r="B386" s="6"/>
    </row>
    <row r="387" spans="1:2" x14ac:dyDescent="0.25">
      <c r="A387" s="3"/>
      <c r="B387" s="6"/>
    </row>
    <row r="388" spans="1:2" x14ac:dyDescent="0.25">
      <c r="A388" s="3"/>
      <c r="B388" s="6"/>
    </row>
    <row r="389" spans="1:2" x14ac:dyDescent="0.25">
      <c r="A389" s="3"/>
      <c r="B389" s="6"/>
    </row>
    <row r="390" spans="1:2" x14ac:dyDescent="0.25">
      <c r="A390" s="3"/>
      <c r="B390" s="6"/>
    </row>
    <row r="391" spans="1:2" x14ac:dyDescent="0.25">
      <c r="A391" s="3"/>
      <c r="B391" s="6"/>
    </row>
    <row r="392" spans="1:2" x14ac:dyDescent="0.25">
      <c r="A392" s="3"/>
      <c r="B392" s="6"/>
    </row>
    <row r="393" spans="1:2" x14ac:dyDescent="0.25">
      <c r="A393" s="3"/>
      <c r="B393" s="6"/>
    </row>
    <row r="394" spans="1:2" x14ac:dyDescent="0.25">
      <c r="A394" s="3"/>
      <c r="B394" s="6"/>
    </row>
    <row r="395" spans="1:2" x14ac:dyDescent="0.25">
      <c r="A395" s="3"/>
      <c r="B395" s="6"/>
    </row>
    <row r="396" spans="1:2" x14ac:dyDescent="0.25">
      <c r="A396" s="3"/>
      <c r="B396" s="6"/>
    </row>
    <row r="397" spans="1:2" x14ac:dyDescent="0.25">
      <c r="A397" s="3"/>
      <c r="B397" s="6"/>
    </row>
    <row r="398" spans="1:2" x14ac:dyDescent="0.25">
      <c r="A398" s="3"/>
      <c r="B398" s="6"/>
    </row>
    <row r="399" spans="1:2" x14ac:dyDescent="0.25">
      <c r="A399" s="3"/>
      <c r="B399" s="6"/>
    </row>
    <row r="400" spans="1:2" x14ac:dyDescent="0.25">
      <c r="A400" s="3"/>
      <c r="B400" s="6"/>
    </row>
    <row r="401" spans="1:2" x14ac:dyDescent="0.25">
      <c r="A401" s="3"/>
      <c r="B401" s="6"/>
    </row>
    <row r="402" spans="1:2" x14ac:dyDescent="0.25">
      <c r="A402" s="3"/>
      <c r="B402" s="6"/>
    </row>
    <row r="403" spans="1:2" x14ac:dyDescent="0.25">
      <c r="A403" s="3"/>
      <c r="B403" s="6"/>
    </row>
    <row r="404" spans="1:2" x14ac:dyDescent="0.25">
      <c r="A404" s="3"/>
      <c r="B404" s="6"/>
    </row>
    <row r="405" spans="1:2" x14ac:dyDescent="0.25">
      <c r="A405" s="3"/>
      <c r="B405" s="6"/>
    </row>
    <row r="406" spans="1:2" x14ac:dyDescent="0.25">
      <c r="A406" s="3"/>
      <c r="B406" s="6"/>
    </row>
    <row r="407" spans="1:2" x14ac:dyDescent="0.25">
      <c r="A407" s="3"/>
      <c r="B407" s="6"/>
    </row>
    <row r="408" spans="1:2" x14ac:dyDescent="0.25">
      <c r="A408" s="3"/>
      <c r="B408" s="6"/>
    </row>
    <row r="409" spans="1:2" x14ac:dyDescent="0.25">
      <c r="A409" s="3"/>
      <c r="B409" s="6"/>
    </row>
    <row r="410" spans="1:2" x14ac:dyDescent="0.25">
      <c r="A410" s="3"/>
      <c r="B410" s="6"/>
    </row>
    <row r="411" spans="1:2" x14ac:dyDescent="0.25">
      <c r="A411" s="3"/>
      <c r="B411" s="6"/>
    </row>
    <row r="412" spans="1:2" x14ac:dyDescent="0.25">
      <c r="A412" s="3"/>
      <c r="B412" s="6"/>
    </row>
    <row r="413" spans="1:2" x14ac:dyDescent="0.25">
      <c r="A413" s="3"/>
      <c r="B413" s="6"/>
    </row>
    <row r="414" spans="1:2" x14ac:dyDescent="0.25">
      <c r="A414" s="3"/>
      <c r="B414" s="6"/>
    </row>
    <row r="415" spans="1:2" x14ac:dyDescent="0.25">
      <c r="A415" s="3"/>
      <c r="B415" s="6"/>
    </row>
    <row r="416" spans="1:2" x14ac:dyDescent="0.25">
      <c r="A416" s="3"/>
      <c r="B416" s="6"/>
    </row>
    <row r="417" spans="1:2" x14ac:dyDescent="0.25">
      <c r="A417" s="3"/>
      <c r="B417" s="6"/>
    </row>
    <row r="418" spans="1:2" x14ac:dyDescent="0.25">
      <c r="A418" s="3"/>
      <c r="B418" s="6"/>
    </row>
    <row r="419" spans="1:2" x14ac:dyDescent="0.25">
      <c r="A419" s="3"/>
      <c r="B419" s="6"/>
    </row>
    <row r="420" spans="1:2" x14ac:dyDescent="0.25">
      <c r="A420" s="3"/>
      <c r="B420" s="6"/>
    </row>
    <row r="421" spans="1:2" x14ac:dyDescent="0.25">
      <c r="A421" s="3"/>
      <c r="B421" s="6"/>
    </row>
    <row r="422" spans="1:2" x14ac:dyDescent="0.25">
      <c r="A422" s="3"/>
      <c r="B422" s="6"/>
    </row>
    <row r="423" spans="1:2" x14ac:dyDescent="0.25">
      <c r="A423" s="3"/>
      <c r="B423" s="6"/>
    </row>
    <row r="424" spans="1:2" x14ac:dyDescent="0.25">
      <c r="A424" s="3"/>
      <c r="B424" s="6"/>
    </row>
    <row r="425" spans="1:2" x14ac:dyDescent="0.25">
      <c r="A425" s="3"/>
      <c r="B425" s="6"/>
    </row>
  </sheetData>
  <pageMargins left="0.7" right="0.7" top="0.75" bottom="0.75" header="0.3" footer="0.3"/>
  <pageSetup paperSize="9" orientation="portrait" horizontalDpi="200" verticalDpi="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H40"/>
  <sheetViews>
    <sheetView workbookViewId="0">
      <selection activeCell="H1" sqref="H1:H40"/>
    </sheetView>
  </sheetViews>
  <sheetFormatPr baseColWidth="10" defaultRowHeight="15" x14ac:dyDescent="0.25"/>
  <cols>
    <col min="3" max="3" width="11.85546875" bestFit="1" customWidth="1"/>
  </cols>
  <sheetData>
    <row r="1" spans="1:8" x14ac:dyDescent="0.25">
      <c r="A1" s="111" t="s">
        <v>7303</v>
      </c>
      <c r="B1">
        <v>202</v>
      </c>
      <c r="C1" t="str">
        <f t="shared" ref="C1:C40" si="0">CONCATENATE("EXAMEN ",B1,"/MP3/","Q-",A1," EXAMEN ",B1,".mp3")</f>
        <v>EXAMEN 202/MP3/Q-1 EXAMEN 202.mp3</v>
      </c>
      <c r="H1" t="str">
        <f>CONCATENATE("EXAMEN ",B1,"/MP3/","Q-",A1,".mp3")</f>
        <v>EXAMEN 202/MP3/Q-1.mp3</v>
      </c>
    </row>
    <row r="2" spans="1:8" x14ac:dyDescent="0.25">
      <c r="A2" s="111" t="s">
        <v>7304</v>
      </c>
      <c r="B2">
        <v>202</v>
      </c>
      <c r="C2" t="str">
        <f t="shared" si="0"/>
        <v>EXAMEN 202/MP3/Q-2 EXAMEN 202.mp3</v>
      </c>
      <c r="H2" t="str">
        <f t="shared" ref="H2:H40" si="1">CONCATENATE("EXAMEN ",B2,"/MP3/","Q-",A2,".mp3")</f>
        <v>EXAMEN 202/MP3/Q-2.mp3</v>
      </c>
    </row>
    <row r="3" spans="1:8" x14ac:dyDescent="0.25">
      <c r="A3" s="111" t="s">
        <v>7305</v>
      </c>
      <c r="B3">
        <v>202</v>
      </c>
      <c r="C3" t="str">
        <f t="shared" si="0"/>
        <v>EXAMEN 202/MP3/Q-3 EXAMEN 202.mp3</v>
      </c>
      <c r="H3" t="str">
        <f t="shared" si="1"/>
        <v>EXAMEN 202/MP3/Q-3.mp3</v>
      </c>
    </row>
    <row r="4" spans="1:8" x14ac:dyDescent="0.25">
      <c r="A4" s="111" t="s">
        <v>7306</v>
      </c>
      <c r="B4">
        <v>202</v>
      </c>
      <c r="C4" t="str">
        <f t="shared" si="0"/>
        <v>EXAMEN 202/MP3/Q-4 EXAMEN 202.mp3</v>
      </c>
      <c r="H4" t="str">
        <f t="shared" si="1"/>
        <v>EXAMEN 202/MP3/Q-4.mp3</v>
      </c>
    </row>
    <row r="5" spans="1:8" x14ac:dyDescent="0.25">
      <c r="A5" s="111" t="s">
        <v>7307</v>
      </c>
      <c r="B5">
        <v>202</v>
      </c>
      <c r="C5" t="str">
        <f t="shared" si="0"/>
        <v>EXAMEN 202/MP3/Q-5 EXAMEN 202.mp3</v>
      </c>
      <c r="H5" t="str">
        <f t="shared" si="1"/>
        <v>EXAMEN 202/MP3/Q-5.mp3</v>
      </c>
    </row>
    <row r="6" spans="1:8" x14ac:dyDescent="0.25">
      <c r="A6" s="111" t="s">
        <v>7308</v>
      </c>
      <c r="B6">
        <v>202</v>
      </c>
      <c r="C6" t="str">
        <f t="shared" si="0"/>
        <v>EXAMEN 202/MP3/Q-6 EXAMEN 202.mp3</v>
      </c>
      <c r="H6" t="str">
        <f t="shared" si="1"/>
        <v>EXAMEN 202/MP3/Q-6.mp3</v>
      </c>
    </row>
    <row r="7" spans="1:8" x14ac:dyDescent="0.25">
      <c r="A7" s="111" t="s">
        <v>7309</v>
      </c>
      <c r="B7">
        <v>202</v>
      </c>
      <c r="C7" t="str">
        <f t="shared" si="0"/>
        <v>EXAMEN 202/MP3/Q-7 EXAMEN 202.mp3</v>
      </c>
      <c r="H7" t="str">
        <f t="shared" si="1"/>
        <v>EXAMEN 202/MP3/Q-7.mp3</v>
      </c>
    </row>
    <row r="8" spans="1:8" x14ac:dyDescent="0.25">
      <c r="A8" s="111" t="s">
        <v>7310</v>
      </c>
      <c r="B8">
        <v>202</v>
      </c>
      <c r="C8" t="str">
        <f t="shared" si="0"/>
        <v>EXAMEN 202/MP3/Q-8 EXAMEN 202.mp3</v>
      </c>
      <c r="H8" t="str">
        <f t="shared" si="1"/>
        <v>EXAMEN 202/MP3/Q-8.mp3</v>
      </c>
    </row>
    <row r="9" spans="1:8" x14ac:dyDescent="0.25">
      <c r="A9" s="111" t="s">
        <v>7311</v>
      </c>
      <c r="B9">
        <v>202</v>
      </c>
      <c r="C9" t="str">
        <f t="shared" si="0"/>
        <v>EXAMEN 202/MP3/Q-9 EXAMEN 202.mp3</v>
      </c>
      <c r="H9" t="str">
        <f t="shared" si="1"/>
        <v>EXAMEN 202/MP3/Q-9.mp3</v>
      </c>
    </row>
    <row r="10" spans="1:8" x14ac:dyDescent="0.25">
      <c r="A10">
        <v>10</v>
      </c>
      <c r="B10">
        <v>202</v>
      </c>
      <c r="C10" t="str">
        <f t="shared" si="0"/>
        <v>EXAMEN 202/MP3/Q-10 EXAMEN 202.mp3</v>
      </c>
      <c r="H10" t="str">
        <f t="shared" si="1"/>
        <v>EXAMEN 202/MP3/Q-10.mp3</v>
      </c>
    </row>
    <row r="11" spans="1:8" x14ac:dyDescent="0.25">
      <c r="A11">
        <v>11</v>
      </c>
      <c r="B11">
        <v>202</v>
      </c>
      <c r="C11" t="str">
        <f t="shared" si="0"/>
        <v>EXAMEN 202/MP3/Q-11 EXAMEN 202.mp3</v>
      </c>
      <c r="H11" t="str">
        <f t="shared" si="1"/>
        <v>EXAMEN 202/MP3/Q-11.mp3</v>
      </c>
    </row>
    <row r="12" spans="1:8" x14ac:dyDescent="0.25">
      <c r="A12">
        <v>12</v>
      </c>
      <c r="B12">
        <v>202</v>
      </c>
      <c r="C12" t="str">
        <f t="shared" si="0"/>
        <v>EXAMEN 202/MP3/Q-12 EXAMEN 202.mp3</v>
      </c>
      <c r="H12" t="str">
        <f t="shared" si="1"/>
        <v>EXAMEN 202/MP3/Q-12.mp3</v>
      </c>
    </row>
    <row r="13" spans="1:8" x14ac:dyDescent="0.25">
      <c r="A13">
        <v>13</v>
      </c>
      <c r="B13">
        <v>202</v>
      </c>
      <c r="C13" t="str">
        <f t="shared" si="0"/>
        <v>EXAMEN 202/MP3/Q-13 EXAMEN 202.mp3</v>
      </c>
      <c r="H13" t="str">
        <f t="shared" si="1"/>
        <v>EXAMEN 202/MP3/Q-13.mp3</v>
      </c>
    </row>
    <row r="14" spans="1:8" x14ac:dyDescent="0.25">
      <c r="A14">
        <v>14</v>
      </c>
      <c r="B14">
        <v>202</v>
      </c>
      <c r="C14" t="str">
        <f t="shared" si="0"/>
        <v>EXAMEN 202/MP3/Q-14 EXAMEN 202.mp3</v>
      </c>
      <c r="H14" t="str">
        <f t="shared" si="1"/>
        <v>EXAMEN 202/MP3/Q-14.mp3</v>
      </c>
    </row>
    <row r="15" spans="1:8" x14ac:dyDescent="0.25">
      <c r="A15">
        <v>15</v>
      </c>
      <c r="B15">
        <v>202</v>
      </c>
      <c r="C15" t="str">
        <f t="shared" si="0"/>
        <v>EXAMEN 202/MP3/Q-15 EXAMEN 202.mp3</v>
      </c>
      <c r="H15" t="str">
        <f t="shared" si="1"/>
        <v>EXAMEN 202/MP3/Q-15.mp3</v>
      </c>
    </row>
    <row r="16" spans="1:8" x14ac:dyDescent="0.25">
      <c r="A16">
        <v>16</v>
      </c>
      <c r="B16">
        <v>202</v>
      </c>
      <c r="C16" t="str">
        <f t="shared" si="0"/>
        <v>EXAMEN 202/MP3/Q-16 EXAMEN 202.mp3</v>
      </c>
      <c r="H16" t="str">
        <f t="shared" si="1"/>
        <v>EXAMEN 202/MP3/Q-16.mp3</v>
      </c>
    </row>
    <row r="17" spans="1:8" x14ac:dyDescent="0.25">
      <c r="A17">
        <v>17</v>
      </c>
      <c r="B17">
        <v>202</v>
      </c>
      <c r="C17" t="str">
        <f t="shared" si="0"/>
        <v>EXAMEN 202/MP3/Q-17 EXAMEN 202.mp3</v>
      </c>
      <c r="H17" t="str">
        <f t="shared" si="1"/>
        <v>EXAMEN 202/MP3/Q-17.mp3</v>
      </c>
    </row>
    <row r="18" spans="1:8" x14ac:dyDescent="0.25">
      <c r="A18">
        <v>18</v>
      </c>
      <c r="B18">
        <v>202</v>
      </c>
      <c r="C18" t="str">
        <f t="shared" si="0"/>
        <v>EXAMEN 202/MP3/Q-18 EXAMEN 202.mp3</v>
      </c>
      <c r="H18" t="str">
        <f t="shared" si="1"/>
        <v>EXAMEN 202/MP3/Q-18.mp3</v>
      </c>
    </row>
    <row r="19" spans="1:8" x14ac:dyDescent="0.25">
      <c r="A19">
        <v>19</v>
      </c>
      <c r="B19">
        <v>202</v>
      </c>
      <c r="C19" t="str">
        <f t="shared" si="0"/>
        <v>EXAMEN 202/MP3/Q-19 EXAMEN 202.mp3</v>
      </c>
      <c r="H19" t="str">
        <f t="shared" si="1"/>
        <v>EXAMEN 202/MP3/Q-19.mp3</v>
      </c>
    </row>
    <row r="20" spans="1:8" x14ac:dyDescent="0.25">
      <c r="A20">
        <v>20</v>
      </c>
      <c r="B20">
        <v>202</v>
      </c>
      <c r="C20" t="str">
        <f t="shared" si="0"/>
        <v>EXAMEN 202/MP3/Q-20 EXAMEN 202.mp3</v>
      </c>
      <c r="H20" t="str">
        <f t="shared" si="1"/>
        <v>EXAMEN 202/MP3/Q-20.mp3</v>
      </c>
    </row>
    <row r="21" spans="1:8" x14ac:dyDescent="0.25">
      <c r="A21">
        <v>21</v>
      </c>
      <c r="B21">
        <v>202</v>
      </c>
      <c r="C21" t="str">
        <f t="shared" si="0"/>
        <v>EXAMEN 202/MP3/Q-21 EXAMEN 202.mp3</v>
      </c>
      <c r="H21" t="str">
        <f t="shared" si="1"/>
        <v>EXAMEN 202/MP3/Q-21.mp3</v>
      </c>
    </row>
    <row r="22" spans="1:8" x14ac:dyDescent="0.25">
      <c r="A22">
        <v>22</v>
      </c>
      <c r="B22">
        <v>202</v>
      </c>
      <c r="C22" t="str">
        <f t="shared" si="0"/>
        <v>EXAMEN 202/MP3/Q-22 EXAMEN 202.mp3</v>
      </c>
      <c r="H22" t="str">
        <f t="shared" si="1"/>
        <v>EXAMEN 202/MP3/Q-22.mp3</v>
      </c>
    </row>
    <row r="23" spans="1:8" x14ac:dyDescent="0.25">
      <c r="A23">
        <v>23</v>
      </c>
      <c r="B23">
        <v>202</v>
      </c>
      <c r="C23" t="str">
        <f t="shared" si="0"/>
        <v>EXAMEN 202/MP3/Q-23 EXAMEN 202.mp3</v>
      </c>
      <c r="H23" t="str">
        <f t="shared" si="1"/>
        <v>EXAMEN 202/MP3/Q-23.mp3</v>
      </c>
    </row>
    <row r="24" spans="1:8" x14ac:dyDescent="0.25">
      <c r="A24">
        <v>24</v>
      </c>
      <c r="B24">
        <v>202</v>
      </c>
      <c r="C24" t="str">
        <f t="shared" si="0"/>
        <v>EXAMEN 202/MP3/Q-24 EXAMEN 202.mp3</v>
      </c>
      <c r="H24" t="str">
        <f t="shared" si="1"/>
        <v>EXAMEN 202/MP3/Q-24.mp3</v>
      </c>
    </row>
    <row r="25" spans="1:8" x14ac:dyDescent="0.25">
      <c r="A25">
        <v>25</v>
      </c>
      <c r="B25">
        <v>202</v>
      </c>
      <c r="C25" t="str">
        <f t="shared" si="0"/>
        <v>EXAMEN 202/MP3/Q-25 EXAMEN 202.mp3</v>
      </c>
      <c r="H25" t="str">
        <f t="shared" si="1"/>
        <v>EXAMEN 202/MP3/Q-25.mp3</v>
      </c>
    </row>
    <row r="26" spans="1:8" x14ac:dyDescent="0.25">
      <c r="A26">
        <v>26</v>
      </c>
      <c r="B26">
        <v>202</v>
      </c>
      <c r="C26" t="str">
        <f t="shared" si="0"/>
        <v>EXAMEN 202/MP3/Q-26 EXAMEN 202.mp3</v>
      </c>
      <c r="H26" t="str">
        <f t="shared" si="1"/>
        <v>EXAMEN 202/MP3/Q-26.mp3</v>
      </c>
    </row>
    <row r="27" spans="1:8" x14ac:dyDescent="0.25">
      <c r="A27">
        <v>27</v>
      </c>
      <c r="B27">
        <v>202</v>
      </c>
      <c r="C27" t="str">
        <f t="shared" si="0"/>
        <v>EXAMEN 202/MP3/Q-27 EXAMEN 202.mp3</v>
      </c>
      <c r="H27" t="str">
        <f t="shared" si="1"/>
        <v>EXAMEN 202/MP3/Q-27.mp3</v>
      </c>
    </row>
    <row r="28" spans="1:8" x14ac:dyDescent="0.25">
      <c r="A28">
        <v>28</v>
      </c>
      <c r="B28">
        <v>202</v>
      </c>
      <c r="C28" t="str">
        <f t="shared" si="0"/>
        <v>EXAMEN 202/MP3/Q-28 EXAMEN 202.mp3</v>
      </c>
      <c r="H28" t="str">
        <f t="shared" si="1"/>
        <v>EXAMEN 202/MP3/Q-28.mp3</v>
      </c>
    </row>
    <row r="29" spans="1:8" x14ac:dyDescent="0.25">
      <c r="A29">
        <v>29</v>
      </c>
      <c r="B29">
        <v>202</v>
      </c>
      <c r="C29" t="str">
        <f t="shared" si="0"/>
        <v>EXAMEN 202/MP3/Q-29 EXAMEN 202.mp3</v>
      </c>
      <c r="H29" t="str">
        <f t="shared" si="1"/>
        <v>EXAMEN 202/MP3/Q-29.mp3</v>
      </c>
    </row>
    <row r="30" spans="1:8" x14ac:dyDescent="0.25">
      <c r="A30">
        <v>30</v>
      </c>
      <c r="B30">
        <v>202</v>
      </c>
      <c r="C30" t="str">
        <f t="shared" si="0"/>
        <v>EXAMEN 202/MP3/Q-30 EXAMEN 202.mp3</v>
      </c>
      <c r="H30" t="str">
        <f t="shared" si="1"/>
        <v>EXAMEN 202/MP3/Q-30.mp3</v>
      </c>
    </row>
    <row r="31" spans="1:8" x14ac:dyDescent="0.25">
      <c r="A31">
        <v>31</v>
      </c>
      <c r="B31">
        <v>202</v>
      </c>
      <c r="C31" t="str">
        <f t="shared" si="0"/>
        <v>EXAMEN 202/MP3/Q-31 EXAMEN 202.mp3</v>
      </c>
      <c r="H31" t="str">
        <f t="shared" si="1"/>
        <v>EXAMEN 202/MP3/Q-31.mp3</v>
      </c>
    </row>
    <row r="32" spans="1:8" x14ac:dyDescent="0.25">
      <c r="A32">
        <v>32</v>
      </c>
      <c r="B32">
        <v>202</v>
      </c>
      <c r="C32" t="str">
        <f t="shared" si="0"/>
        <v>EXAMEN 202/MP3/Q-32 EXAMEN 202.mp3</v>
      </c>
      <c r="H32" t="str">
        <f t="shared" si="1"/>
        <v>EXAMEN 202/MP3/Q-32.mp3</v>
      </c>
    </row>
    <row r="33" spans="1:8" x14ac:dyDescent="0.25">
      <c r="A33">
        <v>33</v>
      </c>
      <c r="B33">
        <v>202</v>
      </c>
      <c r="C33" t="str">
        <f t="shared" si="0"/>
        <v>EXAMEN 202/MP3/Q-33 EXAMEN 202.mp3</v>
      </c>
      <c r="H33" t="str">
        <f t="shared" si="1"/>
        <v>EXAMEN 202/MP3/Q-33.mp3</v>
      </c>
    </row>
    <row r="34" spans="1:8" x14ac:dyDescent="0.25">
      <c r="A34">
        <v>34</v>
      </c>
      <c r="B34">
        <v>202</v>
      </c>
      <c r="C34" t="str">
        <f t="shared" si="0"/>
        <v>EXAMEN 202/MP3/Q-34 EXAMEN 202.mp3</v>
      </c>
      <c r="H34" t="str">
        <f t="shared" si="1"/>
        <v>EXAMEN 202/MP3/Q-34.mp3</v>
      </c>
    </row>
    <row r="35" spans="1:8" x14ac:dyDescent="0.25">
      <c r="A35">
        <v>35</v>
      </c>
      <c r="B35">
        <v>202</v>
      </c>
      <c r="C35" t="str">
        <f t="shared" si="0"/>
        <v>EXAMEN 202/MP3/Q-35 EXAMEN 202.mp3</v>
      </c>
      <c r="H35" t="str">
        <f t="shared" si="1"/>
        <v>EXAMEN 202/MP3/Q-35.mp3</v>
      </c>
    </row>
    <row r="36" spans="1:8" x14ac:dyDescent="0.25">
      <c r="A36">
        <v>36</v>
      </c>
      <c r="B36">
        <v>202</v>
      </c>
      <c r="C36" t="str">
        <f t="shared" si="0"/>
        <v>EXAMEN 202/MP3/Q-36 EXAMEN 202.mp3</v>
      </c>
      <c r="H36" t="str">
        <f t="shared" si="1"/>
        <v>EXAMEN 202/MP3/Q-36.mp3</v>
      </c>
    </row>
    <row r="37" spans="1:8" x14ac:dyDescent="0.25">
      <c r="A37">
        <v>37</v>
      </c>
      <c r="B37">
        <v>202</v>
      </c>
      <c r="C37" t="str">
        <f t="shared" si="0"/>
        <v>EXAMEN 202/MP3/Q-37 EXAMEN 202.mp3</v>
      </c>
      <c r="H37" t="str">
        <f t="shared" si="1"/>
        <v>EXAMEN 202/MP3/Q-37.mp3</v>
      </c>
    </row>
    <row r="38" spans="1:8" x14ac:dyDescent="0.25">
      <c r="A38">
        <v>38</v>
      </c>
      <c r="B38">
        <v>202</v>
      </c>
      <c r="C38" t="str">
        <f t="shared" si="0"/>
        <v>EXAMEN 202/MP3/Q-38 EXAMEN 202.mp3</v>
      </c>
      <c r="H38" t="str">
        <f t="shared" si="1"/>
        <v>EXAMEN 202/MP3/Q-38.mp3</v>
      </c>
    </row>
    <row r="39" spans="1:8" x14ac:dyDescent="0.25">
      <c r="A39">
        <v>39</v>
      </c>
      <c r="B39">
        <v>202</v>
      </c>
      <c r="C39" t="str">
        <f t="shared" si="0"/>
        <v>EXAMEN 202/MP3/Q-39 EXAMEN 202.mp3</v>
      </c>
      <c r="H39" t="str">
        <f t="shared" si="1"/>
        <v>EXAMEN 202/MP3/Q-39.mp3</v>
      </c>
    </row>
    <row r="40" spans="1:8" x14ac:dyDescent="0.25">
      <c r="A40">
        <v>40</v>
      </c>
      <c r="B40">
        <v>202</v>
      </c>
      <c r="C40" t="str">
        <f t="shared" si="0"/>
        <v>EXAMEN 202/MP3/Q-40 EXAMEN 202.mp3</v>
      </c>
      <c r="H40" t="str">
        <f t="shared" si="1"/>
        <v>EXAMEN 202/MP3/Q-40.mp3</v>
      </c>
    </row>
  </sheetData>
  <pageMargins left="0.7" right="0.7" top="0.75" bottom="0.75" header="0.3" footer="0.3"/>
  <pageSetup paperSize="9" orientation="portrait" horizontalDpi="200" verticalDpi="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
  <sheetViews>
    <sheetView workbookViewId="0">
      <selection activeCell="D10" sqref="D10"/>
    </sheetView>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Listening</vt:lpstr>
      <vt:lpstr>Normal</vt:lpstr>
      <vt:lpstr>Data</vt:lpstr>
      <vt:lpstr>CONCATENAR</vt:lpstr>
      <vt:lpstr>Ayuda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2013-07-04T15:16:08Z</dcterms:modified>
</cp:coreProperties>
</file>