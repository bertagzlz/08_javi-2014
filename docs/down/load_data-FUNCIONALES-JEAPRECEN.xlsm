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4385" yWindow="-15" windowWidth="14430" windowHeight="13440" tabRatio="411" activeTab="2"/>
  </bookViews>
  <sheets>
    <sheet name="Listening" sheetId="1" r:id="rId1"/>
    <sheet name="Normal" sheetId="4" r:id="rId2"/>
    <sheet name="Data" sheetId="2" r:id="rId3"/>
    <sheet name="CONCATENAR" sheetId="5" r:id="rId4"/>
    <sheet name="Ayuda" sheetId="6" r:id="rId5"/>
  </sheets>
  <functionGroups builtInGroupCount="17"/>
  <definedNames>
    <definedName name="_xlnm._FilterDatabase" localSheetId="0" hidden="1">Listening!$C$122:$F$131</definedName>
    <definedName name="_xlnm._FilterDatabase" localSheetId="1" hidden="1">Normal!$C$3:$F$12</definedName>
  </definedNames>
  <calcPr calcId="145621"/>
</workbook>
</file>

<file path=xl/calcChain.xml><?xml version="1.0" encoding="utf-8"?>
<calcChain xmlns="http://schemas.openxmlformats.org/spreadsheetml/2006/main">
  <c r="N846" i="1" l="1"/>
  <c r="O846" i="1"/>
  <c r="P846" i="1"/>
  <c r="Q846" i="1"/>
  <c r="N847" i="1"/>
  <c r="O847" i="1"/>
  <c r="P847" i="1"/>
  <c r="Q847" i="1"/>
  <c r="N848" i="1"/>
  <c r="O848" i="1"/>
  <c r="P848" i="1"/>
  <c r="Q848" i="1"/>
  <c r="N849" i="1"/>
  <c r="O849" i="1"/>
  <c r="P849" i="1"/>
  <c r="Q849" i="1"/>
  <c r="N850" i="1"/>
  <c r="O850" i="1"/>
  <c r="P850" i="1"/>
  <c r="Q850" i="1"/>
  <c r="N851" i="1"/>
  <c r="O851" i="1"/>
  <c r="P851" i="1"/>
  <c r="Q851" i="1"/>
  <c r="N852" i="1"/>
  <c r="O852" i="1"/>
  <c r="P852" i="1"/>
  <c r="Q852" i="1"/>
  <c r="N853" i="1"/>
  <c r="O853" i="1"/>
  <c r="P853" i="1"/>
  <c r="Q853" i="1"/>
  <c r="N854" i="1"/>
  <c r="O854" i="1"/>
  <c r="P854" i="1"/>
  <c r="Q854" i="1"/>
  <c r="N855" i="1"/>
  <c r="O855" i="1"/>
  <c r="P855" i="1"/>
  <c r="Q855" i="1"/>
  <c r="N856" i="1"/>
  <c r="O856" i="1"/>
  <c r="P856" i="1"/>
  <c r="Q856" i="1"/>
  <c r="N857" i="1"/>
  <c r="O857" i="1"/>
  <c r="P857" i="1"/>
  <c r="Q857" i="1"/>
  <c r="N858" i="1"/>
  <c r="O858" i="1"/>
  <c r="P858" i="1"/>
  <c r="Q858" i="1"/>
  <c r="N859" i="1"/>
  <c r="O859" i="1"/>
  <c r="P859" i="1"/>
  <c r="Q859" i="1"/>
  <c r="N860" i="1"/>
  <c r="O860" i="1"/>
  <c r="P860" i="1"/>
  <c r="Q860" i="1"/>
  <c r="N861" i="1"/>
  <c r="O861" i="1"/>
  <c r="P861" i="1"/>
  <c r="Q861" i="1"/>
  <c r="N862" i="1"/>
  <c r="O862" i="1"/>
  <c r="P862" i="1"/>
  <c r="Q862" i="1"/>
  <c r="N863" i="1"/>
  <c r="O863" i="1"/>
  <c r="P863" i="1"/>
  <c r="Q863" i="1"/>
  <c r="N864" i="1"/>
  <c r="O864" i="1"/>
  <c r="P864" i="1"/>
  <c r="Q864" i="1"/>
  <c r="N865" i="1"/>
  <c r="O865" i="1"/>
  <c r="P865" i="1"/>
  <c r="Q865" i="1"/>
  <c r="N866" i="1"/>
  <c r="O866" i="1"/>
  <c r="P866" i="1"/>
  <c r="Q866" i="1"/>
  <c r="N867" i="1"/>
  <c r="O867" i="1"/>
  <c r="P867" i="1"/>
  <c r="Q867" i="1"/>
  <c r="N868" i="1"/>
  <c r="O868" i="1"/>
  <c r="P868" i="1"/>
  <c r="Q868" i="1"/>
  <c r="N869" i="1"/>
  <c r="O869" i="1"/>
  <c r="P869" i="1"/>
  <c r="Q869" i="1"/>
  <c r="N870" i="1"/>
  <c r="O870" i="1"/>
  <c r="P870" i="1"/>
  <c r="Q870" i="1"/>
  <c r="N871" i="1"/>
  <c r="O871" i="1"/>
  <c r="P871" i="1"/>
  <c r="Q871" i="1"/>
  <c r="N872" i="1"/>
  <c r="O872" i="1"/>
  <c r="P872" i="1"/>
  <c r="Q872" i="1"/>
  <c r="N873" i="1"/>
  <c r="O873" i="1"/>
  <c r="P873" i="1"/>
  <c r="Q873" i="1"/>
  <c r="N874" i="1"/>
  <c r="O874" i="1"/>
  <c r="P874" i="1"/>
  <c r="Q874" i="1"/>
  <c r="N875" i="1"/>
  <c r="O875" i="1"/>
  <c r="P875" i="1"/>
  <c r="Q875" i="1"/>
  <c r="N876" i="1"/>
  <c r="O876" i="1"/>
  <c r="P876" i="1"/>
  <c r="Q876" i="1"/>
  <c r="N877" i="1"/>
  <c r="O877" i="1"/>
  <c r="P877" i="1"/>
  <c r="Q877" i="1"/>
  <c r="N878" i="1"/>
  <c r="O878" i="1"/>
  <c r="P878" i="1"/>
  <c r="Q878" i="1"/>
  <c r="N879" i="1"/>
  <c r="O879" i="1"/>
  <c r="P879" i="1"/>
  <c r="Q879" i="1"/>
  <c r="N880" i="1"/>
  <c r="O880" i="1"/>
  <c r="P880" i="1"/>
  <c r="Q880" i="1"/>
  <c r="N881" i="1"/>
  <c r="O881" i="1"/>
  <c r="P881" i="1"/>
  <c r="Q881" i="1"/>
  <c r="N882" i="1"/>
  <c r="O882" i="1"/>
  <c r="P882" i="1"/>
  <c r="Q882" i="1"/>
  <c r="N883" i="1"/>
  <c r="O883" i="1"/>
  <c r="P883" i="1"/>
  <c r="Q883" i="1"/>
  <c r="N884" i="1"/>
  <c r="O884" i="1"/>
  <c r="P884" i="1"/>
  <c r="Q884" i="1"/>
  <c r="Q845" i="1"/>
  <c r="P845" i="1"/>
  <c r="O845" i="1"/>
  <c r="N845" i="1"/>
  <c r="C1" i="5"/>
  <c r="C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Q924" i="1"/>
  <c r="P924" i="1"/>
  <c r="O924" i="1"/>
  <c r="N924" i="1"/>
  <c r="Q923" i="1"/>
  <c r="P923" i="1"/>
  <c r="O923" i="1"/>
  <c r="N923" i="1"/>
  <c r="Q922" i="1"/>
  <c r="P922" i="1"/>
  <c r="O922" i="1"/>
  <c r="N922" i="1"/>
  <c r="Q921" i="1"/>
  <c r="P921" i="1"/>
  <c r="O921" i="1"/>
  <c r="N921" i="1"/>
  <c r="Q920" i="1"/>
  <c r="P920" i="1"/>
  <c r="O920" i="1"/>
  <c r="N920" i="1"/>
  <c r="Q919" i="1"/>
  <c r="P919" i="1"/>
  <c r="O919" i="1"/>
  <c r="N919" i="1"/>
  <c r="Q918" i="1"/>
  <c r="P918" i="1"/>
  <c r="O918" i="1"/>
  <c r="N918" i="1"/>
  <c r="Q917" i="1"/>
  <c r="P917" i="1"/>
  <c r="O917" i="1"/>
  <c r="N917" i="1"/>
  <c r="Q916" i="1"/>
  <c r="P916" i="1"/>
  <c r="O916" i="1"/>
  <c r="N916" i="1"/>
  <c r="Q915" i="1"/>
  <c r="P915" i="1"/>
  <c r="O915" i="1"/>
  <c r="N915" i="1"/>
  <c r="Q914" i="1"/>
  <c r="P914" i="1"/>
  <c r="O914" i="1"/>
  <c r="N914" i="1"/>
  <c r="Q913" i="1"/>
  <c r="P913" i="1"/>
  <c r="O913" i="1"/>
  <c r="N913" i="1"/>
  <c r="Q912" i="1"/>
  <c r="P912" i="1"/>
  <c r="O912" i="1"/>
  <c r="N912" i="1"/>
  <c r="Q911" i="1"/>
  <c r="P911" i="1"/>
  <c r="O911" i="1"/>
  <c r="N911" i="1"/>
  <c r="Q910" i="1"/>
  <c r="P910" i="1"/>
  <c r="O910" i="1"/>
  <c r="N910" i="1"/>
  <c r="Q909" i="1"/>
  <c r="P909" i="1"/>
  <c r="O909" i="1"/>
  <c r="N909" i="1"/>
  <c r="Q908" i="1"/>
  <c r="P908" i="1"/>
  <c r="O908" i="1"/>
  <c r="N908" i="1"/>
  <c r="Q907" i="1"/>
  <c r="P907" i="1"/>
  <c r="O907" i="1"/>
  <c r="N907" i="1"/>
  <c r="Q906" i="1"/>
  <c r="P906" i="1"/>
  <c r="O906" i="1"/>
  <c r="N906" i="1"/>
  <c r="Q905" i="1"/>
  <c r="P905" i="1"/>
  <c r="O905" i="1"/>
  <c r="N905" i="1"/>
  <c r="Q904" i="1"/>
  <c r="P904" i="1"/>
  <c r="O904" i="1"/>
  <c r="N904" i="1"/>
  <c r="Q903" i="1"/>
  <c r="P903" i="1"/>
  <c r="O903" i="1"/>
  <c r="N903" i="1"/>
  <c r="Q902" i="1"/>
  <c r="P902" i="1"/>
  <c r="O902" i="1"/>
  <c r="N902" i="1"/>
  <c r="Q901" i="1"/>
  <c r="P901" i="1"/>
  <c r="O901" i="1"/>
  <c r="N901" i="1"/>
  <c r="Q900" i="1"/>
  <c r="P900" i="1"/>
  <c r="O900" i="1"/>
  <c r="N900" i="1"/>
  <c r="Q899" i="1"/>
  <c r="P899" i="1"/>
  <c r="O899" i="1"/>
  <c r="N899" i="1"/>
  <c r="Q898" i="1"/>
  <c r="P898" i="1"/>
  <c r="O898" i="1"/>
  <c r="N898" i="1"/>
  <c r="Q897" i="1"/>
  <c r="P897" i="1"/>
  <c r="O897" i="1"/>
  <c r="N897" i="1"/>
  <c r="Q896" i="1"/>
  <c r="P896" i="1"/>
  <c r="O896" i="1"/>
  <c r="N896" i="1"/>
  <c r="Q895" i="1"/>
  <c r="P895" i="1"/>
  <c r="O895" i="1"/>
  <c r="N895" i="1"/>
  <c r="Q894" i="1"/>
  <c r="P894" i="1"/>
  <c r="O894" i="1"/>
  <c r="N894" i="1"/>
  <c r="Q893" i="1"/>
  <c r="P893" i="1"/>
  <c r="O893" i="1"/>
  <c r="N893" i="1"/>
  <c r="Q892" i="1"/>
  <c r="P892" i="1"/>
  <c r="O892" i="1"/>
  <c r="N892" i="1"/>
  <c r="Q891" i="1"/>
  <c r="P891" i="1"/>
  <c r="O891" i="1"/>
  <c r="N891" i="1"/>
  <c r="Q890" i="1"/>
  <c r="P890" i="1"/>
  <c r="O890" i="1"/>
  <c r="N890" i="1"/>
  <c r="Q889" i="1"/>
  <c r="P889" i="1"/>
  <c r="O889" i="1"/>
  <c r="N889" i="1"/>
  <c r="Q888" i="1"/>
  <c r="P888" i="1"/>
  <c r="O888" i="1"/>
  <c r="N888" i="1"/>
  <c r="Q887" i="1"/>
  <c r="P887" i="1"/>
  <c r="O887" i="1"/>
  <c r="N887" i="1"/>
  <c r="Q886" i="1"/>
  <c r="P886" i="1"/>
  <c r="O886" i="1"/>
  <c r="N886" i="1"/>
  <c r="Q885" i="1"/>
  <c r="P885" i="1"/>
  <c r="O885" i="1"/>
  <c r="N885" i="1"/>
  <c r="Y151" i="4" l="1"/>
  <c r="X151" i="4"/>
  <c r="W151" i="4"/>
  <c r="V151" i="4"/>
  <c r="T151" i="4"/>
  <c r="S151" i="4"/>
  <c r="R151" i="4"/>
  <c r="Q151" i="4"/>
  <c r="Y150" i="4"/>
  <c r="X150" i="4"/>
  <c r="W150" i="4"/>
  <c r="V150" i="4"/>
  <c r="T150" i="4"/>
  <c r="S150" i="4"/>
  <c r="R150" i="4"/>
  <c r="Q150" i="4"/>
  <c r="Y149" i="4"/>
  <c r="X149" i="4"/>
  <c r="W149" i="4"/>
  <c r="V149" i="4"/>
  <c r="T149" i="4"/>
  <c r="S149" i="4"/>
  <c r="R149" i="4"/>
  <c r="Q149" i="4"/>
  <c r="Y148" i="4"/>
  <c r="X148" i="4"/>
  <c r="W148" i="4"/>
  <c r="V148" i="4"/>
  <c r="T148" i="4"/>
  <c r="S148" i="4"/>
  <c r="R148" i="4"/>
  <c r="Q148" i="4"/>
  <c r="Y147" i="4"/>
  <c r="X147" i="4"/>
  <c r="W147" i="4"/>
  <c r="V147" i="4"/>
  <c r="T147" i="4"/>
  <c r="S147" i="4"/>
  <c r="R147" i="4"/>
  <c r="Q147" i="4"/>
  <c r="Y146" i="4"/>
  <c r="X146" i="4"/>
  <c r="W146" i="4"/>
  <c r="V146" i="4"/>
  <c r="T146" i="4"/>
  <c r="S146" i="4"/>
  <c r="R146" i="4"/>
  <c r="Q146" i="4"/>
  <c r="Y145" i="4"/>
  <c r="X145" i="4"/>
  <c r="W145" i="4"/>
  <c r="V145" i="4"/>
  <c r="T145" i="4"/>
  <c r="S145" i="4"/>
  <c r="R145" i="4"/>
  <c r="Q145" i="4"/>
  <c r="Y144" i="4"/>
  <c r="X144" i="4"/>
  <c r="W144" i="4"/>
  <c r="V144" i="4"/>
  <c r="T144" i="4"/>
  <c r="S144" i="4"/>
  <c r="R144" i="4"/>
  <c r="Q144" i="4"/>
  <c r="Y143" i="4"/>
  <c r="X143" i="4"/>
  <c r="W143" i="4"/>
  <c r="V143" i="4"/>
  <c r="T143" i="4"/>
  <c r="S143" i="4"/>
  <c r="R143" i="4"/>
  <c r="Q143" i="4"/>
  <c r="Y142" i="4"/>
  <c r="X142" i="4"/>
  <c r="W142" i="4"/>
  <c r="V142" i="4"/>
  <c r="T142" i="4"/>
  <c r="S142" i="4"/>
  <c r="R142" i="4"/>
  <c r="Q142" i="4"/>
  <c r="Y141" i="4"/>
  <c r="X141" i="4"/>
  <c r="W141" i="4"/>
  <c r="V141" i="4"/>
  <c r="T141" i="4"/>
  <c r="S141" i="4"/>
  <c r="R141" i="4"/>
  <c r="Q141" i="4"/>
  <c r="Y140" i="4"/>
  <c r="X140" i="4"/>
  <c r="W140" i="4"/>
  <c r="V140" i="4"/>
  <c r="T140" i="4"/>
  <c r="S140" i="4"/>
  <c r="R140" i="4"/>
  <c r="Q140" i="4"/>
  <c r="Y139" i="4"/>
  <c r="X139" i="4"/>
  <c r="W139" i="4"/>
  <c r="V139" i="4"/>
  <c r="T139" i="4"/>
  <c r="S139" i="4"/>
  <c r="R139" i="4"/>
  <c r="Q139" i="4"/>
  <c r="Y138" i="4"/>
  <c r="X138" i="4"/>
  <c r="W138" i="4"/>
  <c r="V138" i="4"/>
  <c r="T138" i="4"/>
  <c r="S138" i="4"/>
  <c r="R138" i="4"/>
  <c r="Q138" i="4"/>
  <c r="Y137" i="4"/>
  <c r="X137" i="4"/>
  <c r="W137" i="4"/>
  <c r="V137" i="4"/>
  <c r="T137" i="4"/>
  <c r="S137" i="4"/>
  <c r="R137" i="4"/>
  <c r="Q137" i="4"/>
  <c r="Y136" i="4"/>
  <c r="X136" i="4"/>
  <c r="W136" i="4"/>
  <c r="V136" i="4"/>
  <c r="T136" i="4"/>
  <c r="S136" i="4"/>
  <c r="R136" i="4"/>
  <c r="Q136" i="4"/>
  <c r="Y135" i="4"/>
  <c r="X135" i="4"/>
  <c r="W135" i="4"/>
  <c r="V135" i="4"/>
  <c r="T135" i="4"/>
  <c r="S135" i="4"/>
  <c r="R135" i="4"/>
  <c r="Q135" i="4"/>
  <c r="Y134" i="4"/>
  <c r="X134" i="4"/>
  <c r="W134" i="4"/>
  <c r="V134" i="4"/>
  <c r="T134" i="4"/>
  <c r="S134" i="4"/>
  <c r="R134" i="4"/>
  <c r="Q134" i="4"/>
  <c r="Y133" i="4"/>
  <c r="X133" i="4"/>
  <c r="W133" i="4"/>
  <c r="V133" i="4"/>
  <c r="T133" i="4"/>
  <c r="S133" i="4"/>
  <c r="R133" i="4"/>
  <c r="Q133" i="4"/>
  <c r="Y132" i="4"/>
  <c r="X132" i="4"/>
  <c r="W132" i="4"/>
  <c r="V132" i="4"/>
  <c r="T132" i="4"/>
  <c r="S132" i="4"/>
  <c r="R132" i="4"/>
  <c r="Q132" i="4"/>
  <c r="Q94" i="4" l="1"/>
  <c r="R94" i="4"/>
  <c r="S94" i="4"/>
  <c r="T94" i="4"/>
  <c r="V94" i="4"/>
  <c r="W94" i="4"/>
  <c r="X94" i="4"/>
  <c r="Y94" i="4"/>
  <c r="Q95" i="4"/>
  <c r="R95" i="4"/>
  <c r="S95" i="4"/>
  <c r="T95" i="4"/>
  <c r="V95" i="4"/>
  <c r="W95" i="4"/>
  <c r="X95" i="4"/>
  <c r="Y95" i="4"/>
  <c r="Q96" i="4"/>
  <c r="R96" i="4"/>
  <c r="S96" i="4"/>
  <c r="T96" i="4"/>
  <c r="V96" i="4"/>
  <c r="W96" i="4"/>
  <c r="X96" i="4"/>
  <c r="Y96" i="4"/>
  <c r="Q97" i="4"/>
  <c r="R97" i="4"/>
  <c r="S97" i="4"/>
  <c r="T97" i="4"/>
  <c r="V97" i="4"/>
  <c r="W97" i="4"/>
  <c r="X97" i="4"/>
  <c r="Y97" i="4"/>
  <c r="Q98" i="4"/>
  <c r="R98" i="4"/>
  <c r="S98" i="4"/>
  <c r="T98" i="4"/>
  <c r="V98" i="4"/>
  <c r="W98" i="4"/>
  <c r="X98" i="4"/>
  <c r="Y98" i="4"/>
  <c r="Q99" i="4"/>
  <c r="R99" i="4"/>
  <c r="S99" i="4"/>
  <c r="T99" i="4"/>
  <c r="V99" i="4"/>
  <c r="W99" i="4"/>
  <c r="X99" i="4"/>
  <c r="Y99" i="4"/>
  <c r="Q100" i="4"/>
  <c r="R100" i="4"/>
  <c r="S100" i="4"/>
  <c r="T100" i="4"/>
  <c r="V100" i="4"/>
  <c r="W100" i="4"/>
  <c r="X100" i="4"/>
  <c r="Y100" i="4"/>
  <c r="Q101" i="4"/>
  <c r="R101" i="4"/>
  <c r="S101" i="4"/>
  <c r="T101" i="4"/>
  <c r="V101" i="4"/>
  <c r="W101" i="4"/>
  <c r="X101" i="4"/>
  <c r="Y101" i="4"/>
  <c r="Q102" i="4"/>
  <c r="R102" i="4"/>
  <c r="S102" i="4"/>
  <c r="T102" i="4"/>
  <c r="V102" i="4"/>
  <c r="W102" i="4"/>
  <c r="X102" i="4"/>
  <c r="Y102" i="4"/>
  <c r="Q103" i="4"/>
  <c r="R103" i="4"/>
  <c r="S103" i="4"/>
  <c r="T103" i="4"/>
  <c r="V103" i="4"/>
  <c r="W103" i="4"/>
  <c r="X103" i="4"/>
  <c r="Y103" i="4"/>
  <c r="Q104" i="4"/>
  <c r="R104" i="4"/>
  <c r="S104" i="4"/>
  <c r="T104" i="4"/>
  <c r="V104" i="4"/>
  <c r="W104" i="4"/>
  <c r="X104" i="4"/>
  <c r="Y104" i="4"/>
  <c r="Q105" i="4"/>
  <c r="R105" i="4"/>
  <c r="S105" i="4"/>
  <c r="T105" i="4"/>
  <c r="V105" i="4"/>
  <c r="W105" i="4"/>
  <c r="X105" i="4"/>
  <c r="Y105" i="4"/>
  <c r="Q106" i="4"/>
  <c r="R106" i="4"/>
  <c r="S106" i="4"/>
  <c r="T106" i="4"/>
  <c r="V106" i="4"/>
  <c r="W106" i="4"/>
  <c r="X106" i="4"/>
  <c r="Y106" i="4"/>
  <c r="Q107" i="4"/>
  <c r="R107" i="4"/>
  <c r="S107" i="4"/>
  <c r="T107" i="4"/>
  <c r="V107" i="4"/>
  <c r="W107" i="4"/>
  <c r="X107" i="4"/>
  <c r="Y107" i="4"/>
  <c r="Q108" i="4"/>
  <c r="R108" i="4"/>
  <c r="S108" i="4"/>
  <c r="T108" i="4"/>
  <c r="V108" i="4"/>
  <c r="W108" i="4"/>
  <c r="X108" i="4"/>
  <c r="Y108" i="4"/>
  <c r="Q109" i="4"/>
  <c r="R109" i="4"/>
  <c r="S109" i="4"/>
  <c r="T109" i="4"/>
  <c r="V109" i="4"/>
  <c r="W109" i="4"/>
  <c r="X109" i="4"/>
  <c r="Y109" i="4"/>
  <c r="Q110" i="4"/>
  <c r="R110" i="4"/>
  <c r="S110" i="4"/>
  <c r="T110" i="4"/>
  <c r="V110" i="4"/>
  <c r="W110" i="4"/>
  <c r="X110" i="4"/>
  <c r="Y110" i="4"/>
  <c r="Q111" i="4"/>
  <c r="R111" i="4"/>
  <c r="S111" i="4"/>
  <c r="T111" i="4"/>
  <c r="V111" i="4"/>
  <c r="W111" i="4"/>
  <c r="X111" i="4"/>
  <c r="Y111" i="4"/>
  <c r="Y93" i="4"/>
  <c r="X93" i="4"/>
  <c r="W93" i="4"/>
  <c r="V93" i="4"/>
  <c r="T93" i="4"/>
  <c r="S93" i="4"/>
  <c r="R93" i="4"/>
  <c r="Q93" i="4"/>
  <c r="Q112" i="4"/>
  <c r="V128" i="4"/>
  <c r="W128" i="4"/>
  <c r="X128" i="4"/>
  <c r="Y128" i="4"/>
  <c r="V129" i="4"/>
  <c r="W129" i="4"/>
  <c r="X129" i="4"/>
  <c r="Y129" i="4"/>
  <c r="V130" i="4"/>
  <c r="W130" i="4"/>
  <c r="X130" i="4"/>
  <c r="Y130" i="4"/>
  <c r="V131" i="4"/>
  <c r="W131" i="4"/>
  <c r="X131" i="4"/>
  <c r="Y131" i="4"/>
  <c r="Q113" i="4"/>
  <c r="R113" i="4"/>
  <c r="S113" i="4"/>
  <c r="T113" i="4"/>
  <c r="Q114" i="4"/>
  <c r="R114" i="4"/>
  <c r="S114" i="4"/>
  <c r="T114" i="4"/>
  <c r="Q115" i="4"/>
  <c r="R115" i="4"/>
  <c r="S115" i="4"/>
  <c r="T115" i="4"/>
  <c r="Q116" i="4"/>
  <c r="R116" i="4"/>
  <c r="S116" i="4"/>
  <c r="T116" i="4"/>
  <c r="Q117" i="4"/>
  <c r="R117" i="4"/>
  <c r="S117" i="4"/>
  <c r="T117" i="4"/>
  <c r="Q118" i="4"/>
  <c r="R118" i="4"/>
  <c r="S118" i="4"/>
  <c r="T118" i="4"/>
  <c r="Q119" i="4"/>
  <c r="R119" i="4"/>
  <c r="S119" i="4"/>
  <c r="T119" i="4"/>
  <c r="Q120" i="4"/>
  <c r="R120" i="4"/>
  <c r="S120" i="4"/>
  <c r="T120" i="4"/>
  <c r="Q121" i="4"/>
  <c r="R121" i="4"/>
  <c r="S121" i="4"/>
  <c r="T121" i="4"/>
  <c r="Q122" i="4"/>
  <c r="R122" i="4"/>
  <c r="S122" i="4"/>
  <c r="T122" i="4"/>
  <c r="Q123" i="4"/>
  <c r="R123" i="4"/>
  <c r="S123" i="4"/>
  <c r="T123" i="4"/>
  <c r="Q124" i="4"/>
  <c r="R124" i="4"/>
  <c r="S124" i="4"/>
  <c r="T124" i="4"/>
  <c r="Q125" i="4"/>
  <c r="R125" i="4"/>
  <c r="S125" i="4"/>
  <c r="T125" i="4"/>
  <c r="Q126" i="4"/>
  <c r="R126" i="4"/>
  <c r="S126" i="4"/>
  <c r="T126" i="4"/>
  <c r="Q127" i="4"/>
  <c r="R127" i="4"/>
  <c r="S127" i="4"/>
  <c r="T127" i="4"/>
  <c r="Q128" i="4"/>
  <c r="R128" i="4"/>
  <c r="S128" i="4"/>
  <c r="T128" i="4"/>
  <c r="Q129" i="4"/>
  <c r="R129" i="4"/>
  <c r="S129" i="4"/>
  <c r="T129" i="4"/>
  <c r="Q130" i="4"/>
  <c r="R130" i="4"/>
  <c r="S130" i="4"/>
  <c r="T130" i="4"/>
  <c r="Q131" i="4"/>
  <c r="R131" i="4"/>
  <c r="S131" i="4"/>
  <c r="T131" i="4"/>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42" i="1"/>
  <c r="N203" i="1"/>
  <c r="O203" i="1"/>
  <c r="P203" i="1"/>
  <c r="Q203" i="1"/>
  <c r="N204" i="1"/>
  <c r="O204" i="1"/>
  <c r="P204" i="1"/>
  <c r="Q204" i="1"/>
  <c r="N205" i="1"/>
  <c r="O205" i="1"/>
  <c r="P205" i="1"/>
  <c r="Q205" i="1"/>
  <c r="N206" i="1"/>
  <c r="O206" i="1"/>
  <c r="P206" i="1"/>
  <c r="Q206" i="1"/>
  <c r="N207" i="1"/>
  <c r="O207" i="1"/>
  <c r="P207" i="1"/>
  <c r="Q207" i="1"/>
  <c r="N208" i="1"/>
  <c r="O208" i="1"/>
  <c r="P208" i="1"/>
  <c r="Q208" i="1"/>
  <c r="N209" i="1"/>
  <c r="O209" i="1"/>
  <c r="P209" i="1"/>
  <c r="Q209" i="1"/>
  <c r="N210" i="1"/>
  <c r="O210" i="1"/>
  <c r="P210" i="1"/>
  <c r="Q210" i="1"/>
  <c r="N211" i="1"/>
  <c r="O211" i="1"/>
  <c r="P211" i="1"/>
  <c r="Q211" i="1"/>
  <c r="N212" i="1"/>
  <c r="O212" i="1"/>
  <c r="P212" i="1"/>
  <c r="Q212" i="1"/>
  <c r="N213" i="1"/>
  <c r="O213" i="1"/>
  <c r="P213" i="1"/>
  <c r="Q213" i="1"/>
  <c r="N214" i="1"/>
  <c r="O214" i="1"/>
  <c r="P214" i="1"/>
  <c r="Q214" i="1"/>
  <c r="N215" i="1"/>
  <c r="O215" i="1"/>
  <c r="P215" i="1"/>
  <c r="Q215" i="1"/>
  <c r="N216" i="1"/>
  <c r="O216" i="1"/>
  <c r="P216" i="1"/>
  <c r="Q216" i="1"/>
  <c r="N217" i="1"/>
  <c r="O217" i="1"/>
  <c r="P217" i="1"/>
  <c r="Q217" i="1"/>
  <c r="N218" i="1"/>
  <c r="O218" i="1"/>
  <c r="P218" i="1"/>
  <c r="Q218" i="1"/>
  <c r="N219" i="1"/>
  <c r="O219" i="1"/>
  <c r="P219" i="1"/>
  <c r="Q219" i="1"/>
  <c r="N220" i="1"/>
  <c r="O220" i="1"/>
  <c r="P220" i="1"/>
  <c r="Q220" i="1"/>
  <c r="N221" i="1"/>
  <c r="O221" i="1"/>
  <c r="P221" i="1"/>
  <c r="Q221" i="1"/>
  <c r="N222" i="1"/>
  <c r="O222" i="1"/>
  <c r="P222" i="1"/>
  <c r="Q222" i="1"/>
  <c r="N223" i="1"/>
  <c r="O223" i="1"/>
  <c r="P223" i="1"/>
  <c r="Q223" i="1"/>
  <c r="N224" i="1"/>
  <c r="O224" i="1"/>
  <c r="P224" i="1"/>
  <c r="Q224" i="1"/>
  <c r="N225" i="1"/>
  <c r="O225" i="1"/>
  <c r="P225" i="1"/>
  <c r="Q225" i="1"/>
  <c r="N226" i="1"/>
  <c r="O226" i="1"/>
  <c r="P226" i="1"/>
  <c r="Q226" i="1"/>
  <c r="N227" i="1"/>
  <c r="O227" i="1"/>
  <c r="P227" i="1"/>
  <c r="Q227" i="1"/>
  <c r="N228" i="1"/>
  <c r="O228" i="1"/>
  <c r="P228" i="1"/>
  <c r="Q228" i="1"/>
  <c r="N229" i="1"/>
  <c r="O229" i="1"/>
  <c r="P229" i="1"/>
  <c r="Q229" i="1"/>
  <c r="N230" i="1"/>
  <c r="O230" i="1"/>
  <c r="P230" i="1"/>
  <c r="Q230" i="1"/>
  <c r="N231" i="1"/>
  <c r="O231" i="1"/>
  <c r="P231" i="1"/>
  <c r="Q231" i="1"/>
  <c r="N232" i="1"/>
  <c r="O232" i="1"/>
  <c r="P232" i="1"/>
  <c r="Q232" i="1"/>
  <c r="N233" i="1"/>
  <c r="O233" i="1"/>
  <c r="P233" i="1"/>
  <c r="Q233" i="1"/>
  <c r="N234" i="1"/>
  <c r="O234" i="1"/>
  <c r="P234" i="1"/>
  <c r="Q234" i="1"/>
  <c r="N235" i="1"/>
  <c r="O235" i="1"/>
  <c r="P235" i="1"/>
  <c r="Q235" i="1"/>
  <c r="N236" i="1"/>
  <c r="O236" i="1"/>
  <c r="P236" i="1"/>
  <c r="Q236" i="1"/>
  <c r="N237" i="1"/>
  <c r="O237" i="1"/>
  <c r="P237" i="1"/>
  <c r="Q237" i="1"/>
  <c r="N238" i="1"/>
  <c r="O238" i="1"/>
  <c r="P238" i="1"/>
  <c r="Q238" i="1"/>
  <c r="N239" i="1"/>
  <c r="O239" i="1"/>
  <c r="P239" i="1"/>
  <c r="Q239" i="1"/>
  <c r="N240" i="1"/>
  <c r="O240" i="1"/>
  <c r="P240" i="1"/>
  <c r="Q240" i="1"/>
  <c r="N241" i="1"/>
  <c r="O241" i="1"/>
  <c r="P241" i="1"/>
  <c r="Q241" i="1"/>
  <c r="Q202" i="1"/>
  <c r="P202" i="1"/>
  <c r="O202" i="1"/>
  <c r="N202" i="1"/>
  <c r="N2" i="1"/>
  <c r="Q63" i="1"/>
  <c r="Q64" i="1"/>
  <c r="Q65" i="1"/>
  <c r="Q66" i="1"/>
  <c r="Q67" i="1"/>
  <c r="Q68" i="1"/>
  <c r="Q69" i="1"/>
  <c r="Q70" i="1"/>
  <c r="Q71" i="1"/>
  <c r="Q72" i="1"/>
  <c r="Q73" i="1"/>
  <c r="Q74" i="1"/>
  <c r="Q75" i="1"/>
  <c r="Q76" i="1"/>
  <c r="Q77" i="1"/>
  <c r="Q78" i="1"/>
  <c r="Q79" i="1"/>
  <c r="Q80" i="1"/>
  <c r="Q81" i="1"/>
  <c r="Q62" i="1"/>
  <c r="P62" i="1"/>
  <c r="P63" i="1"/>
  <c r="P64" i="1"/>
  <c r="P65" i="1"/>
  <c r="P66" i="1"/>
  <c r="P67" i="1"/>
  <c r="P68" i="1"/>
  <c r="P69" i="1"/>
  <c r="P70" i="1"/>
  <c r="P71" i="1"/>
  <c r="P72" i="1"/>
  <c r="P73" i="1"/>
  <c r="P74" i="1"/>
  <c r="P75" i="1"/>
  <c r="P76" i="1"/>
  <c r="P77" i="1"/>
  <c r="P78" i="1"/>
  <c r="P79" i="1"/>
  <c r="P80" i="1"/>
  <c r="P81" i="1"/>
  <c r="O63" i="1"/>
  <c r="O64" i="1"/>
  <c r="O65" i="1"/>
  <c r="O66" i="1"/>
  <c r="O67" i="1"/>
  <c r="O68" i="1"/>
  <c r="O69" i="1"/>
  <c r="O70" i="1"/>
  <c r="O71" i="1"/>
  <c r="O72" i="1"/>
  <c r="O73" i="1"/>
  <c r="O74" i="1"/>
  <c r="O75" i="1"/>
  <c r="O76" i="1"/>
  <c r="O77" i="1"/>
  <c r="O78" i="1"/>
  <c r="O79" i="1"/>
  <c r="O80" i="1"/>
  <c r="O81" i="1"/>
  <c r="O6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553" i="1"/>
  <c r="N554" i="1"/>
  <c r="N555" i="1"/>
  <c r="N556" i="1"/>
  <c r="N557" i="1"/>
  <c r="N558" i="1"/>
  <c r="N559" i="1"/>
  <c r="N560" i="1"/>
  <c r="N561" i="1"/>
  <c r="N562"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O27" i="1"/>
  <c r="V113" i="4"/>
  <c r="W113" i="4"/>
  <c r="X113" i="4"/>
  <c r="Y113" i="4"/>
  <c r="V114" i="4"/>
  <c r="W114" i="4"/>
  <c r="X114" i="4"/>
  <c r="Y114" i="4"/>
  <c r="V115" i="4"/>
  <c r="W115" i="4"/>
  <c r="X115" i="4"/>
  <c r="Y115" i="4"/>
  <c r="V116" i="4"/>
  <c r="W116" i="4"/>
  <c r="X116" i="4"/>
  <c r="Y116" i="4"/>
  <c r="V117" i="4"/>
  <c r="W117" i="4"/>
  <c r="X117" i="4"/>
  <c r="Y117" i="4"/>
  <c r="V118" i="4"/>
  <c r="W118" i="4"/>
  <c r="X118" i="4"/>
  <c r="Y118" i="4"/>
  <c r="V119" i="4"/>
  <c r="W119" i="4"/>
  <c r="X119" i="4"/>
  <c r="Y119" i="4"/>
  <c r="V120" i="4"/>
  <c r="W120" i="4"/>
  <c r="X120" i="4"/>
  <c r="Y120" i="4"/>
  <c r="V121" i="4"/>
  <c r="W121" i="4"/>
  <c r="X121" i="4"/>
  <c r="Y121" i="4"/>
  <c r="V122" i="4"/>
  <c r="W122" i="4"/>
  <c r="X122" i="4"/>
  <c r="Y122" i="4"/>
  <c r="V123" i="4"/>
  <c r="W123" i="4"/>
  <c r="X123" i="4"/>
  <c r="Y123" i="4"/>
  <c r="V124" i="4"/>
  <c r="W124" i="4"/>
  <c r="X124" i="4"/>
  <c r="Y124" i="4"/>
  <c r="V125" i="4"/>
  <c r="W125" i="4"/>
  <c r="X125" i="4"/>
  <c r="Y125" i="4"/>
  <c r="V126" i="4"/>
  <c r="W126" i="4"/>
  <c r="X126" i="4"/>
  <c r="Y126" i="4"/>
  <c r="V127" i="4"/>
  <c r="W127" i="4"/>
  <c r="X127" i="4"/>
  <c r="Y127" i="4"/>
  <c r="Y112" i="4"/>
  <c r="X112" i="4"/>
  <c r="W112" i="4"/>
  <c r="V112" i="4"/>
  <c r="T112" i="4"/>
  <c r="S112" i="4"/>
  <c r="R112" i="4"/>
  <c r="Q33" i="4"/>
  <c r="R33" i="4"/>
  <c r="S33" i="4"/>
  <c r="T33" i="4"/>
  <c r="U33" i="4"/>
  <c r="V33" i="4"/>
  <c r="W33" i="4"/>
  <c r="X33" i="4"/>
  <c r="Q34" i="4"/>
  <c r="R34" i="4"/>
  <c r="S34" i="4"/>
  <c r="T34" i="4"/>
  <c r="U34" i="4"/>
  <c r="V34" i="4"/>
  <c r="W34" i="4"/>
  <c r="X34" i="4"/>
  <c r="Q35" i="4"/>
  <c r="R35" i="4"/>
  <c r="S35" i="4"/>
  <c r="T35" i="4"/>
  <c r="U35" i="4"/>
  <c r="V35" i="4"/>
  <c r="W35" i="4"/>
  <c r="X35" i="4"/>
  <c r="Q36" i="4"/>
  <c r="R36" i="4"/>
  <c r="S36" i="4"/>
  <c r="T36" i="4"/>
  <c r="U36" i="4"/>
  <c r="V36" i="4"/>
  <c r="W36" i="4"/>
  <c r="X36" i="4"/>
  <c r="X32" i="4"/>
  <c r="W32" i="4"/>
  <c r="V32" i="4"/>
  <c r="U32" i="4"/>
  <c r="T32" i="4"/>
  <c r="S32" i="4"/>
  <c r="R32" i="4"/>
  <c r="Q32" i="4"/>
  <c r="O28" i="1"/>
  <c r="P28" i="1"/>
  <c r="Q28" i="1"/>
  <c r="R28" i="1"/>
  <c r="O29" i="1"/>
  <c r="P29" i="1"/>
  <c r="Q29" i="1"/>
  <c r="R29" i="1"/>
  <c r="O30" i="1"/>
  <c r="P30" i="1"/>
  <c r="Q30" i="1"/>
  <c r="R30" i="1"/>
  <c r="O31" i="1"/>
  <c r="P31" i="1"/>
  <c r="Q31" i="1"/>
  <c r="R31" i="1"/>
  <c r="O32" i="1"/>
  <c r="P32" i="1"/>
  <c r="Q32" i="1"/>
  <c r="R32" i="1"/>
  <c r="O33" i="1"/>
  <c r="P33" i="1"/>
  <c r="Q33" i="1"/>
  <c r="R33" i="1"/>
  <c r="O34" i="1"/>
  <c r="P34" i="1"/>
  <c r="Q34" i="1"/>
  <c r="R34" i="1"/>
  <c r="O35" i="1"/>
  <c r="P35" i="1"/>
  <c r="Q35" i="1"/>
  <c r="R35" i="1"/>
  <c r="O36" i="1"/>
  <c r="P36" i="1"/>
  <c r="Q36" i="1"/>
  <c r="R36" i="1"/>
  <c r="O37" i="1"/>
  <c r="P37" i="1"/>
  <c r="Q37" i="1"/>
  <c r="R37" i="1"/>
  <c r="O38" i="1"/>
  <c r="P38" i="1"/>
  <c r="Q38" i="1"/>
  <c r="R38" i="1"/>
  <c r="O39" i="1"/>
  <c r="P39" i="1"/>
  <c r="Q39" i="1"/>
  <c r="R39" i="1"/>
  <c r="O40" i="1"/>
  <c r="P40" i="1"/>
  <c r="Q40" i="1"/>
  <c r="R40" i="1"/>
  <c r="O41" i="1"/>
  <c r="P41" i="1"/>
  <c r="Q41" i="1"/>
  <c r="R41" i="1"/>
  <c r="R27" i="1"/>
  <c r="Q27" i="1"/>
  <c r="P27" i="1"/>
  <c r="Q75" i="4"/>
  <c r="Q90" i="4"/>
  <c r="R90" i="4"/>
  <c r="S90" i="4"/>
  <c r="T90" i="4"/>
  <c r="Q91" i="4"/>
  <c r="R91" i="4"/>
  <c r="S91" i="4"/>
  <c r="T91" i="4"/>
  <c r="Q92" i="4"/>
  <c r="R92" i="4"/>
  <c r="S92" i="4"/>
  <c r="T92" i="4"/>
  <c r="T89" i="4"/>
  <c r="S89" i="4"/>
  <c r="R89" i="4"/>
  <c r="Q89" i="4"/>
  <c r="V90" i="4"/>
  <c r="W90" i="4"/>
  <c r="X90" i="4"/>
  <c r="Y90" i="4"/>
  <c r="V91" i="4"/>
  <c r="W91" i="4"/>
  <c r="X91" i="4"/>
  <c r="Y91" i="4"/>
  <c r="V92" i="4"/>
  <c r="W92" i="4"/>
  <c r="X92" i="4"/>
  <c r="Y92" i="4"/>
  <c r="Y89" i="4"/>
  <c r="X89" i="4"/>
  <c r="W89" i="4"/>
  <c r="V89" i="4"/>
  <c r="Q39" i="4"/>
  <c r="R39" i="4"/>
  <c r="S39" i="4"/>
  <c r="T39" i="4"/>
  <c r="Q40" i="4"/>
  <c r="R40" i="4"/>
  <c r="S40" i="4"/>
  <c r="T40" i="4"/>
  <c r="Q41" i="4"/>
  <c r="R41" i="4"/>
  <c r="S41" i="4"/>
  <c r="T41" i="4"/>
  <c r="Q42" i="4"/>
  <c r="R42" i="4"/>
  <c r="S42" i="4"/>
  <c r="T42" i="4"/>
  <c r="Q43" i="4"/>
  <c r="R43" i="4"/>
  <c r="S43" i="4"/>
  <c r="T43" i="4"/>
  <c r="Q44" i="4"/>
  <c r="R44" i="4"/>
  <c r="S44" i="4"/>
  <c r="T44" i="4"/>
  <c r="Q45" i="4"/>
  <c r="R45" i="4"/>
  <c r="S45" i="4"/>
  <c r="T45" i="4"/>
  <c r="Q46" i="4"/>
  <c r="R46" i="4"/>
  <c r="S46" i="4"/>
  <c r="T46" i="4"/>
  <c r="Q47" i="4"/>
  <c r="R47" i="4"/>
  <c r="S47" i="4"/>
  <c r="T47" i="4"/>
  <c r="Q48" i="4"/>
  <c r="R48" i="4"/>
  <c r="S48" i="4"/>
  <c r="T48" i="4"/>
  <c r="Q49" i="4"/>
  <c r="R49" i="4"/>
  <c r="S49" i="4"/>
  <c r="T49" i="4"/>
  <c r="Q50" i="4"/>
  <c r="R50" i="4"/>
  <c r="S50" i="4"/>
  <c r="T50" i="4"/>
  <c r="Q51" i="4"/>
  <c r="R51" i="4"/>
  <c r="S51" i="4"/>
  <c r="T51" i="4"/>
  <c r="Q52" i="4"/>
  <c r="R52" i="4"/>
  <c r="S52" i="4"/>
  <c r="T52" i="4"/>
  <c r="Q53" i="4"/>
  <c r="R53" i="4"/>
  <c r="S53" i="4"/>
  <c r="T53" i="4"/>
  <c r="S38" i="4"/>
  <c r="T38" i="4"/>
  <c r="R38" i="4"/>
  <c r="Q76" i="4"/>
  <c r="Q9" i="4"/>
  <c r="Q10" i="4"/>
  <c r="Q11" i="4"/>
  <c r="Q12" i="4"/>
  <c r="Q13" i="4"/>
  <c r="Q14" i="4"/>
  <c r="Q15" i="4"/>
  <c r="Q16" i="4"/>
  <c r="Q17" i="4"/>
  <c r="Q18" i="4"/>
  <c r="Q19" i="4"/>
  <c r="Q20" i="4"/>
  <c r="Q8" i="4"/>
  <c r="Q4" i="4"/>
  <c r="Q5" i="4"/>
  <c r="Q6" i="4"/>
  <c r="Q7" i="4"/>
  <c r="Q3" i="4"/>
  <c r="Q74" i="4" s="1"/>
  <c r="R3" i="4"/>
  <c r="Q73" i="4"/>
  <c r="Q77" i="4"/>
  <c r="Q78" i="4"/>
  <c r="Q79" i="4"/>
  <c r="Q80" i="4"/>
  <c r="Q81" i="4"/>
  <c r="Q82" i="4"/>
  <c r="Q83" i="4"/>
  <c r="Q84" i="4"/>
  <c r="Q85" i="4"/>
  <c r="Q86" i="4"/>
  <c r="Q87" i="4"/>
</calcChain>
</file>

<file path=xl/connections.xml><?xml version="1.0" encoding="utf-8"?>
<connections xmlns="http://schemas.openxmlformats.org/spreadsheetml/2006/main">
  <connection id="1" name="sites" type="4" refreshedVersion="0" background="1">
    <webPr xml="1" sourceData="1" parsePre="1" consecutive="1" url="D:\01home\web\08_javi\xml\sites.xml" htmlTables="1"/>
  </connection>
</connections>
</file>

<file path=xl/sharedStrings.xml><?xml version="1.0" encoding="utf-8"?>
<sst xmlns="http://schemas.openxmlformats.org/spreadsheetml/2006/main" count="8712" uniqueCount="6123">
  <si>
    <t>fecha</t>
  </si>
  <si>
    <t>titulo</t>
  </si>
  <si>
    <t>url</t>
  </si>
  <si>
    <t>answ1</t>
  </si>
  <si>
    <t>answ2</t>
  </si>
  <si>
    <t>repeat</t>
  </si>
  <si>
    <t>answ3</t>
  </si>
  <si>
    <t>answ4</t>
  </si>
  <si>
    <t>id_exam</t>
  </si>
  <si>
    <t>Question</t>
  </si>
  <si>
    <t>nquest</t>
  </si>
  <si>
    <t>delay</t>
  </si>
  <si>
    <t>En las sucesivas presentaciones usted encontrará preguntas de tipo test relacionadas con la conversación que debe escuchar previamente en la parte izquierda de la misma.</t>
  </si>
  <si>
    <t>Después de escuchar la conversación en inglés deberá responder a una de las preguntas de la parte derecha.</t>
  </si>
  <si>
    <t>Gracias por su colaboración. A continuación podrá &lt;strong&gt;imprimir&lt;/strong&gt; las respuestas que han sido seleccionadas, o bien imprimirlas en un archivo &lt;strong&gt;pdf&lt;/strong&gt; para su entrega al profesor correspondiente.</t>
  </si>
  <si>
    <t>nombre_examen</t>
  </si>
  <si>
    <t>listening</t>
  </si>
  <si>
    <t>Question1</t>
  </si>
  <si>
    <t>Question2</t>
  </si>
  <si>
    <t>Texto</t>
  </si>
  <si>
    <t xml:space="preserve">a) be completely negative.                                                                                                                 </t>
  </si>
  <si>
    <t xml:space="preserve">b) give a generally positive outlook while pointing out some problematic areas.                            </t>
  </si>
  <si>
    <t xml:space="preserve">c) lead the reader to the conclusion that the situation is going to improve in the near future.                                                                                                                                                        </t>
  </si>
  <si>
    <t>d) give a generally pessimistic picture while pointing out some encouraging achievements.</t>
  </si>
  <si>
    <t>EXAMEN 1/MP3/Q-10 EXAMEN 1.mp3</t>
  </si>
  <si>
    <t>EXAMEN 1/MP3/Q-11 EXAMEN 1.mp3</t>
  </si>
  <si>
    <t>EXAMEN 1/MP3/Q-12 EXAMEN 1.mp3</t>
  </si>
  <si>
    <t>EXAMEN 1/MP3/Q-13 EXAMEN 1.mp3</t>
  </si>
  <si>
    <t>EXAMEN 1/MP3/Q-14 EXAMEN 1.mp3</t>
  </si>
  <si>
    <t>EXAMEN 1/MP3/Q-15 EXAMEN 1.mp3</t>
  </si>
  <si>
    <t>EXAMEN 1/MP3/Q-16 EXAMEN 1.mp3</t>
  </si>
  <si>
    <t>EXAMEN 1/MP3/Q-17 EXAMEN 1.mp3</t>
  </si>
  <si>
    <t>EXAMEN 1/MP3/Q-18 EXAMEN 1.mp3</t>
  </si>
  <si>
    <t>EXAMEN 1/MP3/Q-19 EXAMEN 1.mp3</t>
  </si>
  <si>
    <t>EXAMEN 1/MP3/Q-20 EXAMEN 1.mp3</t>
  </si>
  <si>
    <t>EXAMEN 2</t>
  </si>
  <si>
    <t>d)  France was not aware of the occurrence of the genocide until it was too late.</t>
  </si>
  <si>
    <t xml:space="preserve">2. According to the article; </t>
  </si>
  <si>
    <t>4. The Chilean President believes the death toll may rise because;</t>
  </si>
  <si>
    <t>5. The adjective that best describes the state of the aid-workers as reported in the text would be;</t>
  </si>
  <si>
    <t xml:space="preserve">6. The local people in Jos seem to feel that the violence arose due to; </t>
  </si>
  <si>
    <t xml:space="preserve">7. From the article we know that;  </t>
  </si>
  <si>
    <t xml:space="preserve">8. By making the film, Kathryn Bigelow wanted to portray; </t>
  </si>
  <si>
    <t xml:space="preserve">9.  According to the article; </t>
  </si>
  <si>
    <t xml:space="preserve">10. It seems that in the next elections; </t>
  </si>
  <si>
    <t xml:space="preserve">11. According to Prince Charles’ famous description, books at the Birmingham Library were; </t>
  </si>
  <si>
    <t xml:space="preserve">12. The current Birmingham Central Library could be described as; </t>
  </si>
  <si>
    <t xml:space="preserve">13.We get the impression that the writer; </t>
  </si>
  <si>
    <t xml:space="preserve">14. It seems that the writer’s parents were; </t>
  </si>
  <si>
    <t xml:space="preserve">16. We can conclude that the writer; </t>
  </si>
  <si>
    <t xml:space="preserve">17. Scientists believe that the Cathedral of Holy Ascension was not destroyed in the earthquake because; </t>
  </si>
  <si>
    <t>18. The writer suggests that the Tien Shan mountain range is;</t>
  </si>
  <si>
    <t xml:space="preserve">19. When Nick Page arrived in Ethiopia, he found that; </t>
  </si>
  <si>
    <t>20. When Nick Page was recording, he claimed that he;</t>
  </si>
  <si>
    <t>EXAMEN 1</t>
  </si>
  <si>
    <t>1.</t>
  </si>
  <si>
    <t>2.</t>
  </si>
  <si>
    <t>3.</t>
  </si>
  <si>
    <t>4.</t>
  </si>
  <si>
    <t>5. What is the situation?</t>
  </si>
  <si>
    <t>6.</t>
  </si>
  <si>
    <t>7.</t>
  </si>
  <si>
    <t>8.</t>
  </si>
  <si>
    <t>9.</t>
  </si>
  <si>
    <t>10.</t>
  </si>
  <si>
    <t>11.</t>
  </si>
  <si>
    <t>12.</t>
  </si>
  <si>
    <t>13. What can be deduced from this conversation?</t>
  </si>
  <si>
    <t>14. What does the woman reply?</t>
  </si>
  <si>
    <t>15. What does the woman imply?</t>
  </si>
  <si>
    <t>16. What can be deduced from this conversation?</t>
  </si>
  <si>
    <t>17. What can be deduced from this conversation?</t>
  </si>
  <si>
    <t>18. What can be deduced from this conversation?</t>
  </si>
  <si>
    <t>19. What can be deduced from this conversation?</t>
  </si>
  <si>
    <t>20. What can be deduced from this conversation?</t>
  </si>
  <si>
    <t>21. What can be said about the film ‘the Hurt Locker’ ?</t>
  </si>
  <si>
    <t>EXAMEN 1/MP3/Q-21 EXAMEN 1.mp3</t>
  </si>
  <si>
    <t>A. It turned out to be a big money earner</t>
  </si>
  <si>
    <t>B. It did not cost much to make</t>
  </si>
  <si>
    <t>C. People flocked to see it</t>
  </si>
  <si>
    <t>D. In her speech, Bigelow criticised the Armed Forces</t>
  </si>
  <si>
    <t>22. How did the Federal Aviation Administration react to this situation?</t>
  </si>
  <si>
    <t>EXAMEN 1/MP3/Q-22 EXAMEN 1.mp3</t>
  </si>
  <si>
    <t xml:space="preserve">A. It dismissed two people </t>
  </si>
  <si>
    <t>B. It was amazed at how confident the child was</t>
  </si>
  <si>
    <t>C. It considered that the incident was exaggerated</t>
  </si>
  <si>
    <t>D. It ordered more security at the control tower</t>
  </si>
  <si>
    <t>23. What can be said about the possible location of the radioactive waste dump?</t>
  </si>
  <si>
    <t>EXAMEN 1/MP3/Q-23 EXAMEN 1.mp3</t>
  </si>
  <si>
    <t>A. All  indigenous groups are opposed to it</t>
  </si>
  <si>
    <t>B. Earthquakes in the area make it unsafe</t>
  </si>
  <si>
    <t>C. It is not far from Sydney</t>
  </si>
  <si>
    <t>D. Landowners  have protested against it</t>
  </si>
  <si>
    <t>EXAMEN 1/MP3/Q-24 EXAMEN 1.mp3</t>
  </si>
  <si>
    <t>A. The history girls are fashion models</t>
  </si>
  <si>
    <t>B. The reki-jo idolize rock stars</t>
  </si>
  <si>
    <t>C. Japanese people identify with elite swordsmen</t>
  </si>
  <si>
    <t>25. What is the reaction of sailing experts to Jessica’s achievement?</t>
  </si>
  <si>
    <t>EXAMEN 1/MP3/Q-25 EXAMEN 1.mp3</t>
  </si>
  <si>
    <t>A. They think she will set a new record</t>
  </si>
  <si>
    <t xml:space="preserve">B. They feel what she has done has no merit  </t>
  </si>
  <si>
    <t>C. In their view she hasn’t sailed far enough</t>
  </si>
  <si>
    <t>D. They think she is too timid to undertake a solo journey</t>
  </si>
  <si>
    <t>EXAMEN 1/MP3/Q-26 EXAMEN 1.mp3</t>
  </si>
  <si>
    <t>EXAMEN 1/MP3/Q-27 EXAMEN 1.mp3</t>
  </si>
  <si>
    <t>EXAMEN 1/MP3/Q-28 EXAMEN 1.mp3</t>
  </si>
  <si>
    <t>A. They contacted the families of the survivors immediately</t>
  </si>
  <si>
    <t>C. They captured millions of barrels of oil</t>
  </si>
  <si>
    <t>EXAMEN 1/MP3/Q-29 EXAMEN 1.mp3</t>
  </si>
  <si>
    <t>B. He suspected that plants were in-breeding and so healthier</t>
  </si>
  <si>
    <t xml:space="preserve">D. He  thought that cross-breeding produced more robust species </t>
  </si>
  <si>
    <t>EXAMEN 1/MP3/Q-30 EXAMEN 1.mp3</t>
  </si>
  <si>
    <t>A. They are psychologically different to other people</t>
  </si>
  <si>
    <t>31. Which of the following statements is true according to what you have heard?</t>
  </si>
  <si>
    <t>EXAMEN 1/MP3/Q-31 EXAMEN 1.mp3</t>
  </si>
  <si>
    <t>C. Khodorkovsky purchased state assets for way below market price</t>
  </si>
  <si>
    <t>D. Boris Yelstin built up the Yukos Oil company in the 1990s</t>
  </si>
  <si>
    <t>EXAMEN 1/MP3/Q-32 EXAMEN 1.mp3</t>
  </si>
  <si>
    <t>A. Americans insist on having public tap water</t>
  </si>
  <si>
    <t>B. Bottled water ends up contaminating the environment</t>
  </si>
  <si>
    <t>EXAMEN 1/MP3/Q-33 EXAMEN 1.mp3</t>
  </si>
  <si>
    <t>EXAMEN 1/MP3/Q-34 EXAMEN 1.mp3</t>
  </si>
  <si>
    <t>A. She does not like to be photographed</t>
  </si>
  <si>
    <t>C. She steered clear of the press in LA airport</t>
  </si>
  <si>
    <t>D. She needed half a million pounds for charity work</t>
  </si>
  <si>
    <t>EXAMEN 1/MP3/Q-35 EXAMEN 1.mp3</t>
  </si>
  <si>
    <t>A. Seniesa started to fight a couple of years ago</t>
  </si>
  <si>
    <t>EXAMEN 1/MP3/Q-36 EXAMEN 1.mp3</t>
  </si>
  <si>
    <t>A. Brain abnormalities are common among adolescents</t>
  </si>
  <si>
    <t>C. Binge drinking is OK  three times a month</t>
  </si>
  <si>
    <t>EXAMEN 1/MP3/Q-37 EXAMEN 1.mp3</t>
  </si>
  <si>
    <t>D. With the arrival of digital nothing in the photo is real</t>
  </si>
  <si>
    <t>EXAMEN 1/MP3/Q-38 EXAMEN 1.mp3</t>
  </si>
  <si>
    <t>A. The government cannot establish a price for the gas</t>
  </si>
  <si>
    <t>B. The dispute between the brothers has been going on for nine years</t>
  </si>
  <si>
    <t xml:space="preserve">D. The brothers have been given a time limit to draw up a new agreement </t>
  </si>
  <si>
    <t>EXAMEN 1/MP3/Q-39 EXAMEN 1.mp3</t>
  </si>
  <si>
    <t>EXAMEN 1/MP3/Q-40 EXAMEN 1.mp3</t>
  </si>
  <si>
    <t>A. Some clients tortured their financial advisor</t>
  </si>
  <si>
    <t>B. The financial advisor was on trial for the sub-prime melt-down</t>
  </si>
  <si>
    <t>C. The financial advisor was taken on a holiday for four days</t>
  </si>
  <si>
    <t>D. The pensioners had risked their money on real estate</t>
  </si>
  <si>
    <t>9. What does the man mean?</t>
  </si>
  <si>
    <t>10. What does the man mean?</t>
  </si>
  <si>
    <t>11. What does the man mean?</t>
  </si>
  <si>
    <t>13. What does the woman mean?</t>
  </si>
  <si>
    <t>14. What does the man mean?</t>
  </si>
  <si>
    <t>15. What is the man waiting for?</t>
  </si>
  <si>
    <t>16. What does the man mean?</t>
  </si>
  <si>
    <t>17. What does the woman say?</t>
  </si>
  <si>
    <t>18. What does the woman say?</t>
  </si>
  <si>
    <t>19. What does the man mean?</t>
  </si>
  <si>
    <t xml:space="preserve">20. What can be inferred from what the man says? </t>
  </si>
  <si>
    <t>EXAMEN 3</t>
  </si>
  <si>
    <t xml:space="preserve">1. </t>
  </si>
  <si>
    <t>4. What does the man mean?</t>
  </si>
  <si>
    <t>5.</t>
  </si>
  <si>
    <t>6. What does the man offer to do?</t>
  </si>
  <si>
    <t xml:space="preserve">7. What can be inferred from this conversation? </t>
  </si>
  <si>
    <t>8. What does the man mean?</t>
  </si>
  <si>
    <t>9. What can be inferred from this conversation?</t>
  </si>
  <si>
    <t>10. What does the woman mean?</t>
  </si>
  <si>
    <t>11. What does the woman mean?</t>
  </si>
  <si>
    <t>12. What does the man mean?</t>
  </si>
  <si>
    <t>13. What does the man mean?</t>
  </si>
  <si>
    <t>14. What does the second man say?</t>
  </si>
  <si>
    <t xml:space="preserve">15. What does the woman mean? </t>
  </si>
  <si>
    <t>16. What can be inferred from this conversation?</t>
  </si>
  <si>
    <t>18. What does the second man ask?</t>
  </si>
  <si>
    <t>D. O'Malley came last</t>
  </si>
  <si>
    <t>D. My car needs a mechanical check</t>
  </si>
  <si>
    <t>D. The meeting has been cancelled.</t>
  </si>
  <si>
    <t>D. Getting a credit card is difficult if you’re in the red.</t>
  </si>
  <si>
    <t>D. Mrs. Peters was asked to sell her grandfather clock for five hundred dollars.</t>
  </si>
  <si>
    <t xml:space="preserve">D. The authorities were quick to inform the population about the disease. </t>
  </si>
  <si>
    <t>C. She is related to a Welsh uncle of mine.</t>
  </si>
  <si>
    <t>C. The authorities were fast to find the source of the disease.</t>
  </si>
  <si>
    <t>C. He still arrives late to the office</t>
  </si>
  <si>
    <t>C. I need to offer a service with my car</t>
  </si>
  <si>
    <t>C. Pat and Jill are going out tonight</t>
  </si>
  <si>
    <t>C. I do not have the courage to do what he did</t>
  </si>
  <si>
    <t>C. Paul was sacked from his job</t>
  </si>
  <si>
    <t>C. The man's sister works with cows</t>
  </si>
  <si>
    <t>C. That she has been here longer</t>
  </si>
  <si>
    <t>C. His days are becoming busier and busier</t>
  </si>
  <si>
    <t>C. He found the movie hilarious</t>
  </si>
  <si>
    <t>C. If she has tested the batteries</t>
  </si>
  <si>
    <t>C. The embassy should apologise</t>
  </si>
  <si>
    <t>A. It was okay where I left my car</t>
  </si>
  <si>
    <t>A. We helped the bulldog</t>
  </si>
  <si>
    <t>A. I haven’t drunk too much coffee.</t>
  </si>
  <si>
    <t>A. Motivation and experience determine success.</t>
  </si>
  <si>
    <t>A. I’m dying to get the new Harry Potter book.</t>
  </si>
  <si>
    <t>A. Before long it will be summer.</t>
  </si>
  <si>
    <t>A. John has forgotten the man</t>
  </si>
  <si>
    <t>A. Weather permitting, the barbecue will take place.</t>
  </si>
  <si>
    <t>A. He is faced with a wide selection of hats.</t>
  </si>
  <si>
    <t xml:space="preserve">A. The woman’s offer fell short. </t>
  </si>
  <si>
    <t>A. Mike’s Porsche is red not black</t>
  </si>
  <si>
    <t>A. This war was shorter than the last.</t>
  </si>
  <si>
    <t>A. She has trouble with her eyesight</t>
  </si>
  <si>
    <t>A. He will fix the problem with the lift himself</t>
  </si>
  <si>
    <t>A. A TV programme to begin.</t>
  </si>
  <si>
    <t>A. Wars are being presented as entertainment.</t>
  </si>
  <si>
    <t>A. Her client is confessing his guilt.</t>
  </si>
  <si>
    <t xml:space="preserve">A. Strides have been made in modern warfare. </t>
  </si>
  <si>
    <t>A. He guesses their friends will be over for an hour.</t>
  </si>
  <si>
    <t>A. Journalists cover wars for financial reasons.</t>
  </si>
  <si>
    <t>B. It was not okay where I left my car</t>
  </si>
  <si>
    <t>B. The Bulldog was feeble.</t>
  </si>
  <si>
    <t>B. I would feel nervous if I didn’t drink so much coffee.</t>
  </si>
  <si>
    <t xml:space="preserve">B. Motivation doesn’t determine success. </t>
  </si>
  <si>
    <t>B. I’ll wait to get the new Harry Potter book.</t>
  </si>
  <si>
    <t>B. You can tell it will be a long summer.</t>
  </si>
  <si>
    <t>B. John will be back for the man</t>
  </si>
  <si>
    <t>B. The barbecue is taking place because of the weather.</t>
  </si>
  <si>
    <t xml:space="preserve">B. He can’t decide until he sees more hats. </t>
  </si>
  <si>
    <t>B. The woman's offer was over the top.</t>
  </si>
  <si>
    <t>B. Mike’s car is parked opposite the bookstore.</t>
  </si>
  <si>
    <t>B. The woman will be surprised when the war finishes.</t>
  </si>
  <si>
    <t>B. She doesn’t believe the couple took their flight.</t>
  </si>
  <si>
    <t>B. He will go to maintenance and report the problem</t>
  </si>
  <si>
    <t>B. His friends to watch a TV programme with him.</t>
  </si>
  <si>
    <t>B. Television confuses people’s perception of things.</t>
  </si>
  <si>
    <t>B. Her client is aiding the investigation.</t>
  </si>
  <si>
    <t>B. The enemy was able to retaliate.</t>
  </si>
  <si>
    <t>B. Their friends will stay for less than an hour.</t>
  </si>
  <si>
    <t>B. The chances of being wounded are not high.</t>
  </si>
  <si>
    <t>C. I left my car and walked</t>
  </si>
  <si>
    <t>C. The Bulldog was lying in the middle of the road.</t>
  </si>
  <si>
    <t>C. I wouldn’t be nervous if I drank coffee.</t>
  </si>
  <si>
    <t>C. Experience alone often determines success.</t>
  </si>
  <si>
    <t>C. I couldn’t wait to buy the new Harry Potter book.</t>
  </si>
  <si>
    <t>C. We will have to wait for the long days of summer.</t>
  </si>
  <si>
    <t>C. John is waiting for the man.</t>
  </si>
  <si>
    <t>C. The barbecue was called off.</t>
  </si>
  <si>
    <t>C. It’s hard to choose from so few hats.</t>
  </si>
  <si>
    <t>C. The man has decided not to sell the house.</t>
  </si>
  <si>
    <t>C. The red Porsche is unfamiliar.</t>
  </si>
  <si>
    <t>C. The latest war was long-lasting.</t>
  </si>
  <si>
    <t>C. Debbie and Jeff often fight.</t>
  </si>
  <si>
    <t>C. He’ll arrange for a new elevator to be installed</t>
  </si>
  <si>
    <t>C. A TV programme to finish.</t>
  </si>
  <si>
    <t>C. Television influences the outcome of most wars</t>
  </si>
  <si>
    <t>C. Her client is hindering the investigation.</t>
  </si>
  <si>
    <t>C. Methods of warfare remain unchanged.</t>
  </si>
  <si>
    <t>C. Their friends will turn up in barely an hour.</t>
  </si>
  <si>
    <t>C. Excitement is not the most important aspect of war journalism.</t>
  </si>
  <si>
    <t>D. I always drive on the left</t>
  </si>
  <si>
    <t>D. The Bulldog was a week old pup.</t>
  </si>
  <si>
    <t>D. I have drunk a lot of coffee.</t>
  </si>
  <si>
    <t>D. Motivation usually determines success.</t>
  </si>
  <si>
    <t>D. I have just bought the new Harry Potter book.</t>
  </si>
  <si>
    <t>D. I long for the days of summer</t>
  </si>
  <si>
    <t>D. John is holding the man up.</t>
  </si>
  <si>
    <t>D. The barbecue took place despite the weather.</t>
  </si>
  <si>
    <t>D. The hats he has seen are spoiled.</t>
  </si>
  <si>
    <t>D. The man prefers to wait for a higher offer.</t>
  </si>
  <si>
    <t>D. Mike could be in the book store.</t>
  </si>
  <si>
    <t>D. The latest war was brief.</t>
  </si>
  <si>
    <t xml:space="preserve">D. She was taken aback by their fight. </t>
  </si>
  <si>
    <t>D. He’ll phone for someone to fix the electrical problem</t>
  </si>
  <si>
    <t>D. Some friends to pay a call.</t>
  </si>
  <si>
    <t>D. Television is to blame for the outbreak of war.</t>
  </si>
  <si>
    <t xml:space="preserve">D. Her client is recording the conversation. </t>
  </si>
  <si>
    <t>D. Modern warfare has gone downhill.</t>
  </si>
  <si>
    <t>D. Things won’t start for at least an hour.</t>
  </si>
  <si>
    <t>D. Prestige is not the most important aspect of war journalism.</t>
  </si>
  <si>
    <t>En las sucesivas presentaciones usted encontrará preguntas de relacionadas con el texto redactado.</t>
  </si>
  <si>
    <t>Después de leer y comprender el texto presentado deberá responder a una de las preguntas de la parte inferior.</t>
  </si>
  <si>
    <t>Contenidos para exámen de listening</t>
  </si>
  <si>
    <t>Contenidos para exámen normal de comprensión de textos</t>
  </si>
  <si>
    <t>Poner los nombres</t>
  </si>
  <si>
    <t>Poner DNI sin letra</t>
  </si>
  <si>
    <t>33. Which of the following statements is true according to what you have heard?</t>
  </si>
  <si>
    <t>EXAMEN 4</t>
  </si>
  <si>
    <t>1. The article states that</t>
  </si>
  <si>
    <t xml:space="preserve">a) the French president has apologized to Rwanda regarding the 1994 genocide.                                                                                                                                                                       </t>
  </si>
  <si>
    <t xml:space="preserve">b) the French president does not wish to visit Rwanda.                                                                                          </t>
  </si>
  <si>
    <t xml:space="preserve">c) the behavior of France was at fault regarding the 1994 genocide .                                                                </t>
  </si>
  <si>
    <t xml:space="preserve">a) the Hutus held the Tutsis responsible for the death of President Juvènal </t>
  </si>
  <si>
    <t xml:space="preserve">b) it has been proven that President Juvènal Habyarimana was assassinated.           </t>
  </si>
  <si>
    <t>c) President Juvènal Habyarimana was known to support both Hutu and Tutsi interests</t>
  </si>
  <si>
    <t>d) the French president hopes for a reconciliation between the Hutus and theTutsis.</t>
  </si>
  <si>
    <t>Two Million Displaced as Government Scrambles to Provide Aid.                                                                                                                                                                               (No writer given.) France 24. International News.  March 1 2010.                                                                                                                                                                                     Chile’s quake toll topped 700 on Sunday as rescuers raced to find survivors. The extent of the disaster became clear in costal areas where giant waves had swept homes away, leaving an estimated two million without homes.                                                                                                                                                                              Chile’s government scrambled on Monday to offer aid to thousands of homeless people in coastal villages rocked by an 8.8-magnitude earth quake and tsunamis, as 10,000 troops moved into the worst-hit areas to control looting. The government raised the death toll to 711 from Saturday’s massive quake as scenes of devastation emerged in towns swamped by giant waves unleashed by one of the most powerful earthquakes in a century. With many people missing and some communities in the central region of the South American country still isolated by damaged or destroyed roads, President Michelle Bachelet said the death toll was certain to rise. Houses lay in ruins and cars were flattened after waves surged through fishing villages on the country’s long Pacific coast. “France 24” correspondent Cyril Vanier, reporting from the capital Santiago, said that these coastal towns near the epicentre- 115  kilometres from Concepcion, the country’s second-largest –were “almost 100% destroyed.” Vanier also spoke of “serious looting” in severely struck Concepcion and other cities, including Santiago, with people seen pillaging stores for food and other supplies.</t>
  </si>
  <si>
    <t>3. The troops were deployed to control</t>
  </si>
  <si>
    <t xml:space="preserve">a) physical assaults.                                                                                                                                                    </t>
  </si>
  <si>
    <t xml:space="preserve">b) plundering.                                                                                                                                                               </t>
  </si>
  <si>
    <t xml:space="preserve">c) evacuation of the area.                                                                                                                                                    </t>
  </si>
  <si>
    <t>d) possession of weapons.</t>
  </si>
  <si>
    <t xml:space="preserve">a) another earthquake is expected.                                                                                                                             </t>
  </si>
  <si>
    <t xml:space="preserve">b) the tsunamis are expected to continue for sometime.                                                                                      </t>
  </si>
  <si>
    <t xml:space="preserve">c) people in the more remote areas are in danger.                                                                                                  </t>
  </si>
  <si>
    <t>d) there are people still unaccounted for.</t>
  </si>
  <si>
    <t xml:space="preserve">a)  overwrought.                                                                                                                                                            </t>
  </si>
  <si>
    <t xml:space="preserve">b) tireless.                                                                                                                                                                          </t>
  </si>
  <si>
    <t xml:space="preserve">d) agitated.                                                                                                                                      </t>
  </si>
  <si>
    <t xml:space="preserve">a) theological reasons.                                                                                                                                                           </t>
  </si>
  <si>
    <t xml:space="preserve">b) a conflict of interest over land ownership.                                                                                                             </t>
  </si>
  <si>
    <t xml:space="preserve">c) a shortage of employment.                                                                                                                                          </t>
  </si>
  <si>
    <t xml:space="preserve">d) affairs of state. </t>
  </si>
  <si>
    <t>Profile: Kathryn Bigelow. (Mark Savage.)  B.B.C. News (One-Minute News.)  March 8 2010.                                                                                                                                      Kathryn Bigelow has become the first woman in the history of the Academy Awards to win the best director trophy, as her tension-filled Iraq war drama The Hurt Locker collected six prizes. It is something of a turnaround for the director, whose previous movies have totally by passed the annual awards season. The Hurt Locker follows a group of bomb-disposal technicians working in Iraq. Based on the real-life observations of writer Mark Boal, these soldiers speak of explosions as putting you in “the hurt locker.”                                                                                                                                                                                                                              Bigelow shot the movie with a cast of unknowns, “so the audience wouldn’t know who among the three main characters was going to die by virtue of their public profile,” she said.                                                                                                                                                                                                                                                                                      Her uncompromising attitude didn’t stop at the casting stage, either. Rather than using the nondescript desert plains of Arizona to stand in for Iraq, she went to Jordan and shot the film in 115 degree heat.                                                                                                                                                                                                                                    Not only that, she part-funded the movie herself-believing that a major Hollywood studio would not give her the creative control she desired.                                                                                          “Don’t give up on your dream” is Kathryn Bigelow’s advice after her win. Critics were gripped by the “convincingly blunt” action sequences and Bigelow’s “penetrating study of heroism”, but several criticized the decision not to take an ideological viewpoint on the Iraq War.  Bigelow contented the film was “not a documentary”, maintaining that her intention was to highlight the plight of soldiers in a war she felt had been “under-reported” in the U.S. media. She added that the script was informed by war correspondent Chris Hedges’ polemic War Is a Force That Gives Us Meaning-which argues that war seduces entire societies, like a powerful drug.</t>
  </si>
  <si>
    <t xml:space="preserve">a) Kathryn Bigelow has previously won several awards.                                                                                           </t>
  </si>
  <si>
    <t xml:space="preserve">b) Kathryn Bigelow’s movies have always attracted a lot of attention during the annual awards season.                                                                                                                                                                                      </t>
  </si>
  <si>
    <t>c) Kathryn Bigelow’s earlier movies didn’t make a mark during the annual awards season</t>
  </si>
  <si>
    <t>d) Kathryn Bigelow has sound knowledge of bomb disposal techniques.</t>
  </si>
  <si>
    <t xml:space="preserve">a) public response to the war in Iraq.                                                                                                                         </t>
  </si>
  <si>
    <t xml:space="preserve">b) the predicament of the soldiers in the Iraq war.                                                                                                 </t>
  </si>
  <si>
    <t xml:space="preserve">c) her ideological views of the Iraq war.                                                                                                                 </t>
  </si>
  <si>
    <t xml:space="preserve">d) the conditions in the desert in Jordan. </t>
  </si>
  <si>
    <t>Wanted; An Eco-Prophet.(Peter Preston.)  The Guardian.  March 7 2010.                                                                                                                                                                      It is an exceptionally inconvenient truth. Only one American in three believes that human beings are responsible for climate change:  a polling result 10% down on where opinion rested the year before. Worse, the number of Americans who believe that climate change is a hoax or a scientific conspiracy- not doubting, just damned blank certain- has doubled since 2008. Add in those who assert that the changes, if any, are of “no significant concern”, and you’ve got 30% of the U.S. denying, scoffing and just walking on by.                                                                                  Are the issues clearer, the people more committed, here in Britain? Call for the latest evidence from Ipsos Mori- and find that the proportion of U.K. adults who believe that global warming is “definitely” a reality has plummeted from 44% to 31% in the last 12 months. Figures like these, on both sides of the Atlantic, are getting more skeptical week by week. The real change of electoral climate is that fewer and fewer voters pay any heed to scientists and politicians.                               It isn’t hard to collate the factors that drive disillusion. Professors with a colloquial touch writing “awful” emails; a recession so tough that it blows future shock away; a cold, cold winter the Met Office didn’t forecast; scientific angst about swine flu revealed as way over the top; dodgy figures, dodgy reporting, dodgy issues way up to UN level.                                                      These are only a few of our least favourite things. Mix them together in the stew of pre-election politics, and the result is lethal inertia. Once upon a quite recent time, David Cameron seemed bent on playing a new green giant. Now he’s just another family-friendly campaigner, keen on pressing pounds sterling into sweaty palms. Environmental issues have slithered down the greasy pole of public anxiety. They won’t get much of a mention on the hustings in May: no fresh commitments, no crucial pledges. In one sense, the heat may be rising; in another, the heat is off.                                                                                                                                                           More jaw and Gore from politicians can’t cut it. They have come to seem secondhand sources, merely parroting a frail scientific thesis. That goes, alas for journalists, too- and for pressure groups issuing lurid warnings or staging angry demos. Those of us who are convinced, who believe in the necessity of action, haven’t changed our minds. But we’re not the point. The audience that matters is out there, sleeping or drifting. And rousing it will demand something different, not more of the same.</t>
  </si>
  <si>
    <t xml:space="preserve">a) The number of Americans concerned about climate change is increasing.                                                       </t>
  </si>
  <si>
    <t xml:space="preserve">b) Americans conduct regular opinion polls on the topic of climate change.                                                     </t>
  </si>
  <si>
    <t xml:space="preserve">c) Climate change has been officially denounced as a hoax in the U.S.A.                                                         </t>
  </si>
  <si>
    <t xml:space="preserve">d) The number of Americans concerned about climate change is decreasing. </t>
  </si>
  <si>
    <t xml:space="preserve">a) Environmental concerns will be a major issue.                                                                                                   </t>
  </si>
  <si>
    <t xml:space="preserve">b) David Cameron will focus on environmental issues.                                                                                        </t>
  </si>
  <si>
    <t xml:space="preserve">c) Climate change will not feature prominently.                                                                                                   </t>
  </si>
  <si>
    <t>d) Turbulent demonstrations are expected.</t>
  </si>
  <si>
    <t xml:space="preserve">The Battle of Britain’s Libraries.(Stuart Jeffries.)  The Guardian.  March 7 2010.                                                                                                                                                               ‘It will be much more than just a library. Perhaps we should call it a palazzo of human thought,” says Mike Whitby, Birmingham city council’s leader, as he reclines in his vast office. He’s talking about the new 193- million- pound Library of Birmingham, currently under construction at Centenary Square between those other two Brummie palazzi , the Repertory Theatre and the former civic centre called Baskerville House.                                                                                                                                   Cardiff, Newcastle and Swindon already have new super-libraries, while Liverpool and Manchester’s central libraries are undergoing multimillion pound renovations.                              Whitby’s office looks out on to the existing Birmingham Central Library, an inverted modernist ziggurat built in 1973-74. This is the building Prince Charles famously described as a place where books were incinerated rather than borrowed. Unlike him, I once spent long, happy hours reading here, amazed that so many books (2.5m of them, stretching over seven floors) were at the disposal of a non-princely nobody like me. Now culture minister Margaret Hodge has given the go-ahead to flatten this Grade II-listed building; demolition will be completed over the next five years. Why must it go? “It leaks, and great big chunks of concrete keep falling from it,” says Birmingham head of libraries, Brian Gambles. He keeps a souvenir chunk in his office to prove the point. “It’s ugly and unfit for purpose and would cost too much to properly renovate.”                                                                                                                                                                    Last week I spoke to Hodge in her office near Trafalgar Square. She told me that running a successful public library in the 21st century is tough. Technological advances and higher expectations of service mean that libraries must, in her glum progressivist phrase, “move with the times to stay part of the times”. “I do care passionately about libraries,” she says, “but they have to change. The footfall is down and book issues are massively down. Only 14 of 151 local authorities have libraries that offer ebooks.” </t>
  </si>
  <si>
    <t xml:space="preserve">b) taken on loan.                                                                                                                                                          </t>
  </si>
  <si>
    <t xml:space="preserve">c) pirated.                                                                                                                                                                     </t>
  </si>
  <si>
    <t>d) plagiarized.</t>
  </si>
  <si>
    <t xml:space="preserve">a) up-market.                                                                                                                                                               </t>
  </si>
  <si>
    <t xml:space="preserve">b) state-of-the-art.                                                                                                                                                           </t>
  </si>
  <si>
    <t xml:space="preserve">c) run- down.                                                                                                                                                                   </t>
  </si>
  <si>
    <t xml:space="preserve">d) abandoned.  </t>
  </si>
  <si>
    <t xml:space="preserve">a) enjoyed spending her childhood summers on university campuses.                                                               </t>
  </si>
  <si>
    <t xml:space="preserve">b) was inspired by the university cultural life.                                                                                                         </t>
  </si>
  <si>
    <t xml:space="preserve">c) didn’t attend university.                                                                                                                                            </t>
  </si>
  <si>
    <t>d) would rather spend her money on an expensive hotel.</t>
  </si>
  <si>
    <t xml:space="preserve">a) well-heeled.                                                                                                                                                                </t>
  </si>
  <si>
    <t xml:space="preserve">b) of modest means.                                                                                                                                                   </t>
  </si>
  <si>
    <t xml:space="preserve">c) affluent.                                                                                                                                                                    </t>
  </si>
  <si>
    <t>d) moneyed.</t>
  </si>
  <si>
    <t xml:space="preserve">a) students have become lazier.                                                                                                                                          </t>
  </si>
  <si>
    <t xml:space="preserve">b) students don’t have time to study.                                                                                                                          </t>
  </si>
  <si>
    <t xml:space="preserve">c) students want instantaneous results.                                                                                                                            </t>
  </si>
  <si>
    <t>d) students no longer respect the teachers.</t>
  </si>
  <si>
    <t xml:space="preserve">a) favours the application of the old-fashioned methods of teaching.                                                                 </t>
  </si>
  <si>
    <t>b) believes that playing  computer games generally has a negative effect on young people</t>
  </si>
  <si>
    <t xml:space="preserve">c) accepts the idea that children now seem to have a shorter attention span.         </t>
  </si>
  <si>
    <t>d) would welcome some new approaches to teaching methods.</t>
  </si>
  <si>
    <t xml:space="preserve">a) of its spiritual nature.                                                                                                                                                    </t>
  </si>
  <si>
    <t xml:space="preserve">b) of its location.                                                                                                                                                          </t>
  </si>
  <si>
    <t xml:space="preserve">c) it can assimilate impact.                                                                                                                                            </t>
  </si>
  <si>
    <t xml:space="preserve">d) it was empty at the time of the quake.  </t>
  </si>
  <si>
    <t xml:space="preserve">a) a potential tourist attraction.                                                                                                                                 </t>
  </si>
  <si>
    <t xml:space="preserve">b) an asset to the city .                                                                                                                                             </t>
  </si>
  <si>
    <t xml:space="preserve">c) a potential source of development.                                                                                                                     </t>
  </si>
  <si>
    <t>d) a potential hazard.</t>
  </si>
  <si>
    <t>Musical Journey Through Ethiopia.(Scott Kara)  New Zealand Herald.  March 6 2010.                                                                                                                                                       The name Nick Page might not be as well-known as Paul Simon, Damon Albarn or Ry Cooder. But the British music producer, who was best known as one of the main players in world fusion dance band Transglobal Underground from the early 90s, has a similar intrepid spirit when it comes to discovering music from around the world.                                                                                                                                                                                                                                                                          While Simon went to South Africa to record 1986’s Graceland, and Albarn travelled to Mali, with Cooder making world-wide stars of the Cuban players of Buena Vista Social Club, Page went to Ethiopia. He was drawn to Ethiopian music after listening to Ethiopiques compilations in the late 90s and early 2000s, a music series released by Frenchman Francis Falceto.                                                                                                                                                                                                                          “I got very excited because there was something fresh about it, yet it was old but felt slightly new, and it had a Middle Eastern flavour which has a lot to do with Yemen being across the water from Ethiopia. It was exciting because it wasn’t what I had come to expect from Africa.”                                                                                                    But he admits getting to the country to experience the music first hand would never have happened without his music-making mate Dan Harper, who lived in the capital Addis Ababa. Harper urged him to pay a visit and in 2006 Page made the sojourn to Addis.                                                                                                                                                  He arrived expecting a hot and humid climate. Instead it was rainy season and, to his surprise, it was a high-altitude mountain city. “It was cold,” he laughs. In fact, all my preconceptions (about Ethiopia) were destroyed within the first 24 hours. It’s very thin air there, it’s full of diesel pollution, but it’s full of eucalyptus trees and it’s very green too.”                                         When it came time to record, Page admits he had no master plan- “I made it up as I went along”- although he did envisage the resulting music would be a mix of the “golden age” of Ethiopian music from the early 60s to early 70s, some jazz, and the 70s dub and reggae style similar to that of his favourite band The Abyssinians.                                                                                                                                                                                                           Harper and Page recruited local musicians for the project, including saxophonist Feleke Hailu, and singers Tsedenia  Gebremarkos (a pop star in Ethiopia), and Sintayehau “Mimi” Zenebe (a night club owner in Addis who is also known as the Ethiopian Edith Piaf).  Page recorded at Harper’s home studio out the back of his house. He calls these rough-and- ready sessions “urban field recordings” because the songs are riddled with many environmental and background noises.</t>
  </si>
  <si>
    <t xml:space="preserve">a) his earlier notions of it were inaccurate.                                                                                                                   </t>
  </si>
  <si>
    <t xml:space="preserve">b) it matched his expectations.                                                                                                                                  </t>
  </si>
  <si>
    <t xml:space="preserve">c) the temperature was stifling.                                                                                                                                       </t>
  </si>
  <si>
    <t>d) there was a drought.</t>
  </si>
  <si>
    <t xml:space="preserve">a) recruited completely unknown musicians.                                                                                                             </t>
  </si>
  <si>
    <t xml:space="preserve">b) ran through the music thoroughly with the musicians.                                                                                     </t>
  </si>
  <si>
    <t>d) was careful to edit out background noises.</t>
  </si>
  <si>
    <t>READING COMPREHENSION TEXTS</t>
  </si>
  <si>
    <t>Departamento de Idiomas. Escuela de Guerra | INGLÉS</t>
  </si>
  <si>
    <t>A. My Uncle Percy is married to a Welsh woman.</t>
  </si>
  <si>
    <t>A. The authorities kept the disease under control</t>
  </si>
  <si>
    <t>A. The meeting has been postponed.</t>
  </si>
  <si>
    <t>A. He is on his way, but he will arrive late</t>
  </si>
  <si>
    <t>A. This time I have to drive my car</t>
  </si>
  <si>
    <t>A. I would not have the time to do what he did</t>
  </si>
  <si>
    <t>B. There’s a lot of bureaucracy when you want to enter some countries.</t>
  </si>
  <si>
    <t>B. The boss has been called away.</t>
  </si>
  <si>
    <t>B. He has never arrived late to the office</t>
  </si>
  <si>
    <t>B. This time I need to buy a new car</t>
  </si>
  <si>
    <t>B. Pat is looking after a baby tonight</t>
  </si>
  <si>
    <t>B. It has been raining since October</t>
  </si>
  <si>
    <t>B. I would not have the strength to do what he did</t>
  </si>
  <si>
    <t xml:space="preserve">B. Paul was too overqualified </t>
  </si>
  <si>
    <t>B. The man's sister works one day a week</t>
  </si>
  <si>
    <t>B. That her post could be something else</t>
  </si>
  <si>
    <t>B. It was the strangest film he has seen</t>
  </si>
  <si>
    <t>B. If she has bought new batteries</t>
  </si>
  <si>
    <t>A. The man's sister works with chickens</t>
  </si>
  <si>
    <t>A. That she is not as young as she looks</t>
  </si>
  <si>
    <t>A. He passes the dry cleaner’s on the way to work</t>
  </si>
  <si>
    <t>A. If the radio uses batteries</t>
  </si>
  <si>
    <t>B. She should look for her copy instead of bothering him</t>
  </si>
  <si>
    <t>17. What does the man mean?</t>
  </si>
  <si>
    <t>A. Paul didn't get the job</t>
  </si>
  <si>
    <t>B. The authorities' predictions about the disease were wrong.</t>
  </si>
  <si>
    <t>B. He doubts he'll be able to do what she wants</t>
  </si>
  <si>
    <t>D. She's not sure of the answer</t>
  </si>
  <si>
    <t>B. It's not safe to travel</t>
  </si>
  <si>
    <t>A.  She can't borrow the manual until he finishes with it</t>
  </si>
  <si>
    <t>A. He doesn't normally like Hugh Grant films</t>
  </si>
  <si>
    <t>D. He forgot to take the clothes to the dry cleaner's</t>
  </si>
  <si>
    <t>32. Which of the following statements is true according to what you have heard?</t>
  </si>
  <si>
    <t>C. It's okay as long as she returns it after she's finished</t>
  </si>
  <si>
    <t>A. The Andes mountain range is 7,000 miles long</t>
  </si>
  <si>
    <t>A. The president of FIFA believes human error makes soccer exciting</t>
  </si>
  <si>
    <t>A. Current conflicts show a sense of ideology</t>
  </si>
  <si>
    <t>A. He likes to wear the traditional dress of the Cofan Indians</t>
  </si>
  <si>
    <t>A. Several assassination attempts on Ted Kennedy’s life</t>
  </si>
  <si>
    <t>B. It is unclear how much the mineral resources are worth</t>
  </si>
  <si>
    <t>B. McChrystal was fired for revealing details of war policy</t>
  </si>
  <si>
    <t>B. Gene’s description of the mine is first hand</t>
  </si>
  <si>
    <t>B. Previous liberation movements wanted to change society</t>
  </si>
  <si>
    <t>B. He helps them to acquire rainforest territory</t>
  </si>
  <si>
    <t>C. People have TV sets at work so they can see the matches</t>
  </si>
  <si>
    <t>C. Westminster sold all its old parking metres on eBay</t>
  </si>
  <si>
    <t>C. The Middle East will not be discussed this time round</t>
  </si>
  <si>
    <t>C. The head symbolizes a culture that left us no evidence in writing</t>
  </si>
  <si>
    <t>C. The Kennedys  were partial to being monitored</t>
  </si>
  <si>
    <t>D. There are no coin-operated parking meters in Westminster anymore</t>
  </si>
  <si>
    <t>D. Trucks buses and cars were set alight after the drivers had been removed</t>
  </si>
  <si>
    <t>D. FIFA is willing to adopt new technologies in football</t>
  </si>
  <si>
    <t>D. Heads were discovered in Ife at the turn of the last century</t>
  </si>
  <si>
    <t>12. What does the woman infer?</t>
  </si>
  <si>
    <t>7. What can be deduced from this conversation?</t>
  </si>
  <si>
    <t>1. Choose the correct statement</t>
  </si>
  <si>
    <t>2. Choose the correct statement</t>
  </si>
  <si>
    <t>3. Choose the correct statement</t>
  </si>
  <si>
    <t>4. Choose the correct statement</t>
  </si>
  <si>
    <t>5. Choose the correct statement</t>
  </si>
  <si>
    <t>6. Choose the correct statement</t>
  </si>
  <si>
    <t>8. Choose the correct statement</t>
  </si>
  <si>
    <t>30. Which statement is correct according to what you have heard?</t>
  </si>
  <si>
    <t>37. Which statement is true according to what you have heard?</t>
  </si>
  <si>
    <t>39. Choose the correct statement</t>
  </si>
  <si>
    <t>Tiempo global</t>
  </si>
  <si>
    <t>timeOver</t>
  </si>
  <si>
    <t>Su tiempo ha terminado. Pulse finalizar e imprima sus respuestas</t>
  </si>
  <si>
    <t>Say No To Campus Life Out of Season.(Liz Hoggard.)  The Independent. (Opinion)  March 9 2010.                                                                                                                               When news broke this weekend that Cambridge is to open its doors as a B and B establishment-to raise money- the people cheered. For the first time in Cambridge’s 800-year-history, holiday makers will be able to stay the night in Corpus Christi College, Clare; Downing, et al. Until now only conference delegates and guests of college members could book accommodation. But from Easter, it was reported, anyone will be able to sample Cambridge University life from 60 pounds a night.                                                                                                                                                                                                                                                                       Imagine waking up to ancient courts and quiet cloisters once occupied by Isaac Newton, Charles Darwin, Oliver Cromwell, William Wordsworth, Stephen Hawking and Stephen Fry, runs the romantic blurb. Are they kidding?                                                                                                                                                                                 As a teenager I spent all my summer holidays staying on university campuses. York, Exeter, Stirling, I’ve seen them all. Blame my cash-strapped French teacher parents, who jumped at the chance to stay somewhere inexpensive. Plus they argued it would be a marvelous way to experience culture from the inside.                                                                                                                      I’m sure one day they’ll make a C4 film about my family. At breakfast we’d sit around the kitchen table like a parody of University Challenge (National Health glasses, bad 1970’s haircuts) as my parents tried to raise our spirits with promises of improving day trips, theatre outings, and cheese and wine evenings with the local academics. Dream on. The only people on campus at that time of year are janitors, depressed foreign students, and  the Open University. The OU, God bless them, work incredibly hard all year long, studying on top of day jobs. So given two weeks to become a hedonistic student, they literally throw off their wedding rings, and start living it up. Very puzzling for 13-year-old girls. I think my parents hoped we were getting an education in thrift. Don’t believe it. These days I fritter money on five-star hotels with crisp linen and spas and valet parking. I never want to see a bunk bed again. Forget the Dreaming Spires. Or bed and breakfast with the dons. Send your kids to Eurodisney instead. They might just learn some French.</t>
  </si>
  <si>
    <t>EXAMEN 2/MP3/Q-40 EXAMEN 2.mp3</t>
  </si>
  <si>
    <t>EXAMEN 2/MP3/Q-39 EXAMEN 2.mp3</t>
  </si>
  <si>
    <t>EXAMEN 2/MP3/Q-38 EXAMEN 2.mp3</t>
  </si>
  <si>
    <t>EXAMEN 2/MP3/Q-37 EXAMEN 2.mp3</t>
  </si>
  <si>
    <t>EXAMEN 2/MP3/Q-36 EXAMEN 2.mp3</t>
  </si>
  <si>
    <t>EXAMEN 2/MP3/Q-35 EXAMEN 2.mp3</t>
  </si>
  <si>
    <t>EXAMEN 2/MP3/Q-34 EXAMEN 2.mp3</t>
  </si>
  <si>
    <t>EXAMEN 2/MP3/Q-33 EXAMEN 2.mp3</t>
  </si>
  <si>
    <t>EXAMEN 2/MP3/Q-32 EXAMEN 2.mp3</t>
  </si>
  <si>
    <t>EXAMEN 2/MP3/Q-31 EXAMEN 2.mp3</t>
  </si>
  <si>
    <t>EXAMEN 2/MP3/Q-10 EXAMEN 2.mp3</t>
  </si>
  <si>
    <t>EXAMEN 2/MP3/Q-11 EXAMEN 2.mp3</t>
  </si>
  <si>
    <t>EXAMEN 2/MP3/Q-12 EXAMEN 2.mp3</t>
  </si>
  <si>
    <t>EXAMEN 2/MP3/Q-13 EXAMEN 2.mp3</t>
  </si>
  <si>
    <t>EXAMEN 2/MP3/Q-14 EXAMEN 2.mp3</t>
  </si>
  <si>
    <t>EXAMEN 2/MP3/Q-15 EXAMEN 2.mp3</t>
  </si>
  <si>
    <t>EXAMEN 2/MP3/Q-16 EXAMEN 2.mp3</t>
  </si>
  <si>
    <t>EXAMEN 2/MP3/Q-17 EXAMEN 2.mp3</t>
  </si>
  <si>
    <t>EXAMEN 2/MP3/Q-18 EXAMEN 2.mp3</t>
  </si>
  <si>
    <t>EXAMEN 2/MP3/Q-19 EXAMEN 2.mp3</t>
  </si>
  <si>
    <t>EXAMEN 2/MP3/Q-20 EXAMEN 2.mp3</t>
  </si>
  <si>
    <t>EXAMEN 2/MP3/Q-21 EXAMEN 2.mp3</t>
  </si>
  <si>
    <t>EXAMEN 2/MP3/Q-22 EXAMEN 2.mp3</t>
  </si>
  <si>
    <t>EXAMEN 2/MP3/Q-23 EXAMEN 2.mp3</t>
  </si>
  <si>
    <t>EXAMEN 2/MP3/Q-24 EXAMEN 2.mp3</t>
  </si>
  <si>
    <t>EXAMEN 2/MP3/Q-25 EXAMEN 2.mp3</t>
  </si>
  <si>
    <t>EXAMEN 2/MP3/Q-26 EXAMEN 2.mp3</t>
  </si>
  <si>
    <t>EXAMEN 2/MP3/Q-27 EXAMEN 2.mp3</t>
  </si>
  <si>
    <t>EXAMEN 2/MP3/Q-28 EXAMEN 2.mp3</t>
  </si>
  <si>
    <t>EXAMEN 2/MP3/Q-29 EXAMEN 2.mp3</t>
  </si>
  <si>
    <t>EXAMEN 2/MP3/Q-30 EXAMEN 2.mp3</t>
  </si>
  <si>
    <t>EXAMEN 3/MP3/Q-17 EXAMEN 3.mp3</t>
  </si>
  <si>
    <t>EXAMEN 3/MP3/Q-16 EXAMEN 3.mp3</t>
  </si>
  <si>
    <t>EXAMEN 3/MP3/Q-15 EXAMEN 3.mp3</t>
  </si>
  <si>
    <t>EXAMEN 3/MP3/Q-14 EXAMEN 3.mp3</t>
  </si>
  <si>
    <t>EXAMEN 3/MP3/Q-13 EXAMEN 3.mp3</t>
  </si>
  <si>
    <t>EXAMEN 3/MP3/Q-12 EXAMEN 3.mp3</t>
  </si>
  <si>
    <t>EXAMEN 3/MP3/Q-11 EXAMEN 3.mp3</t>
  </si>
  <si>
    <t>EXAMEN 3/MP3/Q-10 EXAMEN 3.mp3</t>
  </si>
  <si>
    <t>EXAMEN 3/MP3/Q-18 EXAMEN 3.mp3</t>
  </si>
  <si>
    <t>EXAMEN 3/MP3/Q-19 EXAMEN 3.mp3</t>
  </si>
  <si>
    <t>EXAMEN 3/MP3/Q-20 EXAMEN 3.mp3</t>
  </si>
  <si>
    <t>EXAMEN 3/MP3/Q-21 EXAMEN 3.mp3</t>
  </si>
  <si>
    <t>EXAMEN 3/MP3/Q-22 EXAMEN 3.mp3</t>
  </si>
  <si>
    <t>EXAMEN 3/MP3/Q-23 EXAMEN 3.mp3</t>
  </si>
  <si>
    <t>EXAMEN 3/MP3/Q-24 EXAMEN 3.mp3</t>
  </si>
  <si>
    <t>EXAMEN 3/MP3/Q-25 EXAMEN 3.mp3</t>
  </si>
  <si>
    <t>EXAMEN 3/MP3/Q-26 EXAMEN 3.mp3</t>
  </si>
  <si>
    <t>EXAMEN 3/MP3/Q-27 EXAMEN 3.mp3</t>
  </si>
  <si>
    <t>EXAMEN 3/MP3/Q-28 EXAMEN 3.mp3</t>
  </si>
  <si>
    <t>EXAMEN 3/MP3/Q-29 EXAMEN 3.mp3</t>
  </si>
  <si>
    <t>EXAMEN 3/MP3/Q-30 EXAMEN 3.mp3</t>
  </si>
  <si>
    <t>EXAMEN 3/MP3/Q-31 EXAMEN 3.mp3</t>
  </si>
  <si>
    <t>EXAMEN 3/MP3/Q-32 EXAMEN 3.mp3</t>
  </si>
  <si>
    <t>EXAMEN 3/MP3/Q-33 EXAMEN 3.mp3</t>
  </si>
  <si>
    <t>EXAMEN 3/MP3/Q-34 EXAMEN 3.mp3</t>
  </si>
  <si>
    <t>EXAMEN 3/MP3/Q-35 EXAMEN 3.mp3</t>
  </si>
  <si>
    <t>EXAMEN 3/MP3/Q-36 EXAMEN 3.mp3</t>
  </si>
  <si>
    <t>EXAMEN 3/MP3/Q-37 EXAMEN 3.mp3</t>
  </si>
  <si>
    <t>EXAMEN 3/MP3/Q-38 EXAMEN 3.mp3</t>
  </si>
  <si>
    <t>EXAMEN 3/MP3/Q-39 EXAMEN 3.mp3</t>
  </si>
  <si>
    <t>EXAMEN 3/MP3/Q-40 EXAMEN 3.mp3</t>
  </si>
  <si>
    <t>a) He experiences violent dreams</t>
  </si>
  <si>
    <t>d) He had already done studies on sleep disorders</t>
  </si>
  <si>
    <t>c) Pretended to be asleep while committing a crime</t>
  </si>
  <si>
    <t>d) Been released on bail after committing a crime while sleepwalking</t>
  </si>
  <si>
    <t>a) Doesn’t understand his fellow countrymen</t>
  </si>
  <si>
    <t>d) Relates more easily to foreigners than other Bolivians</t>
  </si>
  <si>
    <t>b) Penalize Bolivians who arrive late for work</t>
  </si>
  <si>
    <t>c) Change the national habit of arriving late in many different circumstances</t>
  </si>
  <si>
    <t>d) Monitor the times that people arrive at work</t>
  </si>
  <si>
    <t>a) Dispense with all the old rules of Scrabble</t>
  </si>
  <si>
    <t>d) Create an official word list for Scrabble</t>
  </si>
  <si>
    <t>c) Scrabble will become more difficult</t>
  </si>
  <si>
    <t>d) Scrabble will attract more players</t>
  </si>
  <si>
    <t>b) Scrabble will appeal more to intellectual fans</t>
  </si>
  <si>
    <t>a) Gullible</t>
  </si>
  <si>
    <t>d) Difficult to convince</t>
  </si>
  <si>
    <t>c) Replace the mayor of Jafr</t>
  </si>
  <si>
    <t>c) Will negotiate with Toshiba in 2014</t>
  </si>
  <si>
    <t>b) Is certain that the micro-reactors will begin production in 2014</t>
  </si>
  <si>
    <t>b) A scrutiny of the current justice system</t>
  </si>
  <si>
    <t>c) The appearance of a number of similar cases</t>
  </si>
  <si>
    <t>d) Complications with a lot of red tape</t>
  </si>
  <si>
    <t>a) Dictatorships are good for artistic life because of the financial support they give to the arts</t>
  </si>
  <si>
    <t>d) Corruption and violence inspire great art</t>
  </si>
  <si>
    <t>b) The highest ideals of literature and art came from the Soviet Union</t>
  </si>
  <si>
    <t>c) Abstract expressionism arose during the cold war</t>
  </si>
  <si>
    <t>d) The work of an artist is influenced by the system in which he lives</t>
  </si>
  <si>
    <t>d) The population of Japan will increase by 41%</t>
  </si>
  <si>
    <t>d) Deportation is a “collateral” issue</t>
  </si>
  <si>
    <t>b) Dealing with legal issues can prove costly for doctors</t>
  </si>
  <si>
    <t>LABRADO GOMEZ, CARLOS</t>
  </si>
  <si>
    <t>21. Which of the statements below is true about Ms Lohan?</t>
  </si>
  <si>
    <t>22. Choose the statement which is correct according to what you have heard</t>
  </si>
  <si>
    <t>23. How is the crackdown going to affect Oldham?</t>
  </si>
  <si>
    <t>24. What can be said about Rafa Nadal?</t>
  </si>
  <si>
    <t>25. What can be said about the Pakistani cricket players?</t>
  </si>
  <si>
    <t>26. What can be said about Lord Prescott?</t>
  </si>
  <si>
    <t>27. Which statement is true according to what you have heard?</t>
  </si>
  <si>
    <t>28. What can be said about the aircraft?</t>
  </si>
  <si>
    <t>29. Which of the following statements is correct?</t>
  </si>
  <si>
    <t>30. What can be said about the Immigration Minister?</t>
  </si>
  <si>
    <t>31. Choose the correct statement according to what you have heard</t>
  </si>
  <si>
    <t>33. Which of the following statements is true?</t>
  </si>
  <si>
    <t>34. Choose the statement which is correct according to what you have heard.</t>
  </si>
  <si>
    <t>35. What can be said about Manchester Central Library?</t>
  </si>
  <si>
    <t>36. Choose the correct statement?</t>
  </si>
  <si>
    <t>37. Choose the statement which is correct according to the extract</t>
  </si>
  <si>
    <t>38. What can be said about Ingrid Betancourt?</t>
  </si>
  <si>
    <t>39. According to the conversation what can be said about obesity?</t>
  </si>
  <si>
    <t>40. Which of the statements is true according to the extract?</t>
  </si>
  <si>
    <t>A. Billy wakes up early.</t>
  </si>
  <si>
    <t>A. I find it hard to live without the Internet.</t>
  </si>
  <si>
    <t>A. Your mother wants to speak to you.</t>
  </si>
  <si>
    <t>A. He gave Mary the sandwich that made her ill.</t>
  </si>
  <si>
    <t>A. The woman is not yet in possession of the file.</t>
  </si>
  <si>
    <t>A. The current mayor is to blame for the problem.</t>
  </si>
  <si>
    <t>A. She was speechless when she heard the news.</t>
  </si>
  <si>
    <t>A. The sooner they finish the assignment the better</t>
  </si>
  <si>
    <t>A. The police left the card behind.</t>
  </si>
  <si>
    <t>A. She knew taxes were going to rise.</t>
  </si>
  <si>
    <t>A. The restaurant has moved to a new location.</t>
  </si>
  <si>
    <t>A. He believes that we are in the midst of the peak.</t>
  </si>
  <si>
    <t>A. If the other man had ever stolen anything .</t>
  </si>
  <si>
    <t>A. She spent eighty four days in prison</t>
  </si>
  <si>
    <t>A. The extract considers the little-known side of food processing</t>
  </si>
  <si>
    <t xml:space="preserve">A. Police are going to be tough on everyone in the street </t>
  </si>
  <si>
    <t xml:space="preserve">A. He won despite suffering  from his knee injury during the match </t>
  </si>
  <si>
    <t>A. They robbed an art gallery</t>
  </si>
  <si>
    <t>A. Scotland Yard bugged his telephone</t>
  </si>
  <si>
    <t>A. Hamas did not take part in the talks in Washington</t>
  </si>
  <si>
    <t>A. It is very delicate</t>
  </si>
  <si>
    <t>A. People start to drink alcohol between 16  and 24</t>
  </si>
  <si>
    <t>A. He made a speech last Monday</t>
  </si>
  <si>
    <t>A. Police have established the purity of drugs on the streets</t>
  </si>
  <si>
    <t>A. In the Imagination Playground structures are not fixed</t>
  </si>
  <si>
    <t>A. Three people were sentenced to life imprisonment</t>
  </si>
  <si>
    <t xml:space="preserve">A. The Reno Cure was only for women </t>
  </si>
  <si>
    <t>A. It will be closed for five years</t>
  </si>
  <si>
    <t>A. The miners will be rescued this weekend</t>
  </si>
  <si>
    <t>A. There is a competition organised to divide up the Artic region</t>
  </si>
  <si>
    <t xml:space="preserve">A. She previously ran for  President in Columbia </t>
  </si>
  <si>
    <t>A. One in 40 people are obese since their teens</t>
  </si>
  <si>
    <t>A. Many young people rebel against dictates on marriage</t>
  </si>
  <si>
    <t>B. I could survive without the internet.</t>
  </si>
  <si>
    <t>B. You ought to give your mother a call.</t>
  </si>
  <si>
    <t>B. Families kill couples who refuse to accept arranged marriages</t>
  </si>
  <si>
    <t>B. It is linked to low self-esteem</t>
  </si>
  <si>
    <t>B. Her memoirs are only available in NY</t>
  </si>
  <si>
    <t>B. Moscow raised a flag over the territory  assigned to it</t>
  </si>
  <si>
    <t>B. A baby was born in the mine</t>
  </si>
  <si>
    <t>B. It offers its services only to Manchester residents</t>
  </si>
  <si>
    <t>B. People stayed on the ranches to avoid their partners</t>
  </si>
  <si>
    <t>B. An old legal process meant only one person was convicted</t>
  </si>
  <si>
    <t>B. A disgruntled parent complained about playgrounds in NY City</t>
  </si>
  <si>
    <t>B. Dealers have cut the price of drugs</t>
  </si>
  <si>
    <t>B. He wants stricter entry regulations for foreign students</t>
  </si>
  <si>
    <t>B. The British Medical Association has imposed a limit on alcohol consumption</t>
  </si>
  <si>
    <t>B. It has capacity for over 2 tons of bombs</t>
  </si>
  <si>
    <t>B. Israeli and Palestinian leaders have been meeting every two years</t>
  </si>
  <si>
    <t>B. He is a former Prime Minister</t>
  </si>
  <si>
    <t>B. They are accused of being involved in fraud</t>
  </si>
  <si>
    <t>B. At one point it looked as though he was in difficulty</t>
  </si>
  <si>
    <t>B. Staying away from school will be considered a serious crime</t>
  </si>
  <si>
    <t>B. The jam was tasted before the pails were sealed</t>
  </si>
  <si>
    <t xml:space="preserve">B. She has already had problems with the law </t>
  </si>
  <si>
    <t>B. War journalists must keep their wits about them.</t>
  </si>
  <si>
    <t>B. If the other man had ever been missing.</t>
  </si>
  <si>
    <t>B. He believes that the peak has passed.</t>
  </si>
  <si>
    <t xml:space="preserve">B. The new chef is less skilled than the last. </t>
  </si>
  <si>
    <t>B. The client was leading the police astray.</t>
  </si>
  <si>
    <t>B. They must have the assignment finished as soon as possible</t>
  </si>
  <si>
    <t>B. She took the news in her stride.</t>
  </si>
  <si>
    <t>B. The mayor needs to organise some more public works.</t>
  </si>
  <si>
    <t>B. The man thinks his cooking smells bad.</t>
  </si>
  <si>
    <t>B. Allow the woman to use his phone.</t>
  </si>
  <si>
    <t>B. All that school has to offer appeals to me.</t>
  </si>
  <si>
    <t>B. He and Raymond were great friends before the row.</t>
  </si>
  <si>
    <t>C. The Internet has made life a lot more complicated</t>
  </si>
  <si>
    <t>C. He and Raymond have never been great buddies.</t>
  </si>
  <si>
    <t>C. I have a variety of interests at school.</t>
  </si>
  <si>
    <t>C. Call the woman if the phone rings.</t>
  </si>
  <si>
    <t>C. He advised Mary to eat the sandwich.</t>
  </si>
  <si>
    <t>C. The woman is using sophisticated equipment.</t>
  </si>
  <si>
    <t>C. The new major is not really at fault.</t>
  </si>
  <si>
    <t>C. They were given little time to complete the assignment</t>
  </si>
  <si>
    <t>C. Chloe could retrieve the information.</t>
  </si>
  <si>
    <t>C. The police chanced upon the card.</t>
  </si>
  <si>
    <t>C. She thought taxes were on their way down.</t>
  </si>
  <si>
    <t>C. The restaurant shut down soon after they changed chefs.</t>
  </si>
  <si>
    <t>C. He believes that the peak has yet to come.</t>
  </si>
  <si>
    <t>C. The report said bodyguards were charged with the murder of the couple</t>
  </si>
  <si>
    <t>C. It is common among high achievers</t>
  </si>
  <si>
    <t>C. She was held captive for ten years</t>
  </si>
  <si>
    <t>C. Global warming will hinder exploitation of resources</t>
  </si>
  <si>
    <t>C. Work will soon start on a third tunnel</t>
  </si>
  <si>
    <t>C. Due to renovation it now offers a wide range of facilities</t>
  </si>
  <si>
    <t>C. Establishing residency was a requisite for getting a divorce</t>
  </si>
  <si>
    <t>C. Eight people were charged with a gang murder</t>
  </si>
  <si>
    <t>C. If the other man had ever been reported</t>
  </si>
  <si>
    <t>C. There are few good alternative energy sources</t>
  </si>
  <si>
    <t>C. The woman can think of several more dangerous professions.</t>
  </si>
  <si>
    <t>C. She failed a course on in adult education</t>
  </si>
  <si>
    <t>C. Flies are part and parcel of jam making</t>
  </si>
  <si>
    <t>C. Youth workers will help sweep the streets during the crackdown</t>
  </si>
  <si>
    <t>C. The reporter predicts a bright future for him</t>
  </si>
  <si>
    <t>C. They might be expelled from the ICC</t>
  </si>
  <si>
    <t>C. He is the only person whose telephone was bugged</t>
  </si>
  <si>
    <t>C. Right-wing activists are angry because Hamas refused to go to Washington</t>
  </si>
  <si>
    <t>C. It was used to attack Germany during WW II</t>
  </si>
  <si>
    <t>C. Close on 2 million people are estimated to be serious alcohol abusers</t>
  </si>
  <si>
    <t>C. He believes all of the foreign students remain in Britain after completing their studies</t>
  </si>
  <si>
    <t>C. Consumers mix drugs with poisonous substances</t>
  </si>
  <si>
    <t>C. There have never been theories about building playing spaces for kids</t>
  </si>
  <si>
    <t xml:space="preserve">D. It is a requirement for receiving welfare </t>
  </si>
  <si>
    <t>D. She has difficulty remembering what happened to her</t>
  </si>
  <si>
    <t>D. The region is rich in natural resources</t>
  </si>
  <si>
    <t>D. Engineers have been building an escape route for a year</t>
  </si>
  <si>
    <t>D. It is going to be housed elsewhere temporarily</t>
  </si>
  <si>
    <t>D. Divorce was easily available all over the United States</t>
  </si>
  <si>
    <t>D. Three got shorter prison sentences</t>
  </si>
  <si>
    <t>D. Rockwell got an architect to design the playground</t>
  </si>
  <si>
    <t xml:space="preserve">D. The active ingredient contained in the drugs is minimal </t>
  </si>
  <si>
    <t xml:space="preserve">D. He thinks foreign students should not be given visas </t>
  </si>
  <si>
    <t>D. People in the UK are well aware of  the extent of the problem</t>
  </si>
  <si>
    <t>D. It is  in a London war museum</t>
  </si>
  <si>
    <t>D. There were attacks at the meetings in Washington</t>
  </si>
  <si>
    <t>D. He has decided to take a newspaper to court</t>
  </si>
  <si>
    <t>D. The captain is still being questioned</t>
  </si>
  <si>
    <t>D. His reaction to his win was unusual</t>
  </si>
  <si>
    <t>D. Stealing among young offenders will be targeted</t>
  </si>
  <si>
    <t>D. Filling your trolley in the store, you think of food processing</t>
  </si>
  <si>
    <t>D. She was sentenced to immediate imprisonment</t>
  </si>
  <si>
    <t>D. The man believes that danger is compensated for by prestige.</t>
  </si>
  <si>
    <t>D. We need more time to find a solution.</t>
  </si>
  <si>
    <t>D. If the other man had lost anything</t>
  </si>
  <si>
    <t>D. He believes that the peak is decades away.</t>
  </si>
  <si>
    <t>D. They go to the restaurant further down the hill.</t>
  </si>
  <si>
    <t>D. They ought to have got the assignment under way earlier</t>
  </si>
  <si>
    <t xml:space="preserve">D. She was furious when she heard the news. </t>
  </si>
  <si>
    <t>D. The major is responsible for the problem.</t>
  </si>
  <si>
    <t>D. I think school is rather boring.</t>
  </si>
  <si>
    <t>D. He and Raymond never speak to each other now.</t>
  </si>
  <si>
    <t>D. Billy is still in bed.</t>
  </si>
  <si>
    <t xml:space="preserve">1.  </t>
  </si>
  <si>
    <t xml:space="preserve">2. </t>
  </si>
  <si>
    <t xml:space="preserve">3. </t>
  </si>
  <si>
    <t xml:space="preserve">4. </t>
  </si>
  <si>
    <t xml:space="preserve">5. </t>
  </si>
  <si>
    <t xml:space="preserve">6. </t>
  </si>
  <si>
    <t xml:space="preserve">7. </t>
  </si>
  <si>
    <t xml:space="preserve">8. </t>
  </si>
  <si>
    <t xml:space="preserve">9.  </t>
  </si>
  <si>
    <t>EXAMEN 4/MP3/Q-10 EXAMEN 4.mp3</t>
  </si>
  <si>
    <t>EXAMEN 4/MP3/Q-11 EXAMEN 4.mp3</t>
  </si>
  <si>
    <t>EXAMEN 4/MP3/Q-12 EXAMEN 4.mp3</t>
  </si>
  <si>
    <t>EXAMEN 4/MP3/Q-13 EXAMEN 4.mp3</t>
  </si>
  <si>
    <t>EXAMEN 4/MP3/Q-14 EXAMEN 4.mp3</t>
  </si>
  <si>
    <t>EXAMEN 4/MP3/Q-15 EXAMEN 4.mp3</t>
  </si>
  <si>
    <t>EXAMEN 4/MP3/Q-16 EXAMEN 4.mp3</t>
  </si>
  <si>
    <t>EXAMEN 4/MP3/Q-17 EXAMEN 4.mp3</t>
  </si>
  <si>
    <t>EXAMEN 4/MP3/Q-18 EXAMEN 4.mp3</t>
  </si>
  <si>
    <t>EXAMEN 4/MP3/Q-19 EXAMEN 4.mp3</t>
  </si>
  <si>
    <t>EXAMEN 4/MP3/Q-20 EXAMEN 4.mp3</t>
  </si>
  <si>
    <t>EXAMEN 4/MP3/Q-21 EXAMEN 4.mp3</t>
  </si>
  <si>
    <t>EXAMEN 4/MP3/Q-22 EXAMEN 4.mp3</t>
  </si>
  <si>
    <t>EXAMEN 4/MP3/Q-23 EXAMEN 4.mp3</t>
  </si>
  <si>
    <t>EXAMEN 4/MP3/Q-24 EXAMEN 4.mp3</t>
  </si>
  <si>
    <t>EXAMEN 4/MP3/Q-25 EXAMEN 4.mp3</t>
  </si>
  <si>
    <t>EXAMEN 4/MP3/Q-26 EXAMEN 4.mp3</t>
  </si>
  <si>
    <t>EXAMEN 4/MP3/Q-27 EXAMEN 4.mp3</t>
  </si>
  <si>
    <t>EXAMEN 4/MP3/Q-28 EXAMEN 4.mp3</t>
  </si>
  <si>
    <t>EXAMEN 4/MP3/Q-29 EXAMEN 4.mp3</t>
  </si>
  <si>
    <t>EXAMEN 4/MP3/Q-30 EXAMEN 4.mp3</t>
  </si>
  <si>
    <t>EXAMEN 4/MP3/Q-31 EXAMEN 4.mp3</t>
  </si>
  <si>
    <t>EXAMEN 4/MP3/Q-32 EXAMEN 4.mp3</t>
  </si>
  <si>
    <t>EXAMEN 4/MP3/Q-33 EXAMEN 4.mp3</t>
  </si>
  <si>
    <t>EXAMEN 4/MP3/Q-34 EXAMEN 4.mp3</t>
  </si>
  <si>
    <t>EXAMEN 4/MP3/Q-35 EXAMEN 4.mp3</t>
  </si>
  <si>
    <t>EXAMEN 4/MP3/Q-36 EXAMEN 4.mp3</t>
  </si>
  <si>
    <t>EXAMEN 4/MP3/Q-37 EXAMEN 4.mp3</t>
  </si>
  <si>
    <t>EXAMEN 4/MP3/Q-38 EXAMEN 4.mp3</t>
  </si>
  <si>
    <t>EXAMEN 4/MP3/Q-39 EXAMEN 4.mp3</t>
  </si>
  <si>
    <t>EXAMEN 4/MP3/Q-40 EXAMEN 4.mp3</t>
  </si>
  <si>
    <t>A. He believes the problem shouldn't have become a crisis.</t>
  </si>
  <si>
    <t>B. He believes the problem needn't be a crisis.</t>
  </si>
  <si>
    <t>B. Bill hasn't got a pet.</t>
  </si>
  <si>
    <t>C. Billy doesn't want to get up.</t>
  </si>
  <si>
    <t>D. We couldn't survive without internet in the past.</t>
  </si>
  <si>
    <t>C. If I were you, I'd bring your mother.</t>
  </si>
  <si>
    <t>D. I'd have called your mother if I were you.</t>
  </si>
  <si>
    <t>A. He and Raymond can't stand each other anymore.</t>
  </si>
  <si>
    <t>A. I wasn't interested in finding the school.</t>
  </si>
  <si>
    <t>A. Receive the woman's calls for her.</t>
  </si>
  <si>
    <t>D. Divert the woman's calls.</t>
  </si>
  <si>
    <t>A. The man's culinary skills are not as bad as he thinks.</t>
  </si>
  <si>
    <t xml:space="preserve">C. The man's cooking lacks taste. </t>
  </si>
  <si>
    <t>D. The man's culinary skills are outstanding.</t>
  </si>
  <si>
    <t>B. He didn't recommend that Mary eat the sandwich.</t>
  </si>
  <si>
    <t>D. The sandwich didn't cause the stomach complaint.</t>
  </si>
  <si>
    <t>B. The file didn't take as long as expected to download.</t>
  </si>
  <si>
    <t>D. The woman hasn't started downloading the file.</t>
  </si>
  <si>
    <t>C. She couldn't stop laughing upon hearing the news.</t>
  </si>
  <si>
    <t>A. He doesn't want Chloe to fret.</t>
  </si>
  <si>
    <t>B. He wouldn't have made such a mistake.</t>
  </si>
  <si>
    <t>D. He didn't think anyone could make such a mistake.</t>
  </si>
  <si>
    <t>D. The client couldn't have left the card.</t>
  </si>
  <si>
    <t>B. Tax cuts weren't an election promise.</t>
  </si>
  <si>
    <t>D. She knew the government wouldn't keep their word.</t>
  </si>
  <si>
    <t>A. A war journalist shouldn't always depend on the skill of the unit.</t>
  </si>
  <si>
    <t>D. Marrying outside one's caste is permitted in extended families</t>
  </si>
  <si>
    <t>EXAMEN 3/MP3/Q-01 EXAMEN 3.mp3</t>
  </si>
  <si>
    <t>EXAMEN 3/MP3/Q-02 EXAMEN 3.mp3</t>
  </si>
  <si>
    <t>EXAMEN 3/MP3/Q-03 EXAMEN 3.mp3</t>
  </si>
  <si>
    <t>EXAMEN 3/MP3/Q-04 EXAMEN 3.mp3</t>
  </si>
  <si>
    <t>EXAMEN 3/MP3/Q-05 EXAMEN 3.mp3</t>
  </si>
  <si>
    <t>EXAMEN 3/MP3/Q-06 EXAMEN 3.mp3</t>
  </si>
  <si>
    <t>EXAMEN 3/MP3/Q-07 EXAMEN 3.mp3</t>
  </si>
  <si>
    <t>EXAMEN 3/MP3/Q-08 EXAMEN 3.mp3</t>
  </si>
  <si>
    <t>EXAMEN 3/MP3/Q-09 EXAMEN 3.mp3</t>
  </si>
  <si>
    <t>EXAMEN 4/MP3/Q-01 EXAMEN 4.mp3</t>
  </si>
  <si>
    <t>EXAMEN 4/MP3/Q-02 EXAMEN 4.mp3</t>
  </si>
  <si>
    <t>EXAMEN 4/MP3/Q-03 EXAMEN 4.mp3</t>
  </si>
  <si>
    <t>EXAMEN 4/MP3/Q-04 EXAMEN 4.mp3</t>
  </si>
  <si>
    <t>EXAMEN 4/MP3/Q-05 EXAMEN 4.mp3</t>
  </si>
  <si>
    <t>EXAMEN 4/MP3/Q-06 EXAMEN 4.mp3</t>
  </si>
  <si>
    <t>EXAMEN 4/MP3/Q-07 EXAMEN 4.mp3</t>
  </si>
  <si>
    <t>EXAMEN 4/MP3/Q-08 EXAMEN 4.mp3</t>
  </si>
  <si>
    <t>EXAMEN 4/MP3/Q-09 EXAMEN 4.mp3</t>
  </si>
  <si>
    <t>A. The G8 meeting was productive</t>
  </si>
  <si>
    <t>A. The field may have been very dangerous</t>
  </si>
  <si>
    <t>A. The submarine stayed in deep water</t>
  </si>
  <si>
    <t>A. Civilian contractors are all cleared to enter the base</t>
  </si>
  <si>
    <t>A. The plan was to get some exercise</t>
  </si>
  <si>
    <t>A. We’d better not overfill the gas tank</t>
  </si>
  <si>
    <t>A. The mechanic has all his work orders completed</t>
  </si>
  <si>
    <t>A. The buildings need better windows and insulation to be energy efficient</t>
  </si>
  <si>
    <t>A. There was a report of a row at the press conference</t>
  </si>
  <si>
    <t>A. IBM has shut down</t>
  </si>
  <si>
    <t>A. The woman doubts that Jimmy speaks Italian</t>
  </si>
  <si>
    <t>A. He wasn’t interested in languages at university</t>
  </si>
  <si>
    <t>A. The troops have just landed</t>
  </si>
  <si>
    <t>A. The meeting did not take place</t>
  </si>
  <si>
    <t>A. She found the question easy</t>
  </si>
  <si>
    <t>A. Things are looking up</t>
  </si>
  <si>
    <t>A. They didn’t serve her when she called in</t>
  </si>
  <si>
    <t>A. The woman is suspicious of the deal</t>
  </si>
  <si>
    <t>A. Finish off the eggs</t>
  </si>
  <si>
    <t>A. She is worried the man could embarrass himself</t>
  </si>
  <si>
    <t>A. It was reconsidered</t>
  </si>
  <si>
    <t xml:space="preserve">A. Deficiencies attributed to  MI5 </t>
  </si>
  <si>
    <t>A. The insurance companies were not answering calls</t>
  </si>
  <si>
    <t>A. Easter Island is 1,200 miles from the Isle of Wight</t>
  </si>
  <si>
    <t>A. She shot her husband</t>
  </si>
  <si>
    <t>A. The agreement has taken four years to complete</t>
  </si>
  <si>
    <t>A. The parade is held every other year</t>
  </si>
  <si>
    <t>A. Previously having religious faith</t>
  </si>
  <si>
    <t>A. Younger generations mix across ethnic lines</t>
  </si>
  <si>
    <t>A. He will go to prison</t>
  </si>
  <si>
    <t>A. He is fond of construction</t>
  </si>
  <si>
    <t>A. Holland and Sweden have benefited from the financial crisis</t>
  </si>
  <si>
    <t>A. A film called ‘One day on Earth” will be made</t>
  </si>
  <si>
    <t>A. He and his father had a difficult relationship</t>
  </si>
  <si>
    <t>A. The miners will be rescued in 33 days</t>
  </si>
  <si>
    <t>A. It takes everyone eight months to find a job</t>
  </si>
  <si>
    <t>A. John Lennon was a womaniser</t>
  </si>
  <si>
    <t>A. Conflict resolution  through negotiation</t>
  </si>
  <si>
    <t xml:space="preserve">A. David Mittle presented an estimate for business lost </t>
  </si>
  <si>
    <t>A. Give money to those who deserve it</t>
  </si>
  <si>
    <t>B. The G8 meeting advanced in technical issues</t>
  </si>
  <si>
    <t>B. Troops were ordered into the field</t>
  </si>
  <si>
    <t>B. The submarine dove deeper to escape SONAR detection</t>
  </si>
  <si>
    <t>B. Civilian contractors must get permission to enter the base</t>
  </si>
  <si>
    <t>B. We didn’t have a plan to work out</t>
  </si>
  <si>
    <t>B. We are in danger of running out of gas</t>
  </si>
  <si>
    <t>B. The mechanic can leave work early because he's finished all his work</t>
  </si>
  <si>
    <t>B. The buildings are renovated and expensive</t>
  </si>
  <si>
    <t>B. The reporters got into a fight</t>
  </si>
  <si>
    <t>B. IBM purchased a company</t>
  </si>
  <si>
    <t>B. The woman spent a long time in Italy</t>
  </si>
  <si>
    <t>B. He was more interested in learning languages at high school</t>
  </si>
  <si>
    <t>B. The troops were delayed because they missed the train</t>
  </si>
  <si>
    <t>B. The negotiations were a success</t>
  </si>
  <si>
    <t>B. She couldn’t answer the question</t>
  </si>
  <si>
    <t>B. Things are hopeless</t>
  </si>
  <si>
    <t>B. She wasn’t impressed with the food</t>
  </si>
  <si>
    <t>B. The woman doesn’t know what the deal involves</t>
  </si>
  <si>
    <t>B. Pick the eggs up off the floor</t>
  </si>
  <si>
    <t>B. She is worried that they will take advantage of the man</t>
  </si>
  <si>
    <t>B. It was rejected</t>
  </si>
  <si>
    <t>B. The number of victims in the attack</t>
  </si>
  <si>
    <t>B. The price of health plans had rocketed</t>
  </si>
  <si>
    <t>B. The Polynesians were skilled voyagers</t>
  </si>
  <si>
    <t>B. She gave $250,000 to her stepson</t>
  </si>
  <si>
    <t>B. The Barin Sea has a lot of natural resources</t>
  </si>
  <si>
    <t>B. Mostly women and children attend the parade</t>
  </si>
  <si>
    <t>B. Its weight in gold coins</t>
  </si>
  <si>
    <t>B. There are three ethnic groups in Bosnia</t>
  </si>
  <si>
    <t>B. His managers also gambled</t>
  </si>
  <si>
    <t xml:space="preserve">B. He dislikes the new appearance of Georgia’s cities </t>
  </si>
  <si>
    <t>B. There is economic security in Europe</t>
  </si>
  <si>
    <t xml:space="preserve">B. Marathons will take place in Australia and Brazil </t>
  </si>
  <si>
    <t>B. This is the first award he has ever received</t>
  </si>
  <si>
    <t>B. Rescuers must ensure the operation is safe</t>
  </si>
  <si>
    <t>B. The private sector has now started to employ people</t>
  </si>
  <si>
    <t>B. Lennon was killed before the interviews were finished</t>
  </si>
  <si>
    <t>B. Their differences will never be settled</t>
  </si>
  <si>
    <t>B. Pub landlords  are objecting to the smoking restrictions</t>
  </si>
  <si>
    <t xml:space="preserve">B. Limit the amount of money paid </t>
  </si>
  <si>
    <t>C. According to G8 sources, the summit was a success</t>
  </si>
  <si>
    <t>C. There was an explosion in the field</t>
  </si>
  <si>
    <t>C. The submarine had to go to the surface of the ocean</t>
  </si>
  <si>
    <t>C. The base has been cleared of civilian contractors</t>
  </si>
  <si>
    <t>C. It's a pity the plan failed</t>
  </si>
  <si>
    <t>C. We should feel better now that the tank is full</t>
  </si>
  <si>
    <t>C. The mechanic is overwhelmed with repair jobs</t>
  </si>
  <si>
    <t>C. The new buildings are not going to be energy efficient</t>
  </si>
  <si>
    <t>C. The press conference broke up as soon as the reporters arrived</t>
  </si>
  <si>
    <t>C. Another company now owns IBM</t>
  </si>
  <si>
    <t>C. The woman is not surprised at Jimmy’s ability to speak Italian</t>
  </si>
  <si>
    <t>C. His main interest for languages came after leaving high school</t>
  </si>
  <si>
    <t>C. The train carrying the supplies broke down</t>
  </si>
  <si>
    <t>C. The deliberations were put on hold</t>
  </si>
  <si>
    <t>C. She couldn’t understand the question</t>
  </si>
  <si>
    <t>C. Things are uncertain</t>
  </si>
  <si>
    <t>C. The food was delicious</t>
  </si>
  <si>
    <t>C. The woman would like to accept the deal</t>
  </si>
  <si>
    <t>C. Buy some eggs</t>
  </si>
  <si>
    <t>C. She is worried the man could miss an opportunity</t>
  </si>
  <si>
    <t>C. It was curbed</t>
  </si>
  <si>
    <t>C. How the families of the victims helped</t>
  </si>
  <si>
    <t>C. People were complaining about the new insurance premiums</t>
  </si>
  <si>
    <t>C. Rapa Nui was too remote to inhabit</t>
  </si>
  <si>
    <t>C. She was the person who planned the crime</t>
  </si>
  <si>
    <t>C. The Russian President trusts Norway</t>
  </si>
  <si>
    <t>C. The bomb was in the spectator area</t>
  </si>
  <si>
    <t>C. Copper coins</t>
  </si>
  <si>
    <t>C. People forced to leave have returned</t>
  </si>
  <si>
    <t>C. He owes 26,000 euro to the bank</t>
  </si>
  <si>
    <t>C. He wants builders to get used to working in winter</t>
  </si>
  <si>
    <t>C. Extreme right parties are anti-immigrant</t>
  </si>
  <si>
    <t>C. There is a restriction on what can be recorded on video</t>
  </si>
  <si>
    <t>C. Being a writer, he became quite eccentric</t>
  </si>
  <si>
    <t>C. The miners are in bad condition after 66 days</t>
  </si>
  <si>
    <t>C. The over-50s take longer than most to be re-employed</t>
  </si>
  <si>
    <t>C. Sheff interviewed the couple over a period of three months</t>
  </si>
  <si>
    <t>C. Iran must take the first step, then the US will follow</t>
  </si>
  <si>
    <t xml:space="preserve">C. The MP is fighting a losing battle in the House of Commons </t>
  </si>
  <si>
    <t>C. Increase the average family’s benefits</t>
  </si>
  <si>
    <t>D. Little progress was made at the G8 meeting</t>
  </si>
  <si>
    <t>D. There was no possibility of explosives in the field</t>
  </si>
  <si>
    <t>D. The submarine avoided the surface due to a malfunction</t>
  </si>
  <si>
    <t>D. Civilian contractors don’t need authorization to enter the base</t>
  </si>
  <si>
    <t>D. A bad plan will never work out</t>
  </si>
  <si>
    <t>D. The gas tank is completely empty so we must fill it</t>
  </si>
  <si>
    <t>D. The mechanic is using many tools</t>
  </si>
  <si>
    <t>D. The building's energy bill will be very affordable</t>
  </si>
  <si>
    <t>D. The reporters boycotted the press conference</t>
  </si>
  <si>
    <t>D. The crash was IBM's fault</t>
  </si>
  <si>
    <t>D. The woman is impressed by Jimmy’s Italian</t>
  </si>
  <si>
    <t>D. He studied at a foreign university hence his soft spot for languages</t>
  </si>
  <si>
    <t>D. The troops were hindered by a problem</t>
  </si>
  <si>
    <t>D. Both sides are aiming to negotiate</t>
  </si>
  <si>
    <t>D. She answered the question correctly</t>
  </si>
  <si>
    <t>D. Now is the time to prosper</t>
  </si>
  <si>
    <t>D. She called in advance for service</t>
  </si>
  <si>
    <t>D. The woman would like more time to think about the deal</t>
  </si>
  <si>
    <t>D. Put the eggs in the fridge</t>
  </si>
  <si>
    <t>D. She thinks the man should think twice about the position</t>
  </si>
  <si>
    <t>D. It was burnt</t>
  </si>
  <si>
    <t>D. The inquests</t>
  </si>
  <si>
    <t xml:space="preserve">D. People were enquiring about health care plans </t>
  </si>
  <si>
    <t xml:space="preserve">D. Rapa Nui is near other inhabited islands </t>
  </si>
  <si>
    <t>D. She asked her lover to collect the insurance money</t>
  </si>
  <si>
    <t>D. NATO is demanding a share of the resources</t>
  </si>
  <si>
    <t>D. The Iranian media were prevented from attending the scene</t>
  </si>
  <si>
    <t>D. Accepting the value written on the note as true</t>
  </si>
  <si>
    <t>D. It is dangerous to travel there</t>
  </si>
  <si>
    <t>D. He got  a life sentence</t>
  </si>
  <si>
    <t>D. He wants to bring growth to remote regions</t>
  </si>
  <si>
    <t>D. There is more support for immigrant parties</t>
  </si>
  <si>
    <t>D. There are too many events scheduled</t>
  </si>
  <si>
    <t>D. In Latin America, he was not accepted in the 1950s</t>
  </si>
  <si>
    <t>D. The drill did not reach the miners</t>
  </si>
  <si>
    <t>D. David Sheff recorded conversations with the couple</t>
  </si>
  <si>
    <t>D. The international community is about to give up</t>
  </si>
  <si>
    <t>D. Pub landlords have no rights</t>
  </si>
  <si>
    <t>D. Cater to large families only</t>
  </si>
  <si>
    <t>It is hard, if not impossible, to think of another pop-manager-entrepreneur whose passing would leave as much of a void as Malcolm Mclaren’s. Most music management people are first and foremost hard-headed types with their eye always fixed upon the bottom line, and whose interest in their charges is in strict relation to their own percentage interest in the product.                      Mclaren, however, was never   solely interested in money. Indeed, it’s difficult to think of a single business in which he was involved which seemed like a good earner until he got involved. Try persuading your bank manager that bondage trousers and torn T –shirts can make money as haute couture, then imagine how much more difficult it must have been for Mclaren setting up the SEX shop with his then-partner Vivienne Westwood in the mid-seventies. By that time, he had already made his first foray into music management with The New York Dolls, the American glam-rock group whose already marginal appeal he compounded by outfitting them in red leather and having them play under a hammer-and –sickle logo.                                                                                                                                                             This strategy, of piling provocation upon provocation in the hope of fostering outrage, finally secured McLaren his seminal triumph when he created The Sex Pistols, a deliberately incompetent group wearing deliberately ugly clothes and singing deliberately offensive songs. As their records attest, they didn’t remain incompetent all that long, and while it’s arguable whether they would have been quite as sensational without a frontman as charismatic and gifted as John Lydon, it was McLaren’s canny ability to transform disaster into profit-“Cash From Chaos”, as his motto put it-which swiftly built the band into the great folk devil of their era. Timed to coincide with the Queen’s Silver Jubilee, their second single “God Save The Queen” sought to poison the festivities with its humiliating refrain of “No future!” To promote the record, McLaren organized a boat trip on the River Thames so the band could play outside the Houses of Parliament; during the ensuing police raid, he made sure he was arrested. Throughout the band’s brief life, and subsequently, McLaren employed tactics learnt during his time at various art colleges in the Sixties, when he became fascinated by the provocative sloganeering and political art events of the Situationist movement. Like them, he constantly tried to challenge conformity and confound the expectations which might pin him down, both as an artist and entrepreneur</t>
  </si>
  <si>
    <t>Targeting Israeli businesses via the threat of boycotts is usually the preserve of radical forces from abroad, but the latest sanctions storm to hit the country is very much an internal affair. Tzomet Sefarim, one of the nation’s largest booksellers, this week bowed to intense pressure from rightwing critics to stop selling The National Left, a political pamphlet which heavily criticizes the settler movement.                                                                                                                      According to a Tzomet Sefarim spokesman, the extraordinary decision to withdraw the book was taken despite the company being a “chain for all the people of Israel and having no political affiliation.” Instead, the company acted “because we received many complaints that the book hurts the feelings of some of our customers, so we decided to stop selling it.”                           That the authors are bitterly opposed to the settlement enterprise is indisputable: settlers are referred to as “messianic madmen” and their children branded “brainwashed zombies”; elsewhere, the settler movement is accused of being “an industry that produces nothing but apartheid and destroys the Israel that we knew and loved.”However, such language is far from unusual in the political cauldron that is modern-day Israel, and given the scathing abuse routinely levelled at the Israeli left by settler leaders, the campaign to ban the pamphlet  appears a hugely hypocritical endeavour.                                                                                                         In response to the chain’s decision, a raft of Israeli academics have called for a boycott of the company, describing Tzomet Sefarim’s behavior as a “serious threat to the foundations of Israeli democracy.” The protesters “urge anyone who holds democracy dear to go out and condemn the Tzomet Sefarim chain, and to apply pressure on it to return the book to its shelves. In addition, the chain’s management should be demanded to apologise and commit that it will not remove books from its shelves due to ideological political pressure in the future.”                                                                                                                                                             Shulamit  Aloni, the former  chairman of the leftwing Meretz party, says the incident proves that Israel has become an anti-democratic state where settlers wield undue influence at every level of society and government: “Tzomet Sefarim succumbed  to the pressure because everyone is afraid of the settlers. They are savages, racists and hate all those who do not support them.”</t>
  </si>
  <si>
    <t>In what is becoming the hippest environment meeting of the year, presidents, politicians, intellectuals, scientists and Hollywood stars will join more than 15,000 indigenous people and thousands of grass roots groups from more than 100 countries to debate climate change in one of the world’s poorest nations.                                                                                                                    The World people’s Conference on Climate Change and the Rights of Mother Earth which opens next week in the small Bolivian town of Cochabamba, will have no direct bearing on the UN climate talks being conducted by 192 governments. But Bolivian President Evo Morales says it will give a voice to the poorest people of the world and encourage governments to be far more ambitious following the failure of the Copenhagen summit.                                                       Morales will use the meeting to announce the world’s largest referendum, with up to 2 billion people being asked to vote on ways out of the climate crisis. Bolivia also wants to create a UN charter of rights and to draft an action plan to set up an international climate justice tribunal. “The only way to get climate negotiations back on track not just for Bolivia or other countries, but for all of life, biodiversity, our Mother Earth is to put civil society back into the process. The only thing that can save mankind from a climate tragedy is the exercise of global democracy,” said Bolivia’s United Nations Ambassador Pablo Solon in Bonn, at the end of the latest UN talks.                                                                                                                                                                       “There will be no secret discussions behind closed doors. The debate and the proposals will be led by communities on the frontlines of climate change and by organizations and individuals from civil society dedicated to tackling the climate crisis,” he said.                                                               More than 90 governments are sending delegations to Cochabamba, Bolivia’s third largest city. Also expected to attend are scientists such as James Hansen, James Cameron, the director of Avatar, the linguist Noam Chomsky, author Naomi Klein of Canada, anti-globalisation activist Josè Bovè of France and actors Danny Glover, Robert Redford and Susan Sarandon are expected.                                                                                                                                                          The meeting will coincide with celebrations of the Cochabamba “water war” of 2000 when a revolt against the privatization of water in the city acted as an inspiration for social movements across Latin America and indirectly to the election of Morales as Bolivia’s president.                                                                                                                                                                    “We hope that this unique format will help shift power back to the people, which is where it needs to be on this critical issue for all humanity. We don’t expect agreement on everything, but at least we can start to discuss openly and sincerely in a way that didn’t happen in Copenhagen,” said Solòn</t>
  </si>
  <si>
    <t>1. Malcolm Mclaren differed from most music managers in that;</t>
  </si>
  <si>
    <t>3. The thief responsible for stealing the letters is said to be</t>
  </si>
  <si>
    <t>7. The writer upholds the view that</t>
  </si>
  <si>
    <t>9. The film “Murder on Beacon Hill”</t>
  </si>
  <si>
    <t>11. The writer draws our attention to the fact that</t>
  </si>
  <si>
    <t>13. According to the article, the World people’s Conference on Climate Change is expected to</t>
  </si>
  <si>
    <t>15. The report from the New Economics Foundation argues that</t>
  </si>
  <si>
    <t>17. One of the reasons put forward in the article for the linking of progress with consumption is that</t>
  </si>
  <si>
    <t>19. According to the article, General Petraeus is mindful of the connection between</t>
  </si>
  <si>
    <t xml:space="preserve">2. Throughout his career, Mclaren sought to; </t>
  </si>
  <si>
    <t>4. According to the article, Madagascar’s leader, Andry Rajoelina</t>
  </si>
  <si>
    <t>8. The woeful aspect of Zimbabwe’s education system that the writer points to is</t>
  </si>
  <si>
    <t>12. In summary, the writer makes the point that</t>
  </si>
  <si>
    <t>14. Bolivia’s United Nations Ambassador Pablo Solòn expresses that</t>
  </si>
  <si>
    <t>16. The idea of ‘decoupling’ suggests that</t>
  </si>
  <si>
    <t>18. One of the features of the ‘steady state economy’ would be</t>
  </si>
  <si>
    <t>20. For the most part, Petraeus and members of Congress appear to</t>
  </si>
  <si>
    <t>a) He was concerned only with the revenue</t>
  </si>
  <si>
    <t>a) Afraid of heights</t>
  </si>
  <si>
    <t>a) The achievements of Zimbabwe have been completely overwhelmed by inflation and unemployment</t>
  </si>
  <si>
    <t>a) Was originally intended to be shown in cinemas</t>
  </si>
  <si>
    <t>a) There is a discrepancy between what is officially said and what is officially done regarding cycling</t>
  </si>
  <si>
    <t>a) Be a failure</t>
  </si>
  <si>
    <t>a) We need to find an alternative to consumption as we know it</t>
  </si>
  <si>
    <t>a) It is difficult to control consumption</t>
  </si>
  <si>
    <t>a) U. S political influences and successful military outcomes</t>
  </si>
  <si>
    <t>a) Live up to the expectations of the public</t>
  </si>
  <si>
    <t>a) Owned a nightclub</t>
  </si>
  <si>
    <t>a) That it is free</t>
  </si>
  <si>
    <t>a) In European cities, cultural heritage has played an important role as to whether or not cycling has become a popular form of transport</t>
  </si>
  <si>
    <t>a) The conference will consist of lengthy discussions</t>
  </si>
  <si>
    <t>a) We need to reduce economic growth in order to reduce the negative side effects such as pollution</t>
  </si>
  <si>
    <t>a) More free time</t>
  </si>
  <si>
    <t>a) Have a strained relationship</t>
  </si>
  <si>
    <t>b) Most of his business ventures failed</t>
  </si>
  <si>
    <t>b) An opportunist</t>
  </si>
  <si>
    <t>b) The achievements of Zimbabwe are worthy of note</t>
  </si>
  <si>
    <t>b) Attitudes to cycling will influence the next election</t>
  </si>
  <si>
    <t>b) Influence the UN climate talks</t>
  </si>
  <si>
    <t>b) We must maintain our levels of consumption if we are to thrive</t>
  </si>
  <si>
    <t>b) Consumption habits are changing</t>
  </si>
  <si>
    <t>b) U.S. foreign policy and successful military outcomes</t>
  </si>
  <si>
    <t>b) Join a political movement</t>
  </si>
  <si>
    <t>b) That it is necessary to study in the evenings</t>
  </si>
  <si>
    <t>b) A British politician has advocated that pro-cycling measures be taken in England</t>
  </si>
  <si>
    <t>b) Ordinary people must be able to influence issues regarding climate change</t>
  </si>
  <si>
    <t>b) It is possible to deal more adeptly with the negative side effects of economic growth</t>
  </si>
  <si>
    <t>b) More job responsibility</t>
  </si>
  <si>
    <t>b) Be on good terms</t>
  </si>
  <si>
    <t>c) Avoid categorization</t>
  </si>
  <si>
    <t>c) Has eliminated corruption from Madagascar’s political arena</t>
  </si>
  <si>
    <t>c) That Zimbabwe is not reaping the rewards of an educated populace</t>
  </si>
  <si>
    <t>c) Cycling is now popular in the European cities in which steps have been taken to encourage it</t>
  </si>
  <si>
    <t>c) No agreements are expected to be reached</t>
  </si>
  <si>
    <t>c) It is not possible to deal with the negative side effects of economic growth</t>
  </si>
  <si>
    <t>c) Increased financial capital</t>
  </si>
  <si>
    <t>c) Misunderstand each other</t>
  </si>
  <si>
    <t>c) He was very conservative</t>
  </si>
  <si>
    <t>c) Looking for charcoal cooking stoves</t>
  </si>
  <si>
    <t>c) Mugabe’s rule has proved that Africans cannot rule themselves</t>
  </si>
  <si>
    <t>c) Involves the viewer</t>
  </si>
  <si>
    <t>c) An increasing number of cycling lanes are being put to use</t>
  </si>
  <si>
    <t>c) Be an ambitious undertaking</t>
  </si>
  <si>
    <t>c) Consumption is necessary in order to perpetuate growth</t>
  </si>
  <si>
    <t>c) Consumption is generally decreasing</t>
  </si>
  <si>
    <t>c) Political activity by residents in the area of operations and successful military outcomes</t>
  </si>
  <si>
    <t>d) We must resign ourselves to the idea of growth</t>
  </si>
  <si>
    <t>d) We can keep track of consumption</t>
  </si>
  <si>
    <t>d) Understanding the Congress and successful military outcomes</t>
  </si>
  <si>
    <t>d) Perform in the Houses of Parliament</t>
  </si>
  <si>
    <t>d) Faces disunity</t>
  </si>
  <si>
    <t>d) That Zimbabweans were encouraged to use education as an escape from poverty</t>
  </si>
  <si>
    <t>d) Cycling has become universally popular in some European cities by chance</t>
  </si>
  <si>
    <t>d) World leaders need make firm decisions regarding climate change</t>
  </si>
  <si>
    <t>d) Resistance to economic growth will increase in the future</t>
  </si>
  <si>
    <t>d) More material luxuries</t>
  </si>
  <si>
    <t>d) Take advantage of each other</t>
  </si>
  <si>
    <t>d) Cycling and walking are correctly referred to together as “green” methods of transport</t>
  </si>
  <si>
    <t>d) Enable the impoverished to be heard</t>
  </si>
  <si>
    <t>d) He was concerned with more than just the remuneration</t>
  </si>
  <si>
    <t>d) An established entreprenuer</t>
  </si>
  <si>
    <t>d) The achievements of Zimbabwe are inconsequential</t>
  </si>
  <si>
    <t>11. What can be inferred from this conversation?</t>
  </si>
  <si>
    <t xml:space="preserve">12. What does the man mean? </t>
  </si>
  <si>
    <t xml:space="preserve">13. What does the woman mean? </t>
  </si>
  <si>
    <t xml:space="preserve">14. What does the woman mean? </t>
  </si>
  <si>
    <t>15. What does the woman mean?</t>
  </si>
  <si>
    <t xml:space="preserve">16. What does the woman mean? </t>
  </si>
  <si>
    <t xml:space="preserve">17. What does the woman mean? </t>
  </si>
  <si>
    <t xml:space="preserve">18. What did the woman mean? </t>
  </si>
  <si>
    <t xml:space="preserve">19. What will the man probably do? </t>
  </si>
  <si>
    <t>20. What does the woman mean?</t>
  </si>
  <si>
    <t>21. What happened to president Obama’s offer to Iran?</t>
  </si>
  <si>
    <t>22. What will be investigated?</t>
  </si>
  <si>
    <t>23. What caused the phone lines to be so busy?</t>
  </si>
  <si>
    <t>24. Which of the statements below is true according to what you have heard?</t>
  </si>
  <si>
    <t>25. What can be said about Teresa Lewis?</t>
  </si>
  <si>
    <t>26. Which of the following statements is correct?</t>
  </si>
  <si>
    <t>28. What does paper money depend on?</t>
  </si>
  <si>
    <t>29. What can be said about Bosnia?</t>
  </si>
  <si>
    <t>30. What can be said about Jerome Kerviel?</t>
  </si>
  <si>
    <t>31. What can be said about President Saakashvili?</t>
  </si>
  <si>
    <t>32. Which statement is correct according to the extract?</t>
  </si>
  <si>
    <t>33. Which statement is correct according to the extract?</t>
  </si>
  <si>
    <t>34. Which statement is true about Mario Vargas Llosa?</t>
  </si>
  <si>
    <t>35. Which statement is correct according to what you have heard?</t>
  </si>
  <si>
    <t>36. Choose the correct statement</t>
  </si>
  <si>
    <t>38. What did President Obama stress?</t>
  </si>
  <si>
    <t>40. What does the Government want to do?</t>
  </si>
  <si>
    <t>EXAMEN 5</t>
  </si>
  <si>
    <t>EXAMEN 5/MP3/Q-01 EXAMEN 5.mp3</t>
  </si>
  <si>
    <t>EXAMEN 5/MP3/Q-02 EXAMEN 5.mp3</t>
  </si>
  <si>
    <t>EXAMEN 5/MP3/Q-03 EXAMEN 5.mp3</t>
  </si>
  <si>
    <t>EXAMEN 5/MP3/Q-04 EXAMEN 5.mp3</t>
  </si>
  <si>
    <t>EXAMEN 5/MP3/Q-05 EXAMEN 5.mp3</t>
  </si>
  <si>
    <t>EXAMEN 5/MP3/Q-06 EXAMEN 5.mp3</t>
  </si>
  <si>
    <t>EXAMEN 5/MP3/Q-07 EXAMEN 5.mp3</t>
  </si>
  <si>
    <t>EXAMEN 5/MP3/Q-08 EXAMEN 5.mp3</t>
  </si>
  <si>
    <t>EXAMEN 5/MP3/Q-09 EXAMEN 5.mp3</t>
  </si>
  <si>
    <t>EXAMEN 5/MP3/Q-10 EXAMEN 5.mp3</t>
  </si>
  <si>
    <t>EXAMEN 5/MP3/Q-11 EXAMEN 5.mp3</t>
  </si>
  <si>
    <t>EXAMEN 5/MP3/Q-12 EXAMEN 5.mp3</t>
  </si>
  <si>
    <t>EXAMEN 5/MP3/Q-13 EXAMEN 5.mp3</t>
  </si>
  <si>
    <t>EXAMEN 5/MP3/Q-14 EXAMEN 5.mp3</t>
  </si>
  <si>
    <t>EXAMEN 5/MP3/Q-15 EXAMEN 5.mp3</t>
  </si>
  <si>
    <t>EXAMEN 5/MP3/Q-16 EXAMEN 5.mp3</t>
  </si>
  <si>
    <t>EXAMEN 5/MP3/Q-17 EXAMEN 5.mp3</t>
  </si>
  <si>
    <t>EXAMEN 5/MP3/Q-18 EXAMEN 5.mp3</t>
  </si>
  <si>
    <t>EXAMEN 5/MP3/Q-19 EXAMEN 5.mp3</t>
  </si>
  <si>
    <t>EXAMEN 5/MP3/Q-20 EXAMEN 5.mp3</t>
  </si>
  <si>
    <t>EXAMEN 5/MP3/Q-21 EXAMEN 5.mp3</t>
  </si>
  <si>
    <t>EXAMEN 5/MP3/Q-22 EXAMEN 5.mp3</t>
  </si>
  <si>
    <t>EXAMEN 5/MP3/Q-24 EXAMEN 5.mp3</t>
  </si>
  <si>
    <t>EXAMEN 5/MP3/Q-25 EXAMEN 5.mp3</t>
  </si>
  <si>
    <t>EXAMEN 5/MP3/Q-26 EXAMEN 5.mp3</t>
  </si>
  <si>
    <t>EXAMEN 5/MP3/Q-27 EXAMEN 5.mp3</t>
  </si>
  <si>
    <t>EXAMEN 5/MP3/Q-28 EXAMEN 5.mp3</t>
  </si>
  <si>
    <t>EXAMEN 5/MP3/Q-29 EXAMEN 5.mp3</t>
  </si>
  <si>
    <t>EXAMEN 5/MP3/Q-30 EXAMEN 5.mp3</t>
  </si>
  <si>
    <t>EXAMEN 5/MP3/Q-31 EXAMEN 5.mp3</t>
  </si>
  <si>
    <t>EXAMEN 5/MP3/Q-32 EXAMEN 5.mp3</t>
  </si>
  <si>
    <t>EXAMEN 5/MP3/Q-33 EXAMEN 5.mp3</t>
  </si>
  <si>
    <t>EXAMEN 5/MP3/Q-34 EXAMEN 5.mp3</t>
  </si>
  <si>
    <t>EXAMEN 5/MP3/Q-35 EXAMEN 5.mp3</t>
  </si>
  <si>
    <t>EXAMEN 5/MP3/Q-36 EXAMEN 5.mp3</t>
  </si>
  <si>
    <t>EXAMEN 5/MP3/Q-37 EXAMEN 5.mp3</t>
  </si>
  <si>
    <t>EXAMEN 5/MP3/Q-38 EXAMEN 5.mp3</t>
  </si>
  <si>
    <t>EXAMEN 5/MP3/Q-39 EXAMEN 5.mp3</t>
  </si>
  <si>
    <t>EXAMEN 5/MP3/Q-40 EXAMEN 5.mp3</t>
  </si>
  <si>
    <t>7. What is the woman asking?</t>
  </si>
  <si>
    <t>8. What does the woman mean?</t>
  </si>
  <si>
    <t>9. What does the man need to show the woman in order to exchange the oven?</t>
  </si>
  <si>
    <t>12. What will the woman probably do?</t>
  </si>
  <si>
    <t xml:space="preserve">14. What does the man mean? </t>
  </si>
  <si>
    <t>16. What does the woman mean?</t>
  </si>
  <si>
    <t>17. What does the woman mean?</t>
  </si>
  <si>
    <t xml:space="preserve">18. What can be inferred from the conversation? </t>
  </si>
  <si>
    <t>19. What has happened?</t>
  </si>
  <si>
    <r>
      <t>D. Finding</t>
    </r>
    <r>
      <rPr>
        <sz val="11"/>
        <color rgb="FF333333"/>
        <rFont val="Calibri"/>
        <family val="2"/>
        <scheme val="minor"/>
      </rPr>
      <t xml:space="preserve"> a job is easier now that the recession is over</t>
    </r>
  </si>
  <si>
    <t xml:space="preserve">A. Alan needs to buy tickets for the match. </t>
  </si>
  <si>
    <t xml:space="preserve">A. I have a Master's degree in Chinese cooking. </t>
  </si>
  <si>
    <t xml:space="preserve">A. The intelligence unit has not made progress lately. </t>
  </si>
  <si>
    <t xml:space="preserve">A. Gold is very expensive now. </t>
  </si>
  <si>
    <t>A. It’s not easy to meet people these days.</t>
  </si>
  <si>
    <t>A. We noticed that some of the classes were cancelled.</t>
  </si>
  <si>
    <t>A. How high are your goals for the people at the bay?</t>
  </si>
  <si>
    <t>A. The administration may not be telling the complete truth.</t>
  </si>
  <si>
    <t>A. Proof of purchase.</t>
  </si>
  <si>
    <t>A. He will not be spending the summer in Greece.</t>
  </si>
  <si>
    <t>A. She is from the same town as him.</t>
  </si>
  <si>
    <t>A. Call a technician.</t>
  </si>
  <si>
    <t xml:space="preserve">A. They are going to put the tent up together.                                                                              </t>
  </si>
  <si>
    <t xml:space="preserve">A. The father has a higher rank than his son.                                                                       </t>
  </si>
  <si>
    <t>A. The equipment was probably very expensive.</t>
  </si>
  <si>
    <t>A. Jack’s new job is a joke.</t>
  </si>
  <si>
    <t>A. She is losing too much weight.</t>
  </si>
  <si>
    <t>A. Tom made a mess of the speech.</t>
  </si>
  <si>
    <t xml:space="preserve">A. Both speakers have passed the test. </t>
  </si>
  <si>
    <t>B. Alan doesn ’ t want to take you to the match.</t>
  </si>
  <si>
    <t xml:space="preserve">B. I demonstrated Chinese cooking to students for five years. </t>
  </si>
  <si>
    <t xml:space="preserve">B. The intelligence unit is looking for allies. </t>
  </si>
  <si>
    <t xml:space="preserve">B. Gold is used in many rocket components. </t>
  </si>
  <si>
    <t>B. Rising inflation has frozen many people’s salaries.</t>
  </si>
  <si>
    <t xml:space="preserve">B. All classes must be paid whether you attend or not. </t>
  </si>
  <si>
    <t>B. How can you get people to do what you say?</t>
  </si>
  <si>
    <t>B. Some people are being accused of tax evasion.</t>
  </si>
  <si>
    <t>B. The guarantee.</t>
  </si>
  <si>
    <t>B. The weather is always fair in Greece.</t>
  </si>
  <si>
    <t>B. She goes home with him in his car.</t>
  </si>
  <si>
    <t>B. Turn up the brightness.</t>
  </si>
  <si>
    <t xml:space="preserve">B. They are going to create a tent.                                                                                      </t>
  </si>
  <si>
    <t xml:space="preserve">B. The son is more successful than his father.                                                                 </t>
  </si>
  <si>
    <t>B. Dan was very lucky to have such good skis.</t>
  </si>
  <si>
    <t>B. Jack isn’t making a lot of money in his new job.</t>
  </si>
  <si>
    <t>B. The economy doesn’t effect her.</t>
  </si>
  <si>
    <t>B. Tom made a terrific speech.</t>
  </si>
  <si>
    <t>B. The man believes he has failed the test.</t>
  </si>
  <si>
    <t>C. Alan often forgets things.</t>
  </si>
  <si>
    <t xml:space="preserve">C. I can't cook Chinese food very well. </t>
  </si>
  <si>
    <t xml:space="preserve">C. The intelligence unit has found some terrorists. </t>
  </si>
  <si>
    <t xml:space="preserve">C. Gold is very cheap now. </t>
  </si>
  <si>
    <t>C. People cannot afford to buy meat.</t>
  </si>
  <si>
    <t>C. If you cancel class in time, you will not have to pay.</t>
  </si>
  <si>
    <t>C. How are you planning to dispose of waste?</t>
  </si>
  <si>
    <t>C. The government is trying to prevent harassment.</t>
  </si>
  <si>
    <t>C. The original box.</t>
  </si>
  <si>
    <t xml:space="preserve">C. He has to work this summer. </t>
  </si>
  <si>
    <t>C. She has known him for a long time.</t>
  </si>
  <si>
    <t xml:space="preserve">C. Turn down the brightness. </t>
  </si>
  <si>
    <t xml:space="preserve">C. They are going to shift the tent.                                                                                           </t>
  </si>
  <si>
    <t xml:space="preserve">C. The father and son have followed a similar path.                                                                    </t>
  </si>
  <si>
    <t>C. Dan can afford to ski in Switzerland.</t>
  </si>
  <si>
    <t>C. Jack will receive a promotion at the end of the month.</t>
  </si>
  <si>
    <t>C. She has spent far too much money.</t>
  </si>
  <si>
    <t>C. Tom’s speech was well-received.</t>
  </si>
  <si>
    <t>C. The woman believes she has failed the test.</t>
  </si>
  <si>
    <t>D. You should not go with Alan to the match.</t>
  </si>
  <si>
    <t>D. I can cook great Chinese food.</t>
  </si>
  <si>
    <t>D. The intelligence unit will discover a cell soon.</t>
  </si>
  <si>
    <t>D. Gold is necessary for space engineering.</t>
  </si>
  <si>
    <t xml:space="preserve">D. It’s becoming harder for people to get by on their salary. </t>
  </si>
  <si>
    <t xml:space="preserve">D. Someone was overcharged for the classes.  </t>
  </si>
  <si>
    <t xml:space="preserve">D. What are you offering the people who work for you? </t>
  </si>
  <si>
    <t>D. The governing powers are seeking more information.</t>
  </si>
  <si>
    <t>D. The name of the person who sold it to him.</t>
  </si>
  <si>
    <t>D. He is working on a plan to spend the summer in Greece.</t>
  </si>
  <si>
    <t xml:space="preserve">D. She has some information for him. </t>
  </si>
  <si>
    <t xml:space="preserve">D. Turn off the computer. </t>
  </si>
  <si>
    <t>D. They can’t stay there for the night.</t>
  </si>
  <si>
    <t>D. The father and his son are different.</t>
  </si>
  <si>
    <t>D. Swiss skis are the best.</t>
  </si>
  <si>
    <t>D. Jack’s new job is a dream come true.</t>
  </si>
  <si>
    <t xml:space="preserve">D. She needs to be careful about spending money.  </t>
  </si>
  <si>
    <t>D. Tom’s speech had no beginning or end.</t>
  </si>
  <si>
    <t>D. The test was extremely difficult.</t>
  </si>
  <si>
    <t>D. The company are not planning to replace the project manager when she leaves</t>
  </si>
  <si>
    <t>D. Voters are undecided about the issues in the election</t>
  </si>
  <si>
    <t>D. The expedition is similar to several others heading for Gaza</t>
  </si>
  <si>
    <t xml:space="preserve">D. There is a shortage of trainers among army personnel </t>
  </si>
  <si>
    <t>D. Obama’s variety of measures</t>
  </si>
  <si>
    <t>D. They would like to convince others to make billions</t>
  </si>
  <si>
    <t>D. Citizens are worried about gun control</t>
  </si>
  <si>
    <t>D. There are only three banks operating in Afghanistan</t>
  </si>
  <si>
    <t>D. The speaker remembers the singer clearly  in the sixties</t>
  </si>
  <si>
    <t>D. The system is fairer in times of recession</t>
  </si>
  <si>
    <t xml:space="preserve">D. They  charge reasonable amounts for their services </t>
  </si>
  <si>
    <t xml:space="preserve">D. The UN wants  the referendum to take place as soon as possible   </t>
  </si>
  <si>
    <t>D. Obama is tense because of other problems he has</t>
  </si>
  <si>
    <t>D. A French worker was killed</t>
  </si>
  <si>
    <t>D. Give out food stamps if people lose weight</t>
  </si>
  <si>
    <t>C. The project manager had a hard time fulfilling her responsibilities</t>
  </si>
  <si>
    <t>C. Politicians should act quickly</t>
  </si>
  <si>
    <t>C. There was a fire drill in the Eiffel Tower</t>
  </si>
  <si>
    <t>C. The Israeli authorities will not object to it docking in Gaza</t>
  </si>
  <si>
    <t>C. The exit strategy has failed</t>
  </si>
  <si>
    <t>C. Positive results from car companies</t>
  </si>
  <si>
    <t xml:space="preserve">C. Combination therapy is still not available to all </t>
  </si>
  <si>
    <t>C. They have no social conscience</t>
  </si>
  <si>
    <t>C. The crash occurred in New Zealand</t>
  </si>
  <si>
    <t>C. People feel the outlook for their children is grim</t>
  </si>
  <si>
    <t>C. People distrust face-to-face contact with banks</t>
  </si>
  <si>
    <t>C. Students will be partially subsidized by the government</t>
  </si>
  <si>
    <t>C. Most of them started in the undertaking business</t>
  </si>
  <si>
    <t>C. The referendum will avoid the division of the country</t>
  </si>
  <si>
    <t>C. The US killed three Pakistani soldiers</t>
  </si>
  <si>
    <t>C. British diplomats are attacked every six months</t>
  </si>
  <si>
    <t>C. Make people consume fewer sugary drinks</t>
  </si>
  <si>
    <t>C. The War on Terror did not reach Europe</t>
  </si>
  <si>
    <t>B. The next project manager will have difficulty in maintaining the same standards</t>
  </si>
  <si>
    <t>B.  The property market is improving</t>
  </si>
  <si>
    <t>B. French authorities fear a terrorist attack</t>
  </si>
  <si>
    <t>B. It is carrying people who object to the Israeli blockade</t>
  </si>
  <si>
    <t>B. The handover to Afghan troops will take place very soon</t>
  </si>
  <si>
    <t>B. How much was paid in bail-outs</t>
  </si>
  <si>
    <t>B. Combination therapy cures HIV patients</t>
  </si>
  <si>
    <t>B. They want to meet their counterpart in China</t>
  </si>
  <si>
    <t>B. The pilots are accused of manslaughter</t>
  </si>
  <si>
    <t>B. In 1994 presidents were more popular than now</t>
  </si>
  <si>
    <t>B. People have no confidence in the banking system</t>
  </si>
  <si>
    <t>B. They will be forced to increase tuition fees</t>
  </si>
  <si>
    <t>B. Their sector has been reformed by the office of fair trading</t>
  </si>
  <si>
    <t>B. Sudan has suffered about ten years of civil war</t>
  </si>
  <si>
    <t>B. The Taliban wish to be reconciled with Pakistan</t>
  </si>
  <si>
    <t>B. A diplomat was seriously injured</t>
  </si>
  <si>
    <t>B. Prevent people from using food stamps to buy drinks</t>
  </si>
  <si>
    <t>B. Poland practiced torture immediately before joining the EU</t>
  </si>
  <si>
    <t>A. The project manager will be sad to leave the company</t>
  </si>
  <si>
    <t>A. The vote in Congress takes place in less than two months</t>
  </si>
  <si>
    <t>A. The boat is headed for Cyprus</t>
  </si>
  <si>
    <t>A. The head of NATO sent a message to Afghan officials</t>
  </si>
  <si>
    <t>A. The handling of the recession</t>
  </si>
  <si>
    <t>A. Access to HIV drugs is in line with objectives</t>
  </si>
  <si>
    <t>A. They have given billions of dollars to China</t>
  </si>
  <si>
    <t>A. Human error caused the crash</t>
  </si>
  <si>
    <t>A. People are tired of Bill Clinton</t>
  </si>
  <si>
    <t>A. Joan Sutherland was sixty when she toured Australia</t>
  </si>
  <si>
    <t>A. They lost a billion pounds in two years</t>
  </si>
  <si>
    <t>A. They have been the target of criticism and complaints</t>
  </si>
  <si>
    <t>A. A referendum will take place when both sides have marked their territory</t>
  </si>
  <si>
    <t>A. The US  have launched attacks on Pakistani soldiers</t>
  </si>
  <si>
    <t>A. A grenade hit a convoy of British soldiers</t>
  </si>
  <si>
    <t>A. Prevent poor people from entering bars</t>
  </si>
  <si>
    <t>A. The CIA uncovered a secret network of prisons</t>
  </si>
  <si>
    <t>LAGUNA PEREZ, JAVIER</t>
  </si>
  <si>
    <t>EXAMEN 5/MP3/Q-23 EXAMEN 5.mp3</t>
  </si>
  <si>
    <t>b) Painting</t>
  </si>
  <si>
    <t>EXAMEN 1/MP3/Q-01 EXAMEN 1.mp3</t>
  </si>
  <si>
    <t>EXAMEN 1/MP3/Q-02 EXAMEN 1.mp3</t>
  </si>
  <si>
    <t>EXAMEN 1/MP3/Q-03 EXAMEN 1.mp3</t>
  </si>
  <si>
    <t>EXAMEN 1/MP3/Q-04 EXAMEN 1.mp3</t>
  </si>
  <si>
    <t>EXAMEN 1/MP3/Q-05 EXAMEN 1.mp3</t>
  </si>
  <si>
    <t>EXAMEN 1/MP3/Q-06 EXAMEN 1.mp3</t>
  </si>
  <si>
    <t>EXAMEN 1/MP3/Q-07 EXAMEN 1.mp3</t>
  </si>
  <si>
    <t>EXAMEN 1/MP3/Q-08 EXAMEN 1.mp3</t>
  </si>
  <si>
    <t>EXAMEN 1/MP3/Q-09 EXAMEN 1.mp3</t>
  </si>
  <si>
    <t>EXAMEN 2/MP3/Q-01 EXAMEN 2.mp3</t>
  </si>
  <si>
    <t>EXAMEN 2/MP3/Q-02 EXAMEN 2.mp3</t>
  </si>
  <si>
    <t>EXAMEN 2/MP3/Q-03 EXAMEN 2.mp3</t>
  </si>
  <si>
    <t>EXAMEN 2/MP3/Q-04 EXAMEN 2.mp3</t>
  </si>
  <si>
    <t>EXAMEN 2/MP3/Q-05 EXAMEN 2.mp3</t>
  </si>
  <si>
    <t>EXAMEN 2/MP3/Q-06 EXAMEN 2.mp3</t>
  </si>
  <si>
    <t>EXAMEN 2/MP3/Q-07 EXAMEN 2.mp3</t>
  </si>
  <si>
    <t>EXAMEN 2/MP3/Q-08 EXAMEN 2.mp3</t>
  </si>
  <si>
    <t>EXAMEN 2/MP3/Q-09 EXAMEN 2.mp3</t>
  </si>
  <si>
    <t>A. I was looking for him when he found me</t>
  </si>
  <si>
    <t>B. I was looking for him for ages until I found him</t>
  </si>
  <si>
    <t>C. It will take a long time to find him</t>
  </si>
  <si>
    <t>D. I will look for him until I find him</t>
  </si>
  <si>
    <t>EXAMEN 6</t>
  </si>
  <si>
    <t>MERINO TORO, LA BEGO</t>
  </si>
  <si>
    <t>TCOL. D. ANTONIO PIÑA SANCHEZ</t>
  </si>
  <si>
    <t>EXAMEN DE DIC/2010</t>
  </si>
  <si>
    <t>EXAMEN 101</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</si>
  <si>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</si>
  <si>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</si>
  <si>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</si>
  <si>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</si>
  <si>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</si>
  <si>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</si>
  <si>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</si>
  <si>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</si>
  <si>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</si>
  <si>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</si>
  <si>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</si>
  <si>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</si>
  <si>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</si>
  <si>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</si>
  <si>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</si>
  <si>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</si>
  <si>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</si>
  <si>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</si>
  <si>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</si>
  <si>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</si>
  <si>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</si>
  <si>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</si>
  <si>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</si>
  <si>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</si>
  <si>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</si>
  <si>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</si>
  <si>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</si>
  <si>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</si>
  <si>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EXAMEN 101/MP3/Q-01 EXAMEN 101.mp3</t>
  </si>
  <si>
    <t>EXAMEN 101/MP3/Q-02 EXAMEN 101.mp3</t>
  </si>
  <si>
    <t>EXAMEN 101/MP3/Q-03 EXAMEN 101.mp3</t>
  </si>
  <si>
    <t>EXAMEN 101/MP3/Q-04 EXAMEN 101.mp3</t>
  </si>
  <si>
    <t>EXAMEN 101/MP3/Q-05 EXAMEN 101.mp3</t>
  </si>
  <si>
    <t>EXAMEN 101/MP3/Q-06 EXAMEN 101.mp3</t>
  </si>
  <si>
    <t>EXAMEN 101/MP3/Q-07 EXAMEN 101.mp3</t>
  </si>
  <si>
    <t>EXAMEN 101/MP3/Q-08 EXAMEN 101.mp3</t>
  </si>
  <si>
    <t>EXAMEN 101/MP3/Q-09 EXAMEN 101.mp3</t>
  </si>
  <si>
    <t>EXAMEN 101/MP3/Q-10 EXAMEN 101.mp3</t>
  </si>
  <si>
    <t>EXAMEN 101/MP3/Q-11 EXAMEN 101.mp3</t>
  </si>
  <si>
    <t>EXAMEN 101/MP3/Q-12 EXAMEN 101.mp3</t>
  </si>
  <si>
    <t>EXAMEN 101/MP3/Q-13 EXAMEN 101.mp3</t>
  </si>
  <si>
    <t>EXAMEN 101/MP3/Q-14 EXAMEN 101.mp3</t>
  </si>
  <si>
    <t>EXAMEN 101/MP3/Q-15 EXAMEN 101.mp3</t>
  </si>
  <si>
    <t>EXAMEN 101/MP3/Q-16 EXAMEN 101.mp3</t>
  </si>
  <si>
    <t>EXAMEN 101/MP3/Q-17 EXAMEN 101.mp3</t>
  </si>
  <si>
    <t>EXAMEN 101/MP3/Q-18 EXAMEN 101.mp3</t>
  </si>
  <si>
    <t>EXAMEN 101/MP3/Q-19 EXAMEN 101.mp3</t>
  </si>
  <si>
    <t>EXAMEN 101/MP3/Q-20 EXAMEN 101.mp3</t>
  </si>
  <si>
    <t>EXAMEN 101/MP3/Q-21 EXAMEN 101.mp3</t>
  </si>
  <si>
    <t>EXAMEN 101/MP3/Q-22 EXAMEN 101.mp3</t>
  </si>
  <si>
    <t>EXAMEN 101/MP3/Q-23 EXAMEN 101.mp3</t>
  </si>
  <si>
    <t>EXAMEN 101/MP3/Q-25 EXAMEN 101.mp3</t>
  </si>
  <si>
    <t>EXAMEN 101/MP3/Q-26 EXAMEN 101.mp3</t>
  </si>
  <si>
    <t>EXAMEN 101/MP3/Q-27 EXAMEN 101.mp3</t>
  </si>
  <si>
    <t>EXAMEN 101/MP3/Q-28 EXAMEN 101.mp3</t>
  </si>
  <si>
    <t>EXAMEN 101/MP3/Q-29 EXAMEN 101.mp3</t>
  </si>
  <si>
    <t>EXAMEN 101/MP3/Q-30 EXAMEN 101.mp3</t>
  </si>
  <si>
    <t>EXAMEN 101/MP3/Q-31 EXAMEN 101.mp3</t>
  </si>
  <si>
    <t>EXAMEN 101/MP3/Q-32 EXAMEN 101.mp3</t>
  </si>
  <si>
    <t>EXAMEN 101/MP3/Q-33 EXAMEN 101.mp3</t>
  </si>
  <si>
    <t>EXAMEN 101/MP3/Q-34 EXAMEN 101.mp3</t>
  </si>
  <si>
    <t>EXAMEN 101/MP3/Q-35 EXAMEN 101.mp3</t>
  </si>
  <si>
    <t>EXAMEN 101/MP3/Q-36 EXAMEN 101.mp3</t>
  </si>
  <si>
    <t>EXAMEN 101/MP3/Q-37 EXAMEN 101.mp3</t>
  </si>
  <si>
    <t>EXAMEN 101/MP3/Q-38 EXAMEN 101.mp3</t>
  </si>
  <si>
    <t>EXAMEN 101/MP3/Q-39 EXAMEN 101.mp3</t>
  </si>
  <si>
    <t>EXAMEN 101/MP3/Q-40 EXAMEN 101.mp3</t>
  </si>
  <si>
    <t>EXAMEN 101/MP3/Q-24 EXAMEN 101.mp3</t>
  </si>
  <si>
    <t>EXAMEN 102</t>
  </si>
  <si>
    <t>EXAMEN 102/MP3/Q1.mp3</t>
  </si>
  <si>
    <t>EXAMEN 102/MP3/Q2.mp3</t>
  </si>
  <si>
    <t>EXAMEN 102/MP3/Q3.mp3</t>
  </si>
  <si>
    <t>EXAMEN 102/MP3/Q4.mp3</t>
  </si>
  <si>
    <t>EXAMEN 102/MP3/Q5.mp3</t>
  </si>
  <si>
    <t>EXAMEN 102/MP3/Q6.mp3</t>
  </si>
  <si>
    <t>EXAMEN 102/MP3/Q7.mp3</t>
  </si>
  <si>
    <t>EXAMEN 102/MP3/Q8.mp3</t>
  </si>
  <si>
    <t>EXAMEN 102/MP3/Q9.mp3</t>
  </si>
  <si>
    <t>EXAMEN 102/MP3/Q10.mp3</t>
  </si>
  <si>
    <t>EXAMEN 102/MP3/Q11.mp3</t>
  </si>
  <si>
    <t>EXAMEN 102/MP3/Q12.mp3</t>
  </si>
  <si>
    <t>EXAMEN 102/MP3/Q13.mp3</t>
  </si>
  <si>
    <t>EXAMEN 102/MP3/Q14.mp3</t>
  </si>
  <si>
    <t>EXAMEN 102/MP3/Q15.mp3</t>
  </si>
  <si>
    <t>EXAMEN 102/MP3/Q16.mp3</t>
  </si>
  <si>
    <t>EXAMEN 102/MP3/Q17.mp3</t>
  </si>
  <si>
    <t>EXAMEN 102/MP3/Q18.mp3</t>
  </si>
  <si>
    <t>EXAMEN 102/MP3/Q19.mp3</t>
  </si>
  <si>
    <t>EXAMEN 102/MP3/Q20.mp3</t>
  </si>
  <si>
    <t>EXAMEN 102/MP3/Q21.mp3</t>
  </si>
  <si>
    <t>EXAMEN 102/MP3/Q22.mp3</t>
  </si>
  <si>
    <t>EXAMEN 102/MP3/Q23.mp3</t>
  </si>
  <si>
    <t>EXAMEN 102/MP3/Q24.mp3</t>
  </si>
  <si>
    <t>EXAMEN 102/MP3/Q25.mp3</t>
  </si>
  <si>
    <t>EXAMEN 102/MP3/Q26.mp3</t>
  </si>
  <si>
    <t>EXAMEN 102/MP3/Q27.mp3</t>
  </si>
  <si>
    <t>EXAMEN 102/MP3/Q28.mp3</t>
  </si>
  <si>
    <t>EXAMEN 102/MP3/Q29.mp3</t>
  </si>
  <si>
    <t>EXAMEN 102/MP3/Q30.mp3</t>
  </si>
  <si>
    <t>EXAMEN 102/MP3/Q31.mp3</t>
  </si>
  <si>
    <t>EXAMEN 102/MP3/Q32.mp3</t>
  </si>
  <si>
    <t>EXAMEN 102/MP3/Q33.mp3</t>
  </si>
  <si>
    <t>EXAMEN 102/MP3/Q35.mp3</t>
  </si>
  <si>
    <t>EXAMEN 102/MP3/Q36.mp3</t>
  </si>
  <si>
    <t>EXAMEN 102/MP3/Q39.mp3</t>
  </si>
  <si>
    <t>EXAMEN 102/MP3/Q40.mp3</t>
  </si>
  <si>
    <t>EXAMEN 102/MP3/Q34.mp3</t>
  </si>
  <si>
    <t>EXAMEN 102/MP3/Q37.mp3</t>
  </si>
  <si>
    <t>EXAMEN 102/MP3/Q38.mp3</t>
  </si>
  <si>
    <t>CAP TOVAR HERNÁNDEZ, GERARDO</t>
  </si>
  <si>
    <t>09279594</t>
  </si>
  <si>
    <t>TCOL. D. ANGEL FERNANDEZ TUR</t>
  </si>
  <si>
    <t>45068182</t>
  </si>
  <si>
    <t>EXAMEN 103</t>
  </si>
  <si>
    <t>EXAMEN OCT-REG/2011</t>
  </si>
  <si>
    <t>For comic book fans around the world, a handful of cities evoke strong images: superheroes jumping from skyscrapers in New York; Tintin running across a building in a Brussels mural; wide-eyed schoolgirls looking for romance in Tokyo. But colorful cityscapes, designed by local artists, are finally putting an African capital city on the comic map. The place is Kinshasa in the Democratic Republic of Congo, and it is not difficult to see why. Complete with dusty boulevards, monster traffic jams in blazing sunsets and so-called shegue, or street children, such comic portraits of the Congolese capital are among the main features of the style developed by home-grown talent.                                                                                                               Decades of shared colonial history with comic-mad Belgium certainly had an influence on the emergence of the Congolese comic scene. In fact, most books by Barly Baruti, the Congolese author best known outside his country, are published in Brussels. Canadian artist Guy Delisle, who visited Kinshasa to lead a workshop with local artists last year, instantly recognized European influences in the work.</t>
  </si>
  <si>
    <t>Car manufacturer Toyota is recalling nearly 19, 000 cars in the UK due to potential problems with their fuel systems, it was announced today. The company said hundreds of Toyota Avensis and Lexus IS 250 models could be at risk of fuel leaks and will need to be modified by mechanics. According to Toyota, there have been no accidents suspected of being related to the defects, but it is the latest in a series of quality control woes for the Japanese carmaker. Officials say they are writing to the owners of the affected vehicles to arrange repairs.</t>
  </si>
  <si>
    <t>A leaking oil and gas pipeline has caused a mile-long slick off India’s western coast, says the state-run Oil and Natural Gas Corporation (ONGC). The leak occurred in the Mumbai-Uran trunk oil pipeline and an ONGC spokesman described it as “small”. The leak, discovered at 8.45  am (0315 GMT), was plugged after two hours and oil was diverted through another pipeline, the spokesman told the B.B.C. Around 25,000 barrels of oil has been lost, he said. The leak is about 80km (50 miles) from the western city of Mumbai (Bombay). In August, a tanker collided with a ship of Mumbai, spilling about 500 tonnes of oil into the Arabian Sea.</t>
  </si>
  <si>
    <t>When Apollo 14 landed on the Moon, 40 years ago this week, mission commander Alan Shepard was the oldest astronaut to have flown in space. In order to fulfill his dream of walking on the Moon, 47-year-old Shepard had to fend off criticism of his age and overcome a health condition which had dogged his career. While age poses no particular barrier to being an astronaut today, in the early days of human space flight, officials were unsure what influence the ageing process might have on performance during a mission.                                       Shepard died in 1998 of leukaemia. But in a 1991 interview, he recalled the questions over his age: “We got all kinds of flak from the guys. In the first place, I hadn’t flown anything since 1961, and here it was 10 years later, and the two guys with me had not flown before at all, so they called us the three rookies. We had to put up with that. And then the fact that everybody said: ‘That old man shouldn’t be up there on the Moon.’ As if it wasn’t enough of a challenge as it was, but that was part of the make-up of all those guys. They are still a pretty competitive group.”</t>
  </si>
  <si>
    <t>An adaptation of a novel by Dennis Lehane, whose Mystic River was the source of a fine Clint Eastwood film, this equally star-studded movie was developed as a project for shockster David Fincher with Brad Pitt in the lead role. But it ended up in the hands of Scorsese who, for his fourth fiction feature in a row, cast DiCaprio.                                                                                             That long history probably explains why it doesn’t feel much like a Scorsese film-except to the extent that it’s plainly the work of a film buff. It feels too long, which is a Scorsese trademark, but the single setting and the linear story keep it tight and clammy, something of a relief after the hopelessly overblown The Departed.                                                                                 Stylistically, it’s a pastiche of the classic melodramas of the 1950s, when it’s set: the mostly muted palette, cheesy back projection, deliberately clunky editing and plodding expository dialogue in the early scenes. But the script, rigorously faithful to Lehane’s convoluted plot, maintains momentum admirably and the neatly ambiguous ending is welcome</t>
  </si>
  <si>
    <t xml:space="preserve">New Europe was the neat formula coined by Donald Rumsfeld in the aid of the Bush administration’s war effort. The ‘old Europeans’ disliked and derided it, as it suggested that Europe was more divided over the Iraq invasion than it actually was. But they could never deny its grain of truth. There was indeed a split between those who signed up to the Bush crusade for democracy in foreign parts - not least because of their recent history – and those who saw the same campaign as a misuse of military might.                                                                                            But that was then. Now that Poland and Russia are making up, East and Central Europe have lost their appetite for fighting US wars, and the Obama administration is eschewing the whole idea of special relationships, it could be time to lay this irritating concept to rest. Six years after the European Union completed its greatest single expansion, the divisions are neither as sharp nor as resentful as they were.                                                                                                                                  Even as ‘new’ Europe blends with the ‘old’, however, could it be that a new breed of rather different ‘new’ Europeans may be arising in that least likely of places, here in Britain? There are reasons to doubt, but suddenly, too – for us pro-European dinosaurs –to hope.     </t>
  </si>
  <si>
    <t>In the past it was laborers in noisy factories and soldiers using firearms who lost their hearing. Now it is young people who crank up the sound on their personal music players. A generation of children and young adults are risking deafness in middle age and beyond by listening to their iPods and MP3 players at high volume for several hours a day, a specialist warned.   Inserting earphones into the ear canal intensifies the volume which can reach over 120 decibels, equivalent to the noise from a jet engine, according to Professor Peter Rabinowitz of the Occupational and Environmental Medicine program at Yale University.                                    Deafness, including mild to moderate hearing loss, is one of the commonest chronic medical conditions in older people and the most frequent cause is excessive long-term exposure to noise which damages the hair cells in the inner ear. The Royal National Institute for the Deaf said two thirds of MP3 player users listened to music at volumes greater than 85 decibels. Several small studies have found a link between use of the players and poorer hearing in young people. But evidence on whether young people as a whole are losing their hearing faster than previous generations is mixed-probably because the use of the players has only recently become ubiquitous.</t>
  </si>
  <si>
    <t xml:space="preserve">The religious right is pushing a change in military policy regarding the role of women in combat that has the potential to cripple our current military efforts in Iraq.                                             The change will prohibit female soldiers from being assigned to units involved in close combat support. This could prohibit women from driving trucks in convoys, serving as vehicle mechanics or working as MPs in the field. The change in current policy is opposed by senior Army leadership and makes absolutely no sense for a variety of reasons.                                                                                                                                                              First, the Army is already stretched thin in Iraq and Afghanistan and has fallen short on its recruiting goals in recent months. Thus, at a time when the Army doesn’t have enough soldiers, thousands of men would have to be reassigned to replace women currently serving in combat support roles. Where are these additional men going to come from? Is this the first stage of reinstating the draft to make sure that the Army has enough men in its ranks? Secondly, women have served with great distinction and bravery in Iraq in a variety of key combat support roles. Women have always been banned from serving in the Infantry, Armor and Special Forces and no one is suggesting that be altered. </t>
  </si>
  <si>
    <t xml:space="preserve">The amount of water used to produce food and goods imported to developed countries is worsening water shortages in the developing world, a report says. The report, focusing on the UK, says two-thirds of the water used to make UK imports is used outside its borders. The Engineering the Future alliance of professional engineering bodies says this is unsustainable, given population growth and climate change.                                                                                                           It says countries such as the UK must help poorer nations curb water use. “We must take account of how our water footprint is impacting on the rest of the world,” said Professor Roger Falconer, director of the Hydro-Environmental Research Centre at Cardiff University and a member of the report’s steering committee.                                                                                                        “If we are to prevent the ‘perfect storm’, urgent action is necessary.”                                                                          But developing countries are already using significant proportions of their water to grow food and produce goods for consumption in the West, the report says. “The burgeoning demand from developed countries is putting severe pressure on areas that are already short of water,” said Professor Peter Guthrie, head of the Centre for Sustainable Development at Cambridge University, who chaired the steering group.   </t>
  </si>
  <si>
    <t>Metropolitan Los Angeles, extending to Riverside and Long Beach, remains the smoggiest city in the United States, with an average of more than 140 days a year of dangerous ozone, the American Lung Assn. reported Wednesday in its annual assessment. All of the nation’s 10 smoggiest counties are in California, with San Bernardino, Riverside, Kern, Tulare and Los Angeles leading the pack. And the state’s cities and counties, with their ports, refineries, power plants and crowded freeways, rank near the top for particle pollution.                                                               The report comes at a time of conflict over the state’s efforts to slash emissions. Citing the recession –battered economy, trucking and construction firms are seeking to delay California’s rules to limit diesel pollution from operating big-rigs, forklifts and other equipment.                                  A proposed ballot initiative, sponsored by oil companies and conservative activists would suspend the state’s climate law, which targets carbon dioxide and other greenhouse gases but could effectively curb traditional air pollutants such as ozone and particles.                                                        The ballot initiative to delay AB 32, the Global Warming Solutions Act, is spearheaded by San Antonio-based Valero Energy Corp. and Tesoro Corp., which operate major refineries and hundreds of gas stations in California.                                                                                                                                                                    Despite its grim overall statistics, the report took note of remarkable progress in some areas: The number of high-ozone days has dropped by 25% in metropolitan Los Angeles and by 57% in metropolitan San Francisco, which includes Oakland and San Jose, since 2000.                                                  The report found that high air pollution levels threaten the health of 175 million people, about 58% of the population. But in California, the proportion is far higher: 91% of state residents, more than 33 million people, live in counties with poor air quality, especially in Southern California and the Central Valley.</t>
  </si>
  <si>
    <t>When Eyjafjallajokull erupted on April 14, the diminutive but destructive Icelandic corker did us and unheralded favour. Believe it or not, all that ash swirling into the upper atmosphere was actually a minor boon to the war on global warming. About 11,000 European and international flights a day were canceled, and grounded aircraft don’t pollute. With air travel over much of the continent slashed by 60%, CO2 emissions from aviation fell by about 200,000 tons a day, according to data from the independent British research group RDC Aviation. Since the volcano is estimated to be issuing 150,000 tons of CO2 daily, Europe temporarily lowered its carbon footprint by about 50,000 tons a day.                                                                                                     The reduction is a mere hiccup, of course. The savings is a little more than Luxembourg’s and a little bit less than Estonia’s daily output of heat-trapping gases. In the course of a year, the change will be almost imperceptible since, as the United Nations reports, humans produce about 73 million metric tons of carbon a day. With aviation emissions estimated at about 2% of the worldwide total, unless Eyjafjallajokull does what it did the last time it erupted – belching the Earth’s gaseous juices for more than a year, from December 1821 to January 1823 – then the halt won’t amount to much.                                                                                                                                   But what the present storm cloud over Europe demonstrates is our growing dependence on a form of travel that, if unchecked, will swamp many of the reductions made elsewhere in the battle to combat global warming. The fact is, despite the falloff in passengers after 9/11, airplanes are the fastest-growing source of man-made greenhouse gases, according to a 2006 report by the European Federation for Transport and Environment.                                                                                                                                                           Cars still cough out far more greenhouse gases than aircraft, but according to the Aviation Environment Federation in Britain, flight emissions are growing six times as fast as tailpipe emissions.  The most efficient way to slash these carbon emissions is to build high-speed electric trains, because they emit anywhere between a tenth and a quarter of aircraft greenhouse gases.</t>
  </si>
  <si>
    <t>David Cameron declared yesterday that a new chapter has been opened in Britain’s relationship with France after the signing of a wide-ranging defense agreement. Questions remained, however, about just how faithful the new partners will be to each other.                                     A key part of the deal will involve the aircraft carrier of one country defending the national interests of the other. Nicolas Sarkozy, asked whether France’s Charles De Gaulle vessel would speed off to the Falklands in the event of a confrontation with Argentina, said: “We are not identical….. and I know that there is the Channel between our two countries.”                                                    He added: “If you, my British friends, have to face a major crisis, could you imagine France simply sitting there, its arms crossed, saying it’s none of our business?”                                                According to critics that, precisely, is the fear. Bernard Jenkin, a former Conservative defense spokesman, was doubtful that help would be forthcoming in a future tussle over the Falklands. “There is a long track-record of duplicity on the French part. When it comes to dealing with allies, we should never be under any illusion. The French act in what they see as their strategic interests,” he said.                                                                                                                                                    The Liberal Democrat peer Lord Ashdown said France’s long-term objectives were likely to alarm many Tories. “I am clear that Paris sees this as the first move to wider European defense co-operation, which I am strongly in favor of. Paris’s view and long-term aims on this will be inimical to many in the Conservative Party, including maybe our Defense secretary, Liam Fox,” he said.</t>
  </si>
  <si>
    <r>
      <t>I finally tracked down Bukhara’s synagogue in the alleys of the old town only to find its  wooden doors shut. The solid facades of the alley gave no clues as to whether there was any life behind them. But soon a man appeared with keys to the building.                                           Yura, the night watchman, pushed the doors open, revealing a well-maintained courtyard with white painted walls adorned with inscriptions in Hebrew and black and gold wall hangings concealing the synagogue’s 500-year-old Torah. Yura told me about Bukhara’s Jewish community. The synagogue dates from the 16</t>
    </r>
    <r>
      <rPr>
        <vertAlign val="superscript"/>
        <sz val="11"/>
        <color theme="1"/>
        <rFont val="Calibri"/>
        <family val="2"/>
        <scheme val="minor"/>
      </rPr>
      <t>th</t>
    </r>
    <r>
      <rPr>
        <sz val="11"/>
        <color theme="1"/>
        <rFont val="Calibri"/>
        <family val="2"/>
        <scheme val="minor"/>
      </rPr>
      <t xml:space="preserve"> century and is still in use, although the number of worshippers has declined dramatically over the years. There are only around 300 left in the city, and some of those are about to leave.                                                                                                          Since the 1970’s, when Soviet emigration controls were relaxed, thousands of Jews have left Bukhara. This process speeded up after Uzbekistan gained its independence from the Soviet Union in 1991, although exact figures are hard to come by as there has been no official census in the country since 1989. Many Jews have left for Israel and America, while others have settled in Europe.                                                                                                                                           Yura took me to see the community’s school, which is thriving despite the decreasing number of Jews. It teaches in Uzbek, Russian, English and Hebrew and is popular with students from the wider community for its high educational standards.                                                                                    The city’s Jewish cemetery is also well-maintained and gives a strong sense of how long the community has resided in these parts. Èmigrès send money to support the synagogue, school and cemetery, but these remittances have not been able to reverse the community’s decline. Over the centuries the Jewish community has contributed greatly to the city’s business and cultural life. Its struggle to survive now is its biggest test ever. At the current rate of emigration there may not be any worshippers left, and the synagogue and cemetery will be museums that commemorate Bukhara’s lost Jewish heritage.</t>
    </r>
  </si>
  <si>
    <t xml:space="preserve">The British author, Alan Shadrake is today facing a possible prison sentence after a court in Singapore convicted him of challenging the integrity of the city state’s judiciary in a book criticizing its use of the death penalty. Shadrake faces a custodial sentence or a fine – or both – for contempt of court when Singapore’s high court sentences him next week.                                                The Singapore constitution does not specify a maximum penalty for the crime, according to reports, although prosecutors are reported to have demanded a prison sentence of between three and six months and an unspecified fine.                                                                                                                     The judge, Quentin Loh, said he was giving 75-year-old Shadrake “a final opportunity to make amends.” The author, who has refused to apologize, said after the ruling that he would “work out how to do this and satisfy the court.”                                                                                                                     The case was brought in response to Shadrake’s book, “Once a Jolly Hangman: Singapore’s Justice in the Dock”, which accuses courts of bowing to diplomatic and economic pressure in deciding how to dispense justice. It also accuses them of favoring the wealthy and abusing the law to suppress political opponents. The book includes a profile of a former chief executioner and interviews with human rights activists, lawyers and former police officers.                                                  According to Amnesty International, Singapore, with a population of five million, has one of the world’s highest per capita execution rates, having put more than 400 people to death over the past two decades. </t>
  </si>
  <si>
    <t xml:space="preserve">Jailed oligarch Mikhail Khodorkovsky urged a judge in Moscow today to end his days “slurping gruel” in prison, saying the fate of every Russian was tied up with his own. Khodorkovsky was speaking on the final day of his trial for stealing $25bn of crude oil from subsidiaries of his own Yukos oil company, a charge widely seen as vengeance for his financing of political parties opposing the Kremlin.                                                                                                                                        “A state that destroys its best companies, which are ready to become global champions, a country that holds its own citizens in contempt, trusting only the bureaucracy and the special services, is a sick state,” he told a packed courtroom.                                                                                                    The Russian businessman was arrested in 2003 on charges of fraud and sentenced to eight years in a Siberian prison colony in 2005. A new trial of Khodorkovsky and his Yukos partner, Platon Lebedev, began in March last year after prosecutors laid fresh charges of stealing oil and shares, and money laundering. A verdict is expected on 15 December.                                                                   Political analysts believe the Kremlin wants to ensure Khodorkovsky is not released in the run-up to the 2012 presidential elections. The 46-year-old, who has spent most of his confinement so far at a penal colony close to the border with China, has kept up a stream of diatribes against the Russian government via his website and articles in the press.                                                                         Khodorkovsky addressed the court from behind a glass screen. He accused President Dmitry Medvedev of leading Russia into stagnation, saying he had dashed hopes the country would become “free from the arbitrary behavior of officials, free from corruption, free from unfairness and lawlessness.” </t>
  </si>
  <si>
    <t>Parents believe the benefits of testing their children for the genetic risk of some diseases outweigh the negative consequences, according to US scientists. In the study, published in the journal ‘Pediatrics’, parents who were offered a genetic test supported their children also being tested. The authors say doctors and politicians need to be more aware of the issue. Genewatch U.K. said children should never be tested for adult conditions. Genetic testing used to be confined to specialist clinics, but direct-to-consumer testing is now possible. People send a sample to a company in the post and are told if they have any genes which carry an increased risk of illness.                                                                                                                                        In this study, 219 parents were tested for 15 genetic variants linked to heart disease, osteoporosis, high blood pressure, high cholesterol, type 2 diabetes and colon, skin and lung cancer. They were then asked a series of questions to compare benefits such as reassurance, knowledge and prevention, with risks such as invasion of privacy and psychological discomfort. The report found that ‘parents offered the genetic susceptibility test for common preventable conditions tended to consider that the potential benefits of this test for their own child could outweigh its risks.’ Helen Wallace, from genetic science lobby group Genewatch U.K, said: “Online gene tests frequently give misleading results because most common conditions such as cancer, obesity or diabetes are not predictable from a person’s genes, except in special circumstances.</t>
  </si>
  <si>
    <t xml:space="preserve">Chinese state media have confirmed reports of clashes between monks and police at a Tibetan monastery in Sichuan province, but deny it has been blockaded. The ‘Global Times’ said “Chinese police intervened to control lamas that had stirred up trouble” at Kirti Monastery in Aba county, western China. Tibetan exiles said armed police surrounded the complex last Tuesday and refused to allow monks to enter or leave. The Dalai Lama warned late last week that the situation could turn “explosive”. An article released by the Xinhua state news agency on its news wire this weekend –but not, apparently, on its website –said believers and vehicles were freely entering and monks could be seen outside. The report, headlined “Life Normal in Tibetan Monastery”, quoted a member of Kirti’s management saying it had “long ago formed a joint patrol team, with police, to prevent unspecified people from entering.” He added that “there couldn’t be any beatings” as staff at the entrance were very friendly.                                                        The International Campaign for Tibet said hundreds of residents gathered outside Kirti last Tuesday fearing authorities would forcibly remove monks for a “patriotic education” campaign after the self-immolation of a young lama. Citing exile sources, it alleged that security forces beat protesters and unleashed dogs on the crowd as they forced their way through to the monastery, surrounding it and preventing up to 2,500 monks from leaving. The U.S. expressed concern about the situation last week, with state department spokesman Mark Toner tell a regular briefing: “We have seen that Chinese security forces have cordoned off the Kirti Monastery…They’ve also imposed onerous restrictions on the monks and general public, and we believe these are inconsistent with internationally recognized principles of religious freedom.” </t>
  </si>
  <si>
    <t>Internet-based attacks on critical systems such as gas, power and water have increased around the world, a report suggests. Security firm McAfee surveyed 200 IT executives working for utility companies in 14 countries. Eight out of ten said their networks had been targeted by hackers during the past year. China was seen as the most likely source of attacks, followed by Russia and the United States. The number of reported incidents was higher than in 2009 when just over half of those asked said they had fallen victim. Most of the reported security breaches took the form of distributed denial of service (DDOS) attacks. These typically involve a network of computers, under the control of criminals, overwhelming a company’s internet-connected systems. While such incidents have the potential to impact websites and corporate networks, researchers said it was unlikely they were intended to cut off energy supplies. However, there remained a possibility that DDOS attacks could do more harm in future, according to Stewart Baker, a former U.S. national security advisor to President George W Bush and one of the report’s authors.                                                                                                         Arguably the best known example of an internet-borne threat disrupting an industrial system is the Stuxnet worm, which was discovered in 2010. Analysis suggests that the malicious computer code was specifically designed to take control of machinery in either Iran’s Bushehr or Natanz nuclear facilities. While it was known that the worm had spread more widely than its intended target, McAfee’s research suggested the full extent of its reach. Among those utility companies that had carried out a search for Stuxnet on their computer systems, 40% found traces of it. “It probably didn’t result in any obvious interference with the systems, because it wasn’t designed to do that,” said Mr. Baker.</t>
  </si>
  <si>
    <t xml:space="preserve">1) Which of the following is true?                                                                              </t>
  </si>
  <si>
    <t xml:space="preserve">7) The article suggests that; </t>
  </si>
  <si>
    <t>9) The article suggests that it is difficult to find proof on whether young people in current times are losing their hearing more quickly than in earlier times because</t>
  </si>
  <si>
    <t xml:space="preserve">11) The writer makes the suggestion that if women were eliminated from combat support roles, this could lead to; </t>
  </si>
  <si>
    <t>13) The report that the writer alludes to in the article appears to;</t>
  </si>
  <si>
    <t>15)The report that the writer refers to in the article appears to</t>
  </si>
  <si>
    <t xml:space="preserve">17)The current situation according to the article is that;  </t>
  </si>
  <si>
    <t>19) Lord Ashdown states that;</t>
  </si>
  <si>
    <t xml:space="preserve">2) According to the report;                                                                                        </t>
  </si>
  <si>
    <t xml:space="preserve">3) According to the report; </t>
  </si>
  <si>
    <t>4) It was previously believed that</t>
  </si>
  <si>
    <t>5) The reviewer claims that the film</t>
  </si>
  <si>
    <t xml:space="preserve">6) The idea of a ‘new Europe’; </t>
  </si>
  <si>
    <t>8) One of the effects of using an MP3 is that</t>
  </si>
  <si>
    <t>10) It appears that the religious right</t>
  </si>
  <si>
    <t xml:space="preserve">12) The report referred to in the article has stated that the problem of a worldwide water shortage is being worsened by; </t>
  </si>
  <si>
    <t>14) According to the article, oil and construction companies are;</t>
  </si>
  <si>
    <t>16) The writer states that the temporary reduction in CO2 emissions will;</t>
  </si>
  <si>
    <t>18) The article suggests that;</t>
  </si>
  <si>
    <t xml:space="preserve">20) It is difficult to know the exact details of Jewish emigration from Uzbekistan because; </t>
  </si>
  <si>
    <t xml:space="preserve"> 21) The writer believes that; </t>
  </si>
  <si>
    <t xml:space="preserve">22) The British author, Alan Shadrake is possibly facing; </t>
  </si>
  <si>
    <t xml:space="preserve">24) It is generally believed that; </t>
  </si>
  <si>
    <t xml:space="preserve">23) In his book, Shadrake suggests that in Singapore;    </t>
  </si>
  <si>
    <t xml:space="preserve">25) In his address to the court, Khodorkovsky states that; </t>
  </si>
  <si>
    <t xml:space="preserve">26) According to the report; </t>
  </si>
  <si>
    <t xml:space="preserve">27) The reports by the Chinese state media and The International Campaign for Tibet could best be described as; </t>
  </si>
  <si>
    <t xml:space="preserve">29) According to the report, which of the following is true? </t>
  </si>
  <si>
    <t xml:space="preserve">28)It is believed that the Chinese authorities are acting in response to; </t>
  </si>
  <si>
    <t xml:space="preserve">30) The Stuxnet worm; </t>
  </si>
  <si>
    <t>a) A lot of the comics featuring Kinshasa are done by Congolese artists.</t>
  </si>
  <si>
    <t>a) 19,000 cars have problems with their fuel systems.</t>
  </si>
  <si>
    <t>a) The leak has caused a loss of 500 tonnes of oil.</t>
  </si>
  <si>
    <t>a) One’s age could affect one’s work in Space</t>
  </si>
  <si>
    <t>a) Was made during the 1950s</t>
  </si>
  <si>
    <t>a) Originally arose in England.</t>
  </si>
  <si>
    <t>a) The volume will be perceived as louder than normal</t>
  </si>
  <si>
    <t>a) Is supported by army leadership</t>
  </si>
  <si>
    <t>a) Excessive use of water in the U.K.</t>
  </si>
  <si>
    <t>a) Using the economic crisis as an attempt to postpone California’s climate law</t>
  </si>
  <si>
    <t>a) Have a great effect</t>
  </si>
  <si>
    <t>a) France is certain to act to defend British strategic interests.</t>
  </si>
  <si>
    <t>a) It increased dramatically when Uzbekistan became independent from the Soviet Union.</t>
  </si>
  <si>
    <t>a) The death sentence.</t>
  </si>
  <si>
    <t>a) Khodorkovsky is innocent.</t>
  </si>
  <si>
    <t>a) Doctors recommend the gene tests for children.</t>
  </si>
  <si>
    <t>a) Most internet-based attacks occur in the U.S</t>
  </si>
  <si>
    <t>a) Conflicting</t>
  </si>
  <si>
    <t>b) Most of the comics featuring Kinshasa are done by Belgium artists.</t>
  </si>
  <si>
    <t>b) Only one model of car is at risk of a fuel leak.</t>
  </si>
  <si>
    <t>b) The pipeline was repaired after two hours.</t>
  </si>
  <si>
    <t>b) Space flight could precipitate illness</t>
  </si>
  <si>
    <t>b) Is different to the book version</t>
  </si>
  <si>
    <t>b) Was supported by the ‘old’ Europeans.</t>
  </si>
  <si>
    <t>b) The volume is more intense than the sound of a jet engine</t>
  </si>
  <si>
    <t>b) Opposes the presence of female soldiers in Iraq</t>
  </si>
  <si>
    <t>b) Excessive use of water for the populations of developing countries</t>
  </si>
  <si>
    <t>b) Claiming responsibility for the low quality of California’s air</t>
  </si>
  <si>
    <t>b) Hardly be noticeable.</t>
  </si>
  <si>
    <t>b) France is refusing to cooperate in joint military operations.</t>
  </si>
  <si>
    <t>b) Official records have not been kept for the past 20 years.</t>
  </si>
  <si>
    <t>b) Life imprisonment</t>
  </si>
  <si>
    <t>b) The Kremlin wanted revenge on Khodorkovsky</t>
  </si>
  <si>
    <t>b) Gene tests done online are usually accurate</t>
  </si>
  <si>
    <t>b) False</t>
  </si>
  <si>
    <t>b) Internet-based attacks are expected to decrease with future security developments</t>
  </si>
  <si>
    <t>b) The Obama administration desires a closer relationship with East Europe</t>
  </si>
  <si>
    <t>b) The use of MP3 players on a wide scale is recent</t>
  </si>
  <si>
    <t>b) A reinforcement of roles in the military</t>
  </si>
  <si>
    <t>b) Give a generally positive outlook while pointing out some problematic areas</t>
  </si>
  <si>
    <t>b) Aircraft are producing more greenhouse gasses than cars.</t>
  </si>
  <si>
    <t>b) It is more likely that the Jewish community will not survive</t>
  </si>
  <si>
    <t>b) Human rights activists are targeted by police</t>
  </si>
  <si>
    <t>b) Russian laws are too strict</t>
  </si>
  <si>
    <t>b) The protests of The International Campaign for Tibet</t>
  </si>
  <si>
    <t>b) Originated in Iran’s nuclear facilities</t>
  </si>
  <si>
    <t>c) Congolese comics are unknown outside of the Congo</t>
  </si>
  <si>
    <t>c) The fuel leaks have caused several accidents</t>
  </si>
  <si>
    <t>c) Oil had to be deflected.</t>
  </si>
  <si>
    <t>c) Space flight was too dangerous for the inexperienced</t>
  </si>
  <si>
    <t>c) Has an unclear ending</t>
  </si>
  <si>
    <t>c) Came about because of differences over the Iraq war</t>
  </si>
  <si>
    <t>c) It damages the environment</t>
  </si>
  <si>
    <t>c) Doesn’t believe that women should serve in combat zones</t>
  </si>
  <si>
    <t>c) Producing food in the U.K. for developing countries</t>
  </si>
  <si>
    <t>c) Taking active steps to improve the quality of California’s air</t>
  </si>
  <si>
    <t>c) Have a long-term effect</t>
  </si>
  <si>
    <t>c) Soviet emigration controls were relaxed.</t>
  </si>
  <si>
    <t>c) Deportation</t>
  </si>
  <si>
    <t>c) Khodorkovsky will pay his way out of jail.</t>
  </si>
  <si>
    <t>c) Parents are generally in favor of gene tests for children</t>
  </si>
  <si>
    <t>c) Consistent</t>
  </si>
  <si>
    <t>c) Most internet attacks are intended to disrupt companies’ energy services</t>
  </si>
  <si>
    <t>c) The European Union took six years to complete its expansion</t>
  </si>
  <si>
    <t>c) Many middle-aged and older people also use MP3 players</t>
  </si>
  <si>
    <t>c) A return to conscription for men</t>
  </si>
  <si>
    <t>c) State that the situation is going to improve in the near future</t>
  </si>
  <si>
    <t>c) Aircraft fuel efficiency is expected to decrease</t>
  </si>
  <si>
    <t>c) Paris’s view and long- term aims are contradictory</t>
  </si>
  <si>
    <t>c) The Jewish community needs to contribute more to the city’s business</t>
  </si>
  <si>
    <t>c) The executions have no effect on the crime rate</t>
  </si>
  <si>
    <t>c) He doesn’t believe that Russia will become free of corruption</t>
  </si>
  <si>
    <t>c) A speech by the Dalai Lama</t>
  </si>
  <si>
    <t>c) Was intended for Iran’s nuclear facilities</t>
  </si>
  <si>
    <t>d) Congolese comics are popular in New York and Tokyo</t>
  </si>
  <si>
    <t>d) Toyota has been troubled by other problems</t>
  </si>
  <si>
    <t>d) No trace of the leak remains</t>
  </si>
  <si>
    <t>d) Age didn’t affect one’s ability to carry out a Space mission</t>
  </si>
  <si>
    <t>d) Has a straightforward storyline.</t>
  </si>
  <si>
    <t>d) Had no basis in reality.</t>
  </si>
  <si>
    <t>d) It delays the onset of deafness</t>
  </si>
  <si>
    <t>d) Wants women to be prevented from joining the infantry</t>
  </si>
  <si>
    <t>d) Producing food in developing countries for the developed world</t>
  </si>
  <si>
    <t>d) Supporting the proposal of a new climate law</t>
  </si>
  <si>
    <t>d) Will only be noticeable in the short term</t>
  </si>
  <si>
    <t>d) A confrontation with Argentina is inevitable</t>
  </si>
  <si>
    <t>d) Many Jews went to America</t>
  </si>
  <si>
    <t>d) A fine</t>
  </si>
  <si>
    <t>d) The Kremlin is opposed to the possible sentencing of Khodorkovsky</t>
  </si>
  <si>
    <t>d) Genewatch U.K. endorses the gene tests</t>
  </si>
  <si>
    <t>d) Verified</t>
  </si>
  <si>
    <t>d) Most internet attacks are intended to disrupt companies’ websites</t>
  </si>
  <si>
    <t>d) The idea of an ‘old’ and ‘new’ Europe is no longer necessary</t>
  </si>
  <si>
    <t>d) There are many possible causes of hearing loss aside from MP3 players</t>
  </si>
  <si>
    <t>d) A possible solution to the country’s unemployment problem</t>
  </si>
  <si>
    <t>d) Give a generally pessimistic picture while pointing out some encouraging achievements</t>
  </si>
  <si>
    <t>d) Aircraft are producing less greenhouse gasses than cars</t>
  </si>
  <si>
    <t>d) He approves of European defense co-operation</t>
  </si>
  <si>
    <t>d) It is necessary to visit the museum to learn about Bukhara’s Jewish heritage</t>
  </si>
  <si>
    <t>d) Lawyers are generally opposed to the executions</t>
  </si>
  <si>
    <t>d) Russian laws are fair</t>
  </si>
  <si>
    <t>d) The previous actions of a young monk</t>
  </si>
  <si>
    <t>d) Was designed in 2010</t>
  </si>
  <si>
    <t>c)  Britain is not confident that France will participate in all joint military operations.</t>
  </si>
  <si>
    <t>b)  European defense co-operation will not work in the long term.</t>
  </si>
  <si>
    <t>a) The main division is between the ‘old’ and ‘new’ Europe.</t>
  </si>
  <si>
    <t>a) The use of MP3 players is limited</t>
  </si>
  <si>
    <t>a) A stronger military force</t>
  </si>
  <si>
    <t>a) Be completely negative</t>
  </si>
  <si>
    <t>a) High-speed electric trains are being developed</t>
  </si>
  <si>
    <t>a)   The Tories would approve of French aims.</t>
  </si>
  <si>
    <t>a) The remittances sent by the émigrés will ensure the survival of the Jewish community</t>
  </si>
  <si>
    <t>a) Some of the executions are politically motivated.</t>
  </si>
  <si>
    <t>a) The behavior of Russian officials is inconsistent</t>
  </si>
  <si>
    <t>a) The attempts of monks to leave Tibet</t>
  </si>
  <si>
    <t>a) Was found to have disrupted utility companies’ computer systems.</t>
  </si>
  <si>
    <t xml:space="preserve">A political crisis has engulfed Madagascar’s leader Andry Rajoelina, who seized power a year ago. With the country’s economy spiraling out of control, he now faces African Union sanctions for failing to set up a unity government.                                                                                                         The letters clinging to the side of the hill are like a giant game of Scrabble. Madagascar’s answer to Hollywood’s own hillside signpost. But here, the towering white metal pieces don’t spell out the name of a place where the streets are paved with gold. The letters spell out the name of Madagascar’s capital city, Antananarivo. At least they would do if they were all there. The first A and first N are all that remain. The rest were apparently stolen by an entrepreneurial thief with a head for heights, looking to make charcoal cooking stoves with the metal.                                                                                                                                                                  “Times are hard now,” says Michel, who sells second-hand clothes in a street at the bottom of the hill. “People will do whatever they can to get by,” he says, shaking his head as he looks up at the diminished letters on the hillside.                                                                                                   It has been a year since President Marc Ravalomanana  was forced from power by Antananarivo’s former mayor and renegade faction of the army. Since then, Madagascar’s tortured political landscape has become yet more sinuous and bizarre. Ministries have changed hands and ministers have changed sides.                                                                                                   In one of the most circuitous turn of events, faded politicians from decades ago have risen to reassert themselves among Madagascar’s squabbling elites. These are the dinasours-the tough-skinned relics of bygone eras. And they cut sharp contrast with the new president, baby-faced 35-year-old Andry Rajoelina. The one time nightclub disc jockey has divided opinion-even among those who once supported him. Loyalists thank him for bringing to an end the increasingly autocratic regime of Ravalomanana. But a growing body of critics now accuses Rajoelina of being a puppet for Madagascar’s former colonial power, France.                                                                                                                               </t>
  </si>
  <si>
    <t>b) Is a puppet for France</t>
  </si>
  <si>
    <t>The decision to ban the political pamphlet: ‘The National Left’.</t>
  </si>
  <si>
    <t>Was opposed by settlers</t>
  </si>
  <si>
    <t>Was made because of customer reaction</t>
  </si>
  <si>
    <t>Was made in response to reactions from abroad</t>
  </si>
  <si>
    <t>Was supported by academics</t>
  </si>
  <si>
    <t>The left wing believe that the settlers;</t>
  </si>
  <si>
    <t>Are united in opposition to democracy</t>
  </si>
  <si>
    <t>Have no influence their society</t>
  </si>
  <si>
    <t>Are not interested in government positions</t>
  </si>
  <si>
    <t>Enjoy influence within their society</t>
  </si>
  <si>
    <t xml:space="preserve">Thirty years ago on Sunday the renegade British colony that had been Rhodesia was born as Zimbabwe. In the nightmarish events of the last 10 years the euphoria of that day has been all but lost. Certainly, the achievements of Zimbabwe in the last 30 years are in danger of drowning in the mire of statistics about rampant inflation and unemployment, in images of the political repression of a cowed populace- all taken as evidence by those Thabo Mbeki calls the Afro-pessimists. For his part, President Mugabe has certainly provided much grist to the mill of the brigade that believes Africans cannot rule themselves and that independence has achieved nothing worth celebrating.                                                                                                                       As Zimbabwe turns 30, however, there are significant achievements to celebrate. Independence itself was one, especially as it brought the end of an apartheid-in- miniature that had allowed a small white minority to enjoy benefits not available to the black majority. Rhodesia’s segregationist policy was grievously unjust; but children born in Zimbabwe would no longer have their life paths determined simply because of the colour of their skin. Independence came through a civil war in which tens of thousands died, and many more people were displaced. Following this, Mugabe, then prime minister –urged former combatants to turn their swords to ploughshares, and white and black to work together to build a new nation. The reconciliation policy at the time did much to allay fears of reprisals, and put Zimbabwe on a path to stability and prosperity.                                                                                                                                         The chief achievement of the country’s prosperous early years, one bearing fruit even today, came from the massive investment in education. From free primary education to adult literacy programmes, this investment made it the sub-Saharan nation with the highest literacy rate. Poor Zimbabweans were encouraged to see education as the only thing that stood between them and their circumstances, and to use education as the means to get out of poverty. Even now, taxi drivers and market-stall holders invest in extra lessons for their children, and in the evenings in Harare adults make their way towards colleges for further education and training. The Zimbabwean diaspora of the last 10 years is evidence of the success of this education policy: Zimbabweans have taken skills and education to the Commonwealth and beyond, making it tragic that their skills should be used to benefit other countries and not their own.       </t>
  </si>
  <si>
    <t>The torture of seeing films intended for 30ft cinema screens being squeezed into a 2.5 in space has done nothing to deter millions of iPod users from downloading those burnt offerings. But now the traffic is heading in the opposite direction for the first time, with the screening next Sunday at the Boston International Film Festival of a 43-minute movie that was only ever made to be watched in the palm of the hand, and even then in bite-sized, site specific installments. Murder on Beacon Hill is an interactive iPhone app that guides the viewer around locations in Boston pertaining to the killing in 1849 of Dr. George Parkman. Download the app, put on your comfortable shoes and head into the streets of the old Beacon Hill neighbourhood, where you can relive the unearthing of a dismembered body beneath the Harvard Medical College, the manhunt, and the arrest and trial of the victim’s former classmate, Professor John Webster. “The story begins at Massachusetts General Hospital,” intones narrator-cum-sleuth Alexandra Macdougall before instructing you to “Press Wax Seal number 1” or “Come with me inside the Ether Dome.”                                                                                                                                                                                                                            It remains to be seen whether the app will retain its pulp allure on the larger screen, when the distinction between viewer and participant will be clearer, though the subjective camerawork and mystery-stoking score already embrace traditional filmmaking technique. That this is a landmark moment is indisputable. If it’s not quite the Lumière brothers at the Grand Cafè in 1895, it will at least be a night to recall once the inaugural Oscar for Best Original App is handed out</t>
  </si>
  <si>
    <t>d) is difficult to understand</t>
  </si>
  <si>
    <t>b) Is not very popular</t>
  </si>
  <si>
    <t xml:space="preserve">According to the writer, it is uncertain whether films made for the iPhone; </t>
  </si>
  <si>
    <t>Will be successful in the cinema</t>
  </si>
  <si>
    <t>Will win Oscars</t>
  </si>
  <si>
    <t>Will be popular</t>
  </si>
  <si>
    <t>Will utilize traditional film-making techniques</t>
  </si>
  <si>
    <t>One thing is sure. Cycling will not play a big part in the hustings for the election. There may be the odd mention of “cycling and walking” which, wrongly, are coupled together as green methods of transport, but there will be no serious discussion of how cycling could be an important contributor to two principal policies of government, supported generally on all sides: improving the environment and health.                                                                                                              It is really a no-brainer. Boosting cycling is a win-win situation. Not only does it reduce congestion in urban areas and reduce CO2 emissions, but it is an enormous fitness benefit. It presses all the right buttons.                                                      Yet, while all the main party transport teams parrot their support for cycling, little is happening on the ground. There is the odd cycle lane, which often delivers its hapless users into a main road full of 40-tonne HGVs and the occasional “shared use” path but cyclists are still, on the whole, treated as pariahs which get in the way of the big tin boxes that dominate the urban scene. Cyclists are, for the most part, there on sufferance rather than being welcomed as part of the solution to the congestion crisis in out towns and cities.                                                                                                                                                                                                                                         In Copenhagen, a city where cycling already has a modal share of over 30%, the traffic lights are set to the speed of the average cyclist, not cars, so they can flow through without stopping. When a British politician stands up and says this type of system should be installed in all our towns and cities, then they will get my vote. The crucial point is this: the European cities where cycling is the norm rather than the exception did not get like that by accident or because of their cultural inheritance. They got there because of long-term pro-cycling measures which have become universally popular. It’s time to make a start here</t>
  </si>
  <si>
    <t>After a year of doom-and –gloom talk about death panels and, as late as Sunday, that  “Armageddon” is coming, Democrats in Congress passed a health insurance reform to send to President Barack Obama.                                                                                                                                          The legislation is far from perfect. We would have liked to see a consortium or public opinion that would rev up competition among insurers.                                                                                                   But for all the complaints by Republican congressional leaders that they were locked out of reform negotiations, the legislation contains many of the elements that GOP leaders sought over the years. Among them, ending insurers’ practice of denying coverage to patients with pre-existing conditions or imposing lifetime limits on coverage.                                                                                                                                                                                                                                    Yet insurance experts have long noted that the only way to eliminate the practice of turning down people with pre-existing conditions would be to expand the pool of the insured. This legislation would do so, covering about 95 percent of Americans, either through required payments or subsidies.                                                                                                                                       There’s one detail that should be fixed now: the sustainable growth rate, or SGR, formula used by Medicare to pay doctors who treat the elderly.                                                                                           Virtually every year doctors treating Medicare patients brace for deep cuts. The convoluted SGR, created in 1997 in an attempt to bring down spiraling Medicare costs, has been blocked by Congress various times, but no fix has been devised.                                                                                                                                                      Doctors who treat Medicare patients make less today than they did almost a decade ago, according to the Dade County Medical Association, and other groups.                                                            Yet doctors have to employ more personnel to deal with insurance claims, and the cost of protecting against frivolous lawsuits also works against their bottom line.</t>
  </si>
  <si>
    <t xml:space="preserve">On the night, several years ago, that I tackled my nightstand, I should have known better. Jolted awake in the dark, my wife Alice peered over the covers to where I lay on the floor. I had lunged with open arms from our bed while still asleep, truly the consequence of an overactive imagination. Alice joked that we should dust off the kids’ bed rails.                                                                 Since that night, we have been forced to take my wildest dreams more seriously. In a re-occurrence months later, I “blocked” Alice in bed, envisioning instead a defensive lineman and, more recently, I punched the headboard with my fist, thinking instead that I was protecting my parents from an assailant. What makes these incidents all the more bizarre is that three years ago, having written on the history of sleep, including its disorders, I began to collaborate with Dr. John Shneerson, the director of the largest sleep centre in the United Kingdom, at Papworth Hospital. Our project: a series of papers devoted to sleep violence.                                                                                                        Despite the anguish caused by insomnia, it is far from the most frightening sleep abnormality. Nor, in contrast to the terror of nightmares, are the consequences of sleep violence confined to the unconscious. In extreme cases, sleepers have been known to inflict violence, even death, upon family members as well as physical injury or worse upon themselves.                                        In recent years, sleep violence has figured in a number of high-profile criminal cases. Just this past November, a retired Welsh steel worker, Brian Thomas, admitted strangling his wife in their camper while dreaming of fighting off an intruder. Not only did Thomas have a history of sleepwalking, but a polysomnograghy test, which monitors brain-waves and eye movements among other functions, was compelling enough for prosecutors to withdraw all charges. Better known, perhaps, was the case of Kenneth Parks, an unemployed Canadian whose murder of his mother-in-law in 1987 inspired a television movie, “The Sleepwalker Killing” (1997). Having no motive for the crime and a history of sleepwalking, Parks was acquitted by an Ontario jury. </t>
  </si>
  <si>
    <t xml:space="preserve">In almost any city, anywhere in the world, you could find yourself stuck in a traffic jam from 0700 to 0900. But not in La Paz in Bolivia - 9a.m. is when rush hour really starts. People begin heading to work then, even if they were supposed to be at their office or factory 30 minutes or even an hour earlier. This chronic lateness is the result of what is known as “Bolivian time” which the government is now aiming to tackle with bonuses for punctual workers.                                                                                                                                                                                                                            Samuel Mendoza, a taxi driver in La Paz, considers himself a Bolivian exception. Because he works mainly with foreigners, he says, he is forced to be on time. Mr. Mendoza knows his compatriots well. Most Bolivians, he explains, take being late as part of their duty. “Bolivians are really irresponsible, there is no culture of punctuality here, they don’t arrive on time to work or anywhere else, it seems they don’t wear a watch on their wrist,” he says. “It is just something very Bolivian.”                                                                                                                                   Indeed it is. In Bolivia, if you are told to meet somebody at a certain time, it is quite likely that the person will show up 30 minutes late-if you are lucky. But the Bolivian government thinks things should change. It is working on a labor reform that, among other things, aims to break this national habit of arriving late for everything, from work to meetings to dates. And the government has decided that the only way to change habits is to offer a financial incentive.    In one of South America’s poorest countries, that extra money might mean a lot to many people. “Bolivians are not traditionally known for their time-keeping. So Bolivians who arrive at work on the dot every day could get a ‘punctuality bonus’, a recognition,” Victor Hugo Chavez, a lawyer from the Ministry of Labor, told the B.B.C. And it might mean a lot for the economy. The government of President Evo Morales believes Bolivians’ tardiness costs the country millions of dollars in lost work time. </t>
  </si>
  <si>
    <t>Mattel said the use of names will add a “new dimension” to Scrabble.                                                                     The rules of word game Scrabble are being changed for the first time in its history to allow the use of proper nouns, games company Mattel has said. Place names, people’s names and company names or brands will now count. Mattel, which brings out a new version of the game containing amended rules in July, hopes the change will encourage younger people to play.      Until now a few proper nouns had been allowed which were determined by a word list based on the Collins dictionary.                                                                                                                                             In Scrabble, players try to gain the highest points by making words with individual letter tiles on a grid board. Each letter tile has a points value between one and ten, based on the letter’s frequency in standard English. Various colored squares on the board can double or triple a player’s points.                                                                                                                                                   Mattel said there would be no hard and fast rule over whether a proper noun was correct or not. A spokeswoman for the company said the use of proper nouns would “add a new dimension” to Scrabble and “introduce an element of popular culture into the game”. She said: “This is one of a number of twists and challenges included that we believe existing fans will enjoy and will also enable younger fans and families to get involved.”                                                                      However, Mattel said it would not be doing away with the old rules altogether. It will continue to sell a board with the original rules. Scrabble was invented in 1938 by American-born architect Alfred Butts. He later sold the rights and it was trademarked in 1948.</t>
  </si>
  <si>
    <t xml:space="preserve">A Jordanian mayor is considering suing a newspaper over an April Fools’ Day report saying aliens landed nearby. Al- Ghad’s front-page story on 1 April said flying saucers flown by 3m (10ft) creatures had landed in the desert town of Jafr, in eastern Jordan. It said communication networks went down and frightened townspeople fled into the streets. The mayor, Mohammed Mleihan, said parents were so frightened they did not send their children to school that day. He immediately notified the security authorities, who he said combed the area looking for the aliens. They did not find any.                                                                                                                 Al-Ghad’s  front page piece said the giant aliens had arrived on flying saucers lighting up the Jordanian desert town of Jafr, some 300 kilometres ( 190 miles) east of Amman. Moussa Barhoumeh, Al Ghad’s managing editor, said the newspaper was simply having some good natured fun on April Fools’ Day, and had apologized for any inconvenience caused. “ We meant to entertain, not scare people,” he said.                                                                                                                   Mr Barhoumeh did not say why Jafr was chosen as the butt of the joke, but the area is notorious for a nearby military base that sometimes hosts US troops for joint training exercises. While April Fools’ Day jokes appearing in the press may be a great British tradition, this is not the case in Jordan, says the B.B.C.’s Dale Gavlak in the capital, Amman. While Egyptians are renowned as the big jokers in the Arab world, able to easily laugh at just about anything, the Jordanians are considered more serious. Although some are trying to change that perception by hosting a yearly international comedy festival in Amman, for Jafr’s mayor, this was clearly a joke that just went too far, our correspondent adds. </t>
  </si>
  <si>
    <r>
      <t>Green groupies of government who fancy themselves on the leading edge of chic-think for their opposition to nuclear power had better rethink their style. Joining-in fact-leading-the ranks of those who think nuke is cool is none other than the man who defines progressive ideas: super-entrepreneur Bill Gates.                                                                                                              Those anti-nuke obstructionists suddenly find themselves looking very 20</t>
    </r>
    <r>
      <rPr>
        <vertAlign val="superscript"/>
        <sz val="11"/>
        <color theme="1"/>
        <rFont val="Calibri"/>
        <family val="2"/>
        <scheme val="minor"/>
      </rPr>
      <t>th</t>
    </r>
    <r>
      <rPr>
        <sz val="11"/>
        <color theme="1"/>
        <rFont val="Calibri"/>
        <family val="2"/>
        <scheme val="minor"/>
      </rPr>
      <t xml:space="preserve"> century as the co-founder of Microsoft moves ahead with futuristic plans to deliver clean, inexpensive power to an energy-needy world. The software genius already has remade the planet once by leading the personal computer revolution and helping millions of individuals worldwide create wealth. Now he stands to do so again by backing a next-generation nuclear technology, called a traveling-wave reactor.                                                                                                                                                   At a February conference in Long Beach, Calif.,Mr. Gates waxed enthusiastically about his plans. “If you gave me only one wish for the next 50 years, it’d be to invent the thing that halves the cost of energy with no carbon dioxide. This is the one thing with the greatest impact,” he told the TED (Technology, Entertainment, Design) Conference, referring to his project.                                                                                                                                                                        His wish got a major boost when Terra-Power, his start-up company, announced two weeks ago that it is negotiating with Toshiba Corp. to build the micro-reactors, which could enter production in 2014 if approved for use in the United States. On March 25, Energy Secretary Steven Chu inaugurated a blue-ribbon commission of scientists and policymakers who will spend the next two years discussing a long-term solution to managing the nation’s used nuclear fuel waste.</t>
    </r>
  </si>
  <si>
    <t>According to recent polls, 60 percent of Americans think the country is heading in the wrong direction. The same percentage believe that the U.S. is in long-term decline. The political system is dysfunctional. A fiscal crisis looks unavoidable. There are plenty of reasons to be gloomy.                                                                                                                                                                         But if you want to read about them, stop right here. This column is a great luscious orgy of optimism. Because the fact is, despite all the problems, America’s future is exceedingly bright. Over the next 40 years, demographers estimate that the U.S. population will surge by an additional 100 million people, to 400 million over all. The population will be enterprising and relatively young. In 2050, only a quarter will be over 60, compared with 31 percent in China and 41 percent in Japan.                                                                                                                                                       In his book, “The Next Hundred Million: America in 2050,” uber-geographer Joel Kotkin sketches out how this growth will change the national landscape. Extrapolating from current trends, he describes an archipelago of vibrant suburban town centers, villages and urban cores.                                                                                                                                                                             The demographic growth is driven partly by fertility. The American fertility rate is 50 percent higher than Russia, Germany or Japan, and much higher than China.                                                                          In addition, the U.S. remains a magnet for immigrants. Global attitudes about immigration are diverging, and the U.S. is among the best at assimilating them (while China is exceptionally poor.) As a result, half the world’s skilled immigrants come to the U.S.                                                                 The United States already measures at the top or close to the top of nearly every global measure of economic competitiveness. A comprehensive 2008 Rand Corporation study found that the U.S. leads the world in scientific and technological development. In sum, the U.S.is on the verge of a demographic, economic and social revival, built on its historic strengths</t>
  </si>
  <si>
    <t>Jose Padilla, a commercial truck driver, Vietnam veteran and native of Honduras, has lived legally in the United States for 40 years. He was arrested in Kentucky after he was found with a large amount of marijuana in his tractor-trailer. He was charged with drug offenses that would make his deportation virtually mandatory.                                                                                                                      When Mr.Padilla asked his lawyer about the consequences of pleading guilty, he said that he was told that he did not need to worry about his immigration status since he had been in the country so long. When he faced deportation, Mr Padilla argued that he pleaded guilty only because of that erroneous advice. The Supreme Court of Kentucky rejected his claim. It said his right to effective assistance of counsel did not apply because deportation was merely a “collateral” consequence of his conviction.                                                                                                             The Supreme Court voted 7-to-2 to reverse. Justice John Paul Stevens, writing for a 5-member majority, said judges used to have considerable discretion about whether a noncitizen should be deported after being convicted of a crime. Because much of that discretion has been taken away, correct legal advice is more important than before for immigrants. Justice Stevens said it was wrong to dismiss deportation as a “collateral” issue because deportation is nearly automatic in many cases.                                                                                                                                        The court went on to rule that if Mr.Padilla’s account was correct, his lawyer had not met the constitutional standard. The court noted that the ability to remain in the country can be more important to a client than the possibility of a jail sentence. And it would not have been difficult for Mr. Padilla’s lawyer to ascertain that a guilty plea would put him at considerable risk of deportation.                                                                                                                                                                   To get relief, Mr. Padilla still needs to show that he was actually prejudiced by the bad advice. No matter how this case is resolved, it has already established a constitutional principle that will help ensure that the Sixth Amendment rights of immigrants are protected.</t>
  </si>
  <si>
    <t>There’s a  view that dictatorships are good for artistic life. On the one hand, they throw public money at cinema, architecture and monumental sculpture, producing mounds of propagandist kitsch, of course, but also providing the wherewithal for real talents to learn their trade. This has been true of cinema in the Soviet Union and Iran. On the other hand, they make the life of the creative dissident truly adventurous, stimulating a defiant heroism that western writers in the late Soviet era found inspiring.                                                                                                                      But as we celebrate what is-let’s not forget-the greatest collective act ever invented by human beings, a free election, it’s worth noting that such claims for totalitarianism’s cultural strength are daft. Let’s begin with visual art. Britain was not exactly a democracy when William Hogarth painted his Election series, now in Sir John Soane’s Museum, but the scenes he portrays-corruption, violence -do revel in a grotesquely comic British liberty. It is still recognizable as an election. Hogarth and the political satirists who followed him in Georgian England surely helped to lay the foundations of real democracy with their irreverent popular art.                                                                                                                                                                                 But democracy has poets on its side, too. What about Walt Whitman, singing the song of democratic America? Go back to classical Athens, and the highest ideals of excellence in literature and art we uphold today were born in a democratic city, not a totalitarian one.                                    You could argue that the amazing cultural strength of America 60 years ago, when Jackson Pollock was painting, was down to a cult of freedom. Did Pollack fit an American more than a Soviet view of life? Er, yeah, in the sense that his art captured the liberty and energy of living in a country where you elect your leaders and can say what you like about them. So did modern jazz. So did rock ‘n’ roll….                                                                                                                                  We’re about to prove with our votes what our art has been proving for centuries: it’s a free country.</t>
  </si>
  <si>
    <t>Malaysia’s government has announced it will record the body mass index of students on report cards as part of a campaign to fight obesity. The Malaysian health minister says the country has the highest percentage of obese citizens in Southeast Asia. Teachers now have to measure students’ body weight and height to see if they have a healthy amount of body fat. The authorities say this will help parents monitor whether their child is overweight or obese. It might seem controversial, but even teenage girls, who are usually self-conscious, say they do not mind the move.                                                                                                                                                    The government says that one in six Malaysians is either overweight or obese. But it is not just because of the increasing number of fast food restaurants – Malaysian cuisine is also full of deep-fried, oily and spicy dishes. Parents like Saiful say it is very difficult to get Malaysians to eat more healthily: “Because our main food in Malaysia is coconut rice and everything in our foods must use coconut milk. Not so healthy, not healthy at all!”                                                                        One of the ways the government is trying to tackle obesity is to get Malaysians to take in less sugar. Since last year they have been running a campaign, but it has been very difficult. Roadside food stalls, which are hugely popular among Malaysian families, serve very sugary drinks. There is a sense that it would be very difficult for Malaysians to stop indulging their sweet tooth</t>
  </si>
  <si>
    <t>When Rafael Correa became president of Ecuador in January 2007, he was sworn in in unique style. The ceremony took place in the Andean town of Zumbahua and Mr. Correa wore an embroidered shirt typical of some highland villages. Shamans shook sacred herbs over his head to protect his “Citizens’ Revolution” from evil spirits. Then, some of the country’s indigenous leaders handed him a scepter with colorful ribbons to show they accepted him as president. “I will never fail you,” Mr. Correa promised. In a country where a quarter of the population is indigenous, he was the first president to be officially invested according to indigenous traditions.                                                                                                                                                                         But the same indigenous leaders are now considering taking back that scepter –a sign of how unpopular the president has become among those who helped him come to power in the first place. After an initial honeymoon period, Mr. Correa and indigenous groups have clashed over several issues. Indigenous organizations have marched against the government’s policies on mining, because they want the right to veto new projects on their ancestral land. They stalled the approval in Congress of a new water law, which would take control of irrigation away from individual communities and give it to a new state agency. The administration of justice in native areas has also been a bone of contention. In March, the Confederation of Indigenous Nationalities of Ecuador filed a lawsuit against President Correa and his government for alleged genocide of two native populations in the Amazon region - an accusation Mr. Correa dismissed as “ridiculous.”</t>
  </si>
  <si>
    <t>Wal-Mart has said it will soon bring back the sale of firearms, including rifles and shotguns, at more than 500 of its US stores. The retail giant stopped selling guns at hundreds of its 3,600 US stores in 2006, citing slumping consumer demand. But a spokesman said guns would return to the shelves as “part of the overall push to bring 8,000 products back.” Thursday’s news comes two months after Wal-Mart announced a seventh straight quarterly decline in US sales.                              Wal-Mart will be stocking more merchandise in a wide range of its stores in an effort to “offer customers the broadest assortment of our products possible,” spokesman Lorenzo Lopez told the BBC. He added that firearms would be part of that push, which he said had been planned for months. “A few years back...we were trying to streamline the assortment,” Mr. Lopez said, referring to the decision in 2006 to cease stocking firearms in many Wal-Mart stores. Wal-Mart currently sells rifles, shotguns and ammunition at about 1,000 of its locations in the US. That will rise to roughly half its 3,600 stores under the changes outlined on Thursday. Mr. Lopez said Wal-Mart was focusing on areas of the country where hunting and fishing are popular. Federally-tracked gun sales grew more than 12% in the first quarter of 2011. However, growth has mainly been seen in handguns, which Wal-Mart does not carry.</t>
  </si>
  <si>
    <t>A Mayan sculpture that fetched 2.9m Euros ($4.2m) at a Paris auction is a fake, Mexican officials believe. The French auction house Drouot maintains that the statue, of a masked figure carrying a shield, is genuine and more than 1,000 years old. But Mexico’s National Institute of Anthropology and History says it does not match the style of the period it was supposedly from. Another 66 pieces at Monday’s auction were also fakes, the institute said. The Mexican foreign ministry has informed French authorities.                                                                               “The figure tries to recreate the Pre-Columbian features of the Maya region in southeastern Mexico, but the height, the posture and the flexed legs and the boot straps are not characteristic of this culture,” the institute said. The institute suggested that it had been carefully carved to give an ancient appearance. But the expert in Pre-Columbian art at Drouot, Jacques Blazy, told AFP news agency: “Mexico’s accusations are totally ridiculous. They are completely baseless. It is a well-known artifact that has been thoroughly analyzed.” The 1.65m statue, sold by a private collector to an anonymous European buyer, was the most expensive item at the sale.</t>
  </si>
  <si>
    <t>Air traffic controllers in the US have been advised to take 26-minute naps, after a string of incidents involving workers falling asleep. So is 26 minutes the ideal length of time for a nap? Referring to a 1995 study from NASA which he co-authored, NTSB member and fatigue expert Mark Rosekind said that a 26-minute nap would improve performance by 34% and alertness by 54%. There was other supporting evidence that said naps of between 20 and 30 minutes were beneficial, he said. His call for work naps is supported by the controllers’ union, which wants naps to be allowed in both overnight and day shifts. Beyond the aviation industry, combating fatigue is an issue that affects many people across all professions, working day and night, although it carries obvious risks in jobs that involve motoring or machinery.                                                    But other experts are doubtful that 26 minutes is the optimum napping time. “It’s a bit too long and risks you falling into a deep sleep,” says Jim Horne, director of the Sleep Research Council in the UK, which advises the government on guidelines for drivers. “Once you get beyond 20 minutes, you risk a deep sleep and you can be much more groggy when you wake up. What we recommend is that a nap is combined with a cup of coffee so you have some caffeine, and that takes about 20 minutes to kick in. Have a cup of coffee and get your head down. Done together it has a more powerful effect. A lot of people take caffeine after they wake up, but you have a window of opportunity of 20 minutes, so it will help you wake up. It works, there’s no doubt about it.”</t>
  </si>
  <si>
    <t>A Chinese publisher is set to bring out the first ever authorized edition of Gabriel Garcia Marquez’s ‘ One Hundred Years of Solitude’ in Chinese, after winning the auction for the rights with a fee reported to be in excess of $1m. Pirated editions of the Nobel prize-winning author’s most famous novel have been rife in China for decades. The piracy so enraged Marquez on a visit to the country in 1990 that he swore that even 150 years after his death his books would not be authorized in China, according to Chinese newspaper, ‘The Global Times.’                                                                                                   But Thinkingdom House editor-in-chief Chen Mingjun refused to take no for an answer, writing a letter to the author in 2008 which according to the ‘Global Times’ read: “We must pay our respects to you across the Pacific Ocean, making every effort, shouting ‘great master!’ just like you did to your idol Hemingway across the streets in Paris… We believe you’d also wave your hand and shout back ‘Hello friend!’ just like Hemingway did.”                                                                       Thinkingdom House emerged triumphant from the auction for the Chinese rights in ‘One Hundred Years of Solitude’ which followed. It will publish the book this summer, and is also promising a crackdown on pirated editions of Marquez’s story of generations of the Buendia family.                                                                                                                                                                             Jo Lusby, managing director of Penguin China, which publishes the English language edition of ‘One Hundred Years of Solitude’, said the size of the advance had “already created an enormous amount of interest” in the novel, despite it being “widely available in pirated forms for a long time.” The deal, however, “does serve to demonstrate why China is at a fascinating point”, she added. “Even at a time when writers and artists (such as Ai Weiwei) are disappearing in crackdowns, publishers are bullish about the future, and it’s one of the few places in the world where you can attend the opening of a large-scale chain bookstore. (I went to one in Beijing two weekends ago),” she said.</t>
  </si>
  <si>
    <t xml:space="preserve">Germany’s dramatic rethink over nuclear power has thrown up new problems, as the consequences of a retreat from atomic technology emerge. Just after Japan’s Fukushima nuclear disaster in March, Chancellor Angela Merkel announced a review of energy policy and ordered Germany’s oldest reactors to be shut down immediately, and perhaps permanently. Only a few months earlier, she had decided to keep the reactors running past their original shutdown dates. But only now comes the hard bit. Power companies have warned of higher prices because of the shutdown; Germany has imported electricity to meet peaks in demand; analysts have warned that coal-fired power stations will be boosted – and nuclear ones in the nearby Czech Republic and France. And right in the heart of the country, protest groups are raising their voices as they realize that rejigging a country’s energy industry means redirecting the transmission lines through their picturesque backyard. The difficulty is that many of the threatened nuclear power stations are in the south, situated conveniently for the big energy users like the cities of Munich and Stuttgart and manufacturers like Volkswagen. If these southern nuclear generators are decommissioned, the idea is that wind farms in the north might take up the slack. But that implies new high-voltage cables with very high pylons to match. A new grid of high-voltage cables is proposed right through the heart of Germany. The route goes through the Rennsteig, the beautiful ridge of deep-green, forested hills that stretches for more than 160km down the centre of the country. It is where Germans come to hike in what they feel is the idyllic embodiment of their country.                                                                   Germany’s Economy Minister Rainer Bruederle said planning rules should be changed so that applications could be handled centrally. That would take decision-making further from the local opponents of particular projects and nearer to a national body. So Germany – like other countries repelled by nuclear power - now has some tough choices. Wind is not an easy, cheap, swift alternative. Another unpleasant fuel may be easier –but it is one which green activists hate: coal. Professor Claudia Kemfert, an energy economist at the Institute of Economic research in Berlin, thinks the Japanese disaster will boost coal all over the world. </t>
  </si>
  <si>
    <t>d) The writer believes that the issue involving doctors who treat the elderly should be handled at a later date</t>
  </si>
  <si>
    <t>d) Alter the traditional impression of Jordanians</t>
  </si>
  <si>
    <t>d) Says it is feasible that the micro-reactors will begin production in 2014</t>
  </si>
  <si>
    <t>d) ) The U.S. fails to reach the top of global measures of economic competitiveness</t>
  </si>
  <si>
    <t>d) Prohibit roadside food stalls</t>
  </si>
  <si>
    <t>d) President Correa’s government was found to have committed genocide of native    populations</t>
  </si>
  <si>
    <t>d) Is considered too costly for employers</t>
  </si>
  <si>
    <t>d) In regards to publishing, China is isolated from the rest of the world</t>
  </si>
  <si>
    <t>d) Activists are opposed to a national body making decisions about local issues</t>
  </si>
  <si>
    <t>d) The cost of visiting a doctor is lower than what it will be when the new legislation is carried out</t>
  </si>
  <si>
    <t>d) Even environmentalists consider opposition to nuclear power to be impractical</t>
  </si>
  <si>
    <t>d) Teenage girls approve of the obesity campaign</t>
  </si>
  <si>
    <t>d) President Correa refused a gift he was offered by the indigenous population</t>
  </si>
  <si>
    <t>d) Handguns are the most popular firearm that Wal-Mart sells</t>
  </si>
  <si>
    <t>d) The Mexican Foreign Ministry defended the authenticity of the statue</t>
  </si>
  <si>
    <t>d) A nap of 15 minutes will leave you feeling more tired than before</t>
  </si>
  <si>
    <t>d) It has only been possible to obtain an illegally produced copy of ‘One Hundred Years of Solitude</t>
  </si>
  <si>
    <t>d) An over-reliance on coal and difficulty in obtaining it</t>
  </si>
  <si>
    <t>a) Only wealthy Americans are covered by health insurance</t>
  </si>
  <si>
    <t>a) Bill Gates’ stance on the nuclear issue is the same as that of environmentalists</t>
  </si>
  <si>
    <t>a) The ageing population in the U.S will exceed that of China and Japan</t>
  </si>
  <si>
    <t>a) It depends on the judge as to whether a noncitizen is deported after committing a crime</t>
  </si>
  <si>
    <t>a) Malaysians have difficulty eating sweet food.</t>
  </si>
  <si>
    <t>a) President Correa has fallen out of favor with the indigenous population</t>
  </si>
  <si>
    <t>a) Wal-Mart is selling firearms again due to customer demand</t>
  </si>
  <si>
    <t>a) A French art expert informed authorities that the statue was false</t>
  </si>
  <si>
    <t>a) It is inadvisable to drink coffee before a nap</t>
  </si>
  <si>
    <t>a) It has not been possible to obtain a copy of ‘One Hundred Years of Solitude.</t>
  </si>
  <si>
    <t>a) A reduction in power prices</t>
  </si>
  <si>
    <t>b) Been absolved of committing crimes while sleepwalking</t>
  </si>
  <si>
    <t>b) Emulate the British tradition of publishing April Fools’ Day jokes in the press</t>
  </si>
  <si>
    <t>b) The U.S. is experiencing a renewed growth as a result of its past</t>
  </si>
  <si>
    <t>c) ) The U.S. will experience a decline in economic growth</t>
  </si>
  <si>
    <t>b) Note statistics on the weight of pupils</t>
  </si>
  <si>
    <t>c) Start a campaign about the dangers of sugar</t>
  </si>
  <si>
    <t>b) The government of Ecuador was not invited to attend a summit on minority rights</t>
  </si>
  <si>
    <t>c) Indigenous communities have contested a water law</t>
  </si>
  <si>
    <t>b) Has received union support</t>
  </si>
  <si>
    <t>c) Is considered a danger to people involved in jobs with motoring or machinery</t>
  </si>
  <si>
    <t>b) Book publishers in China are not subdued by the crackdowns</t>
  </si>
  <si>
    <t>c) The publication of ‘One Hundred Years of Solitude’ is not likely to create much interest in China</t>
  </si>
  <si>
    <t>b) Local organizations could make decisions involving the energy sources in their areas</t>
  </si>
  <si>
    <t>c) Use of coal could become widespread</t>
  </si>
  <si>
    <t xml:space="preserve">1) The article affirms that currently:                                                                                                              </t>
  </si>
  <si>
    <t>2) We can conclude from the article that;</t>
  </si>
  <si>
    <t>3) According to the writer, the frightening part of his situation is that</t>
  </si>
  <si>
    <t>4)The writer refers to criminal cases in which suspects have:</t>
  </si>
  <si>
    <t>5) We could say that Samuel Mendoza</t>
  </si>
  <si>
    <t xml:space="preserve">6) The Bolivian Government wishes to: </t>
  </si>
  <si>
    <t xml:space="preserve">7) The game company Mattel is going to: </t>
  </si>
  <si>
    <t>8) Mattel expects that;</t>
  </si>
  <si>
    <t>9) From the general reaction to the April Fool’s Day report, we could conclude that many of the Jafr townspeople are:</t>
  </si>
  <si>
    <t>10) It seems that in Jordan there are efforts to:</t>
  </si>
  <si>
    <t>11) The writer points out that:</t>
  </si>
  <si>
    <t>12) Bill Gates’ company, Terra-power:</t>
  </si>
  <si>
    <t xml:space="preserve">13) According to what is stated in the article, in the future it is expected that: </t>
  </si>
  <si>
    <t xml:space="preserve">14) The writer believes that: </t>
  </si>
  <si>
    <t xml:space="preserve">15) According to Justice John Paul Stevens: </t>
  </si>
  <si>
    <t xml:space="preserve">16) In conclusion, it appears that Mr.Padilla’s case has led to: </t>
  </si>
  <si>
    <t xml:space="preserve">17) The writer suggests that: </t>
  </si>
  <si>
    <t>18) The writer concludes by pointing out that:</t>
  </si>
  <si>
    <t xml:space="preserve">19) We can conclude from the report that; </t>
  </si>
  <si>
    <t xml:space="preserve">20) In the future, the Malaysian government intends to; </t>
  </si>
  <si>
    <t>21) The report informs us that;</t>
  </si>
  <si>
    <t>22) An issue that has caused problems between President Correa and indigenous groups is that;</t>
  </si>
  <si>
    <t xml:space="preserve">24) According to the report; </t>
  </si>
  <si>
    <t xml:space="preserve">25) According to the Sleep Research Council; </t>
  </si>
  <si>
    <t>26) The idea of initiating naps at work;</t>
  </si>
  <si>
    <t>27) In China, until now</t>
  </si>
  <si>
    <t>28) According to Jo Lusby, managing director of Penguin China;</t>
  </si>
  <si>
    <t xml:space="preserve">29) One of the side effects of shutting down Germany’s nuclear power stations could be; </t>
  </si>
  <si>
    <t xml:space="preserve">30) It has been suggested that; </t>
  </si>
  <si>
    <t>c) Does not require that safety procedures be applied</t>
  </si>
  <si>
    <t>b) He performed hip surgery on Tiger Woods</t>
  </si>
  <si>
    <t>b) Shocked about the election of Caroline Lucas</t>
  </si>
  <si>
    <t>c) Enraged about the election of Caroline Lucas</t>
  </si>
  <si>
    <t>d) Indifferent about the election of Caroline Lucas</t>
  </si>
  <si>
    <t>c) Decisions are best made when everything appears flexible</t>
  </si>
  <si>
    <t>d) Decisions made now will be easy to change later on</t>
  </si>
  <si>
    <t>a) Professional obligations</t>
  </si>
  <si>
    <t>b) Academic responsibilities</t>
  </si>
  <si>
    <t>c) Artistic abilities</t>
  </si>
  <si>
    <t>d) Medical problems</t>
  </si>
  <si>
    <t>a) Social changes in China are the result of the expanding economy</t>
  </si>
  <si>
    <t>b) China’s population is now predominantly urban</t>
  </si>
  <si>
    <t>a) The majority of self-employed people in New York are immigrants</t>
  </si>
  <si>
    <t>b) Self-employed US natives are more likely to enjoy long-term success than self-employed immigrants</t>
  </si>
  <si>
    <t>c) Self-employed immigrants are more likely to succeed in business than self-employed US natives</t>
  </si>
  <si>
    <t>a) The satellite launch experienced a setback</t>
  </si>
  <si>
    <t>b) The satellite will investigate how the planet is affected by people</t>
  </si>
  <si>
    <t>c) The satellite was launched successfully on the second attempt</t>
  </si>
  <si>
    <t>a) They needed to eat meat</t>
  </si>
  <si>
    <t>b) Their teeth needed to replace themselves</t>
  </si>
  <si>
    <t>c) They experienced many tooth infections</t>
  </si>
  <si>
    <t>a) That Canada has the largest quantity of oil reserves</t>
  </si>
  <si>
    <t>d) Canada will deny the U.S. A. access to the oil by pipeline</t>
  </si>
  <si>
    <t>a) The accounts given by Galea’s assistant could become a problem for Rodriguez</t>
  </si>
  <si>
    <t>b) Galea’s assistant denied that Rodriguez was dosed with a mixture of drugs</t>
  </si>
  <si>
    <t>c) Galea’s assistant administered the mixture of drugs to Rodriguez</t>
  </si>
  <si>
    <t>d) Galea’s assistant does not wish to be identified</t>
  </si>
  <si>
    <t>b) Sell rune and casting stones in the local market</t>
  </si>
  <si>
    <t>c) Sew rune and casting stones for the local market</t>
  </si>
  <si>
    <t>a) Lied in order to avoid serving in Vietnam</t>
  </si>
  <si>
    <t>b) Falsely claim to have served in Vietnam</t>
  </si>
  <si>
    <t>a) China’s population has declined rather than increased over the past ten years</t>
  </si>
  <si>
    <t>b) Fewer Chinese now work in factories than previously</t>
  </si>
  <si>
    <t>c) More Chinese are working away from home than previously</t>
  </si>
  <si>
    <t>d) The unemployment rate in China is increasing</t>
  </si>
  <si>
    <t>a) The wider availability of industrial jobs</t>
  </si>
  <si>
    <t>b) It is easier to obtain the finance needed to start a business</t>
  </si>
  <si>
    <t>c) The available property is inexpensive</t>
  </si>
  <si>
    <t>a) The patriotic pride of India’s citizens</t>
  </si>
  <si>
    <t>b) Support from NASA</t>
  </si>
  <si>
    <t>c) The success of its first manned space flight</t>
  </si>
  <si>
    <t>d) Reductions in spending by NASA</t>
  </si>
  <si>
    <t xml:space="preserve">23) Which of the following is true? </t>
  </si>
  <si>
    <t>D. I do not have the stamina to do what he did</t>
  </si>
  <si>
    <t>A. They will have to take a credit card to the U.S.A</t>
  </si>
  <si>
    <t>A. Mrs. Peters made an offer of $500 for the grandfather clock</t>
  </si>
  <si>
    <t>B. My cousin is also Welsh</t>
  </si>
  <si>
    <t>B. Mrs. Peters wanted to buy the grandfather clock for her family</t>
  </si>
  <si>
    <t>D. Both her uncle and his son come from Wales</t>
  </si>
  <si>
    <t>D. He’s not here yet</t>
  </si>
  <si>
    <t>C. The grandfather clock Mrs. Peters inherited was sold for five hundred dollars</t>
  </si>
  <si>
    <t>C. In some countries, it’s difficult to get a credit card</t>
  </si>
  <si>
    <t>C. The boss called about the meeting</t>
  </si>
  <si>
    <t>A. Pat is acting like a child tonight</t>
  </si>
  <si>
    <t>A. It has not rained since spring</t>
  </si>
  <si>
    <t>C. I don’t believe it will rain in October</t>
  </si>
  <si>
    <t>D. Pat doesn’t mind Jill’s baby</t>
  </si>
  <si>
    <t>D. It has not stopped raining for a while</t>
  </si>
  <si>
    <t>D. Paul has the necessary qualifications for the job</t>
  </si>
  <si>
    <t>D. The man's sister works daily in the country</t>
  </si>
  <si>
    <t>D. That she is learning to be a secretary</t>
  </si>
  <si>
    <t>D. He thought the movie was disappointing</t>
  </si>
  <si>
    <t>D. The batteries couldn’t be flat</t>
  </si>
  <si>
    <t>D. He will return the manual when he has finished</t>
  </si>
  <si>
    <r>
      <t xml:space="preserve">D. The media has helped to make the </t>
    </r>
    <r>
      <rPr>
        <i/>
        <sz val="11"/>
        <color theme="1"/>
        <rFont val="Arial"/>
        <family val="2"/>
      </rPr>
      <t xml:space="preserve">reki-jo </t>
    </r>
    <r>
      <rPr>
        <sz val="11"/>
        <color theme="1"/>
        <rFont val="Arial"/>
        <family val="2"/>
      </rPr>
      <t>popular</t>
    </r>
  </si>
  <si>
    <t>B. They wouldn’t let the survivors contact anyone</t>
  </si>
  <si>
    <t>D.  They provided a comfortable hotel for the survivors right away</t>
  </si>
  <si>
    <t>A.   He had been advised to marry his cousin</t>
  </si>
  <si>
    <t>C. His marriage to his first cousin affected his  health</t>
  </si>
  <si>
    <t>B. Their emotional profile doesn’t differ significantly from non-hoarders</t>
  </si>
  <si>
    <t>C.   Irene  is a hoarder who got rid of clutter to keep her husband</t>
  </si>
  <si>
    <t>D. In general, hoarders can’t get out of their houses</t>
  </si>
  <si>
    <t>A. Khodorkovsky is still the richest man in Russia</t>
  </si>
  <si>
    <t>B. The Yukos Oil Company once controlled 20% of the world’s oil</t>
  </si>
  <si>
    <t>C. Water systems are always well- maintained in the US</t>
  </si>
  <si>
    <t>D. Gleik’s book is causing problems in the US</t>
  </si>
  <si>
    <t>A. Two sets of twins met in a hotel</t>
  </si>
  <si>
    <t>B. There were two weddings</t>
  </si>
  <si>
    <t>C. The two brides wore different wedding dresses</t>
  </si>
  <si>
    <t>D. The twins were easy to tell apart</t>
  </si>
  <si>
    <t>B. She asked a newspaper to film her</t>
  </si>
  <si>
    <t xml:space="preserve">B. Seniesa’s father had been in street gangs in his youth </t>
  </si>
  <si>
    <t>C. Seniesa used to go to boxing matches when she was little</t>
  </si>
  <si>
    <t>D. Seneisa’s father thinks boxing is not for girls</t>
  </si>
  <si>
    <t xml:space="preserve">B. It is advisable for teenagers to delay drinking alcohol </t>
  </si>
  <si>
    <t>D. Alcohol abuse causes brain cells to develop</t>
  </si>
  <si>
    <t>A. To sell cereal the milk must be fresh</t>
  </si>
  <si>
    <t>C. If the ad is for milk, the milk can be real or digital</t>
  </si>
  <si>
    <t>C. Gas –pricing regulations in India do not affect the stock markets</t>
  </si>
  <si>
    <t>A. Caesar’s image was calculated to transmit specific qualities</t>
  </si>
  <si>
    <t>B. Caesar  introduced football to ancient Rome</t>
  </si>
  <si>
    <t>C. The bronze head of Caesar is in a gallery in Rome</t>
  </si>
  <si>
    <t>D. The tousled hair makes Caesar look old</t>
  </si>
  <si>
    <t>B. Michael Palin wanted to see a series of different landscapes</t>
  </si>
  <si>
    <t>C. The journey took more than a year</t>
  </si>
  <si>
    <t>D. Extreme weather made the journey difficult</t>
  </si>
  <si>
    <t>A. Pay-by-phone parking means people save money</t>
  </si>
  <si>
    <t>B. Pay-by-phone parking has been the norm in Europe for a long time</t>
  </si>
  <si>
    <t>24. Which of the following statements is correct according to what you have heard?</t>
  </si>
  <si>
    <t xml:space="preserve">27. What can be deduced from the extract about Charles Darwin? </t>
  </si>
  <si>
    <t>28. What can be deduced about hoarders from the experts?</t>
  </si>
  <si>
    <t>29. Which of the following statements is correct according to what you have heard?</t>
  </si>
  <si>
    <t>32. Which statement is true about Sarah Ferguson according to what you have heard?</t>
  </si>
  <si>
    <t>34. Which of the following statements is correct according to the extract?</t>
  </si>
  <si>
    <t>35. Choose the correct statement</t>
  </si>
  <si>
    <t>36. Which statement is true according to what you have heard?</t>
  </si>
  <si>
    <t>37. What can be deduced from the extract?</t>
  </si>
  <si>
    <t>38. What can be deduced from the extract?</t>
  </si>
  <si>
    <t>39. Which of the following statements is correct?</t>
  </si>
  <si>
    <t>40. Which of the statements is true according to what you have heard?</t>
  </si>
  <si>
    <t>B. McGregor didn’t finish the race</t>
  </si>
  <si>
    <t>A. McGregor beat O’Malley</t>
  </si>
  <si>
    <t>C. O'Malley beat McGregor</t>
  </si>
  <si>
    <t>RENOVADO JUN 11</t>
  </si>
  <si>
    <t>A. A visa is always necessary when you travel</t>
  </si>
  <si>
    <t>B. If the ad is for cereal, the milk doesn't have to be real</t>
  </si>
  <si>
    <t xml:space="preserve">President Nicolas Sarkozy admitted France’s “error of judgement” but stopped short of an apology in connection with the Rwandan 1994 genocide during his visit to the country on Thursday, aimed at kicking off a new era of diplomacy. French President Nicolas Sarkozy admitted Thursday at a joint press conference in Kigali with his Rwandan counterpart, Paul Kagame, that France had made “mistakes” at the time of the 1994 Rwandan genocide, in which 800,000 people, mainly from Kagame’s Tutsi minority were killed.                                                                                                                                                                      “What happened here is unacceptable, (and) compels the international community, including France, to reflect on the mistakes that stopped it from preventing and halting this abominable crime,” the French president told reporters.                                                                                                          The French leader also visited the main genocide memorial in Kigali. He observed a minute’s silence in front of one of the mass graves containing the remains of some 250,000 people and laid a wreath.                                                                                                                                                             The 1994 genocide arose from a complicated and long-standing conflict between Rwanda’s two main ethnic groups, the Tutsis and the Hutus. The man who held the post of Rwandan president at the time, Juvènal Habyarimana, was a Hutu who supported Hutu interests. He died on April 6, 1994, when his plane was shot down from the sky in an apparent assassination. The Hutus promptly blamed the Tutsis, unleashing the mass slaughter of Tutsis over the course of the following months. Sarkozy’s visit—the first by a French president to Rwanda since the genocide—marks an important step in the reconciliation between the two countries. In the past, Kagame has repeatedly accused Paris of aiding the genocide. </t>
  </si>
  <si>
    <t>Awalu Mohamed was one of the first to arrive in the mining village of Kuru Karama to discover burned human remains and corpses thrown into communal wells and sewage pits.                                          “There are so many, many corpses,” says Mr Mohamed, of the Jamatu Nasril Islam aid group. “We went to one family and found the entire family there, 20-something of them, including the small, small kids. All of them burned to ashes,” he says. He covers his eyes. He and other aid workers realized they were overwhelmed.                                                                                               Around the village, more bodies are being found every day. Those who tried to run from the gangs were hunted and cut down with machetes and guns around the settlement. Many people are still living in temporary shelters in and around Jos.                                                                        Most of the people I met were Hausa-speaking Muslims but Christian groups say they were also attacked by mobs.                                                                                                                                               The B.B.C. drove through burned out suburbs, villages and tiny settlements. The Bukuru Markets area-once a roaring hive of shops-is now a blackened bonfire under a blue sky. At least 1,000 businesses here were burned.                                                                                                           Jos sits on a tense dividing line between Nigeria’s mostly Hausa-speaking Muslim north, and the south where the majority is Christian or practice traditional religions. The town is predominantly Christian, with Hausa Muslims in the minority. But people here respect faith. Everyone insists this violence is not about religion. It is about politics, they say.                                                      Jos has an ugly history of violence at election times. Local politicians are accused of orchestrating violence to rig elections and intimidate their rivals.                                                                           “I want the government to intervene on this,” says Chibuzou Aghande, a Christian attending an emotional church service in Nassarawa, a few hundred yards from where the first troubles started. Worshippers spilled outside the church and hundreds packed the pews inside. “Our diversity is meant to create harmony, not disharmony,” Archbishop Ignatius Kaigama told them. “Your gifts as a Christian should be put to good use so the Muslim can benefit. Your gifts as a Muslim should be put to good use so the Christian can benefit.”</t>
  </si>
  <si>
    <t>In a valedictory speech to the Association of School and College leaders, its general secretary, John Dunford, has suggested that a modern culture of “instant gratification” has made the job of teachers “immensely harder than it was even 10 years ago.” Tutored by television talent contests and online gaming, today’s  students, he argued, have come to expect instant results and are easily frustrated by anything which doesn’t deliver an immediate sense of progress. This raises a fairly substantial question about the “impatience” of today’s schoolchildren. Is it a culturally induced pathology which must be corrected by the application of old-fashioned kinds of hard work, as Dr Dunford himself seemed to hint by describing pupils as living in “a celebrity-dominated society where success appears to come instantly and without any real effort”? Or is it a justified frustration at teaching which has failed to keep pace with developments in the modern world? To put it another way, are they failing us- as several of the news reports implicitly hinted-or are we failing them? There’s a big difference, after all, between saying “the competition for children’s attention is stronger than it’s ever been” and saying “children just can’t concentrate any longer.” For those worried that it’s the latter rather than the former, I would offer two notes of caution. The first would be that anyone who believes that computer games offer no tuition in deferred gratification or the unbreakable connection between effort and reward has never watched a child playing one. You might prefer your 14 year-old to pour as many hours into a real guitar as they seem willing to do into a virtual one-but that they are still capable of drudgery in pursuit of perfection is undeniable. It suggests that with the right kinds of rewards-with genuinely playful teaching, for example-extraordinary things could be achieved. There isn’t an inherent problem with their powers of concentration.                                                                                                                                                            The second point would be this: how far do today’s schoolchildren really have to look to encounter a system which is impatient of slow development and careful nurture? They are subject to an education system that seems to insist on instant results, as narrowly defined and inflexible as a poorly defined video game. Frankly, if they’re a little impatient and demanding in return I’m not entirely surprised.</t>
  </si>
  <si>
    <t>I read with great sadness about the Desarmes family who, after the terrible quake there, left Haiti to go and stay with their eldest son in….Chile. Having now survived two huge quakes, they are living in the garden in understandable fear of another. Spared the appalling experience of the Desarmeses , I am currently staying at the top of a very high building in Alamaty, the former capital of Kazakhstan and getting more and more paranoid about earthquakes. These seem to be happening all over the globe at the moment and Almaty is in a high risk area. The whole city was destroyed by a huge earthquake in 1911 with only one building, the wooden Cathedral of Holy Ascension, surviving. Locals at the time believed that the spiritual nature of the building spared it, but scientists (they always ruin this kind of stuff) now feel the unique wooden construction of the cathedral had allowed it to expand and absorb the shock.                                                                                                                                          Modern day Almaty arose out of the ruins- a tree-lined Soviet city built on an efficient grid system. The state department has ranked the earthquake threat here as a level 4 (the highest it assigns.) Locals expect another big one at any time.                                                                                        Almaty has not been lucky with Nature. The city sits right under the beautiful Tien Shan mountain range whose snow-capped peaks of more than 4,000 metres form a wonderful backdrop. Unfortunately, the mountains seem keen to visit the city. A huge mudslide hit Almaty in 1921, causing great loss of life, and you still come across huge boulders that lie around like embarrassed conquerors.                                                                                                                All this is too much information for a visitor as I wandered about the city trying to avoid the odour of freshly grilled horse shashlik. I jumped nervously every time a large lorry roared past, and flinched whenever an angry babushka slammed a door. After a while, I decided that vodka was the answer. It worked wonders. After a couple of toasts in honour of my parents, my Labrador…..my TV….I was blissfully unconcerned about the possibilities of a quake.</t>
  </si>
  <si>
    <t xml:space="preserve">Nubia Legarda is a young woman from El Paso, Texas and Students for Sensible Drug Policy member. Just one year ago, she gave evidence to her city council urging them to pass a resolution on the violence in the Mexican border city of Juarez, and to promote a national debate over drug legalization. While the resolution was initially passed, a number of representatives changed their minds after receiving pressure from the federal government, fearing that funding to the city would be cut in the event it passed.                                                             Nubia has been unable to visit family in Juarez out of fear for the violence that is a daily feature of life there. She is just one of millions of young people around the world whose lives have been caught up in the war on drugs. Last Thursday, people around the world lit candles to remember 16 young people who were murdered at a student house party in Juarez. They were celebrating when gunmen drove up to their house and opened fire on their victims. It is suspected that they mistook the address for that of a rival drugs gang.                                                            Last week, the El Paso city council passed a resolution to condemn the gang violence in Juarez, calling for a presidential summit on the drug war. Deleted from that motion again was a paragraph calling for the legalized regulation of cannibas by the US government. Clearly, the elimination of a major source of income from the cartels through the regulation of sales would remove much of the profit incentive for impoverished but unscrupulous individuals to risk their lives and liberty by getting involved in a dangerous criminal empire, the product of global drug prohibition. </t>
  </si>
  <si>
    <t>General Santos, the Philippines – After a day of barbering, Rodolfo Gregorio went to his neighborhood karaoke bar still smelling of talcum powder. Putting aside his glass of Red Horse extra strong beer, he grasped a microphone with a habitue’s self-assuredness and briefly stilled the room with the Platter’s “My Prayer.”Next, he belted out crowd-pleasers by Tom Jones and Engelbert Humperdinck. But Mr. Gregorio, 63, a witness to countless fistfights and occasional stabbings erupting from disputes over karaoke singing did not dare choose one beloved classic: Frank Sinatra’s version of “My Way”. “I used to like “My Way”, but after all the trouble, I stopped singing it,” he said. “You can get killed.”                                                                                           The authorities do not know exactly how many people have been killed warbling “My Way” in karaoke bars over the years in the Philippines, or how many fatal fights it has fueled. But the news media have recorded at least half a dozen victims in the past decade and includes them in a subcategory of crime dubbed the “My Way” killings. The killings have produced urban legends about the song? Whatever the reason, many karaoke bars have removed the song from their playbooks. And the country’s many Sinatra lovers, like Mr. Gregorio here in this city in the southernmost Philippines, are practicing self-censorship out of perceived self-preservation.</t>
  </si>
  <si>
    <t xml:space="preserve">Shantytown residents fear that housing minister’s plan for satellite mapping could lead to expulsions. The people of the Hanuman Masdoor slum have enough to worry about already. If the women work at all, they are poorly paid cleaners. Most of the men are scavengers, gleaning a pitiful living from recycling the waste of Delhi’s 14 million inhabitants. Raw sewage flows past the homes-built over an open drain in the west of the city – and children play amid the rubbish and flies.                                                                                                                                                                 Now, the 1,000 families who live in the shantytown have fresh problems. The national government has announced an unprecedented initiative: mapping India’s slums. Though ministers claim the scheme will make life better for slum-dwellers, the inhabitants of Hanuman Masdoor are worried.                                                                                                                                       Supporters of the plan say it will allow municipal authorities to provide basic utilities where they are lacking and plan education and health services. But critics say the data gathered by the survey, almost certainly the biggest of its kind anywhere, will simply open up new opportunities for India’s notoriously aggressive land mafia.                                                                                The plan is ambitious. According to official statistics, a seventh of India’s urban population lives in the shanty towns. In cities such as Mumbai the proportion is much higher. The country’s slums-the result of huge influxes from poverty-stricken rural areas into the cities- have seen anarchic and unplanned growth. Using detailed images shot from satellites, the government aims to establish once and for all where India’s slums are and how many people live in them. </t>
  </si>
  <si>
    <r>
      <t>On February 11 1990, in one of the transcendent movements of the 20</t>
    </r>
    <r>
      <rPr>
        <vertAlign val="superscript"/>
        <sz val="11"/>
        <color theme="1"/>
        <rFont val="Calibri"/>
        <family val="2"/>
        <scheme val="minor"/>
      </rPr>
      <t>th</t>
    </r>
    <r>
      <rPr>
        <sz val="11"/>
        <color theme="1"/>
        <rFont val="Calibri"/>
        <family val="2"/>
        <scheme val="minor"/>
      </rPr>
      <t xml:space="preserve"> century, Nelson Mandela walked free from a jail in South Africa and gave hope to the world. It was one of those rare events that suspend our disbelief that human nature can ever change, that some crisis are not intractable, that in the end might does not always prevail . Twenty years on, the world has rarely been so in need of another Mandela moment.                                                                 Some imagined that this would be the age when globalization would conquer all. Humankind’s various tribalisms, of nationalism and religion, of race and color, would be made irrelevant on a wired-up planet where communication was instant and all enveloping. It has not been so. In this February of 2010, the old tribalisms appear stronger than ever, and beyond anyone’s power to control. The release of Mandela, combined with the collapse of communism in Eastern Europe, had seemed to signal the triumph of democracy. Today, by most accepted indices, freedom is on the retreat across the world and repression again on the advance. By their nature, tribalism and nationalism find it almost impossible to see beyond the interests of the group. That leads all too often to the view that one’s own group is automatically right and the others are wrong. Nelson Mandela was different. Tribes and nations have prejudices and grudges hardwired into their systems. They cannot forgive. But Mandela could, even after almost three decades in prison.                                                                                                                                                           Post-Mandela South Africa of course has not magically become a Utopia where every tribalism has vanished. Crime and corruption are rife. Tribalism and nationalism have driven human history, and probably they always will. Nonetheless, humanity would perish without hope, and every so often, something happens, or someone emerges, to renew that hope-to inspire us to believe that it need not always be so, that our species can become better. This is the domain of miracles and heroes. This is the domain in other words, of Nelson Mandela.</t>
    </r>
  </si>
  <si>
    <t>Tess Pennington, 33, is a mother of three children, and lives in the sprawling outskirts of Houston, Texas. But she is not taking the happy safety of her suburban existence lightly. Like a growing army of fellow Americans, Pennington is learning how to grow her own food, has stored emergency rations in her home and is taking courses on treating sickness with medicinal herbs. “I feel safe and more secure. I have taken personal responsibility for the safety of myself and my family,” Pennington said. “We have decided to be prepared. There are all kinds of disasters that can happen, natural and man-made.”                                                                                             Pennington is a “prepper”, a growing social movement that has been dubbed Survivalism Lite. Preppers believe that it is better to be safe than sorry and that preparing for disaster –be it a hurricane or the end of civilization –makes sense. Unlike the 1990’s survivalists, preppers come from all backgrounds and live all over America. They are just as likely to be found in a suburb or downtown loft as a remote ranch in the mountains. Prepping networks, which have sprung up all over the country in the past few years, provide advice on how to prepare food reserves, how to grow crops in your garden, how to hunt and how to defend yourself. There are prepping books, online shops, radio shows, countless blogs, prepping courses and prepping conferences.                                                                                                                                                          There are several reasons for the rise in prepping. The first is that, in the post 9/11 world, mass terror attacks have become a fear for many Americans. At a time when US diplomacy is focused on preventing Iran getting nuclear weapons and terror experts continue to warn of “dirty bombs” on American soil, it is no surprise that many Americans feel threatened. Added to that paranoia has come the recession. Suddenly, millions of Americans have been losing their jobs and their homes, reinforcing a feeling that society is not as stable as it once seemed</t>
  </si>
  <si>
    <t xml:space="preserve">15.  According to the article, John Dunford suggested in his speech that teaching is now more difficult than previously because;   </t>
  </si>
  <si>
    <t>21. Some of the city council representatives were reluctant to pass the resolution because;</t>
  </si>
  <si>
    <t xml:space="preserve">23. From the first paragraph in the article, we can assume that; </t>
  </si>
  <si>
    <t>25. The inhabitants of the Hanuman Masdoor slum;</t>
  </si>
  <si>
    <t>27. The article suggests that;</t>
  </si>
  <si>
    <t xml:space="preserve">29. Tess Pennington; </t>
  </si>
  <si>
    <t xml:space="preserve">22. The article states that; </t>
  </si>
  <si>
    <t>24. The article suggests that;</t>
  </si>
  <si>
    <t xml:space="preserve">26. The slums; </t>
  </si>
  <si>
    <t>28. The effect of Mandela has been;</t>
  </si>
  <si>
    <t xml:space="preserve">30. From the article we can assume; </t>
  </si>
  <si>
    <t>c) Inundated.</t>
  </si>
  <si>
    <t>a) Burnt</t>
  </si>
  <si>
    <t>c) Improvised</t>
  </si>
  <si>
    <t>a) They were worried about losing financial support</t>
  </si>
  <si>
    <t>b) They were worried about escalating gang violence</t>
  </si>
  <si>
    <t>c) They are opposed to the federal government</t>
  </si>
  <si>
    <t>d) They are active in the “war on drugs.”</t>
  </si>
  <si>
    <t>a) The audience enjoyed Rodolfo Gregorio’s version of “My Prayer.”</t>
  </si>
  <si>
    <t>b) No-one listened to Rodolfo Gregorio singing “My Prayer.”</t>
  </si>
  <si>
    <t>c) Rodolfo Gregorio is not a good singer</t>
  </si>
  <si>
    <t>d) There was no-one in the room when Rodolfo Gregorio sang “My Prayer.”</t>
  </si>
  <si>
    <t>a) Can see the benefits of the satellite mapping scheme</t>
  </si>
  <si>
    <t>b) Are worried they will have to leave their homes</t>
  </si>
  <si>
    <t>c) All work as cleaners</t>
  </si>
  <si>
    <t>d) Practice recycling</t>
  </si>
  <si>
    <t>a) Globalization has been the solution to the world’s ills</t>
  </si>
  <si>
    <t>b) Nationalism is disappearing</t>
  </si>
  <si>
    <t>c) Tribalists have a tendency to be prejudiced</t>
  </si>
  <si>
    <t>d) Democracy is due to the collapse of communism</t>
  </si>
  <si>
    <t>a) Has an emergency supply of food in her home</t>
  </si>
  <si>
    <t>b) Believes a disaster is imminent.</t>
  </si>
  <si>
    <t>c) Has taken up hunting</t>
  </si>
  <si>
    <t>d) Is planning to leave her suburban home</t>
  </si>
  <si>
    <t>a) The resolution that was passed called for the legalization of cannibas in the US</t>
  </si>
  <si>
    <t>b) A presidential summit on the drug war was held</t>
  </si>
  <si>
    <t>c) If cannibas were legalized in the US, drug dealers would lose money</t>
  </si>
  <si>
    <t>d) If cannibas were legalized in the US, the war on drugs would become more dangerous</t>
  </si>
  <si>
    <t>a) Frank Sinatra is not popular in the Philippines</t>
  </si>
  <si>
    <t>b) Frank Sinatra has performed in the Philippines</t>
  </si>
  <si>
    <t>c) A lot of Filipino karaoke bars don’t feature “My Way” anymore</t>
  </si>
  <si>
    <t>d) A lot of Filipino Karaoke bars widely feature “My Way.”</t>
  </si>
  <si>
    <t>a) Sprang up spontaneously</t>
  </si>
  <si>
    <t>b) Have managed to get the criminal element under control</t>
  </si>
  <si>
    <t>c) Are developing basic services and facilities</t>
  </si>
  <si>
    <t>d) Are providing new employment opportunities</t>
  </si>
  <si>
    <t>a) That South Africa has become a Utopia</t>
  </si>
  <si>
    <t>b) That South Africa has become more corrupt</t>
  </si>
  <si>
    <t>c) That South Africa no longer has tribes</t>
  </si>
  <si>
    <t>d) That humanity has renewed hope</t>
  </si>
  <si>
    <t>a) ‘Preppers’ are usually military people</t>
  </si>
  <si>
    <t>b) ‘Prepping’ began in response to the 9/11 terrorist attacks</t>
  </si>
  <si>
    <t>c) ‘Preppers’ usually live in remote locations</t>
  </si>
  <si>
    <t>d) Many Americans fear further terrorist attacks</t>
  </si>
  <si>
    <t>a) It has a history of political stability</t>
  </si>
  <si>
    <t>c) It has a large supply of diamonds and a growing diamond industry</t>
  </si>
  <si>
    <t>d) Poverty has been eliminated</t>
  </si>
  <si>
    <t>a) The illnesses patients had were found to be unrelated to smoking</t>
  </si>
  <si>
    <t>b) They had refused to treat certain patients</t>
  </si>
  <si>
    <t>c) Hospital funds were not found to be badly affected</t>
  </si>
  <si>
    <t>d) The tobacco companies were found to be losing profits</t>
  </si>
  <si>
    <t>a) Higher rainfall</t>
  </si>
  <si>
    <t>b) Lower rainfall</t>
  </si>
  <si>
    <t>c) Increased warmth</t>
  </si>
  <si>
    <t>d) A drop in temperatures</t>
  </si>
  <si>
    <t>a) The population of pink dolphins increased more rapidly after the drought</t>
  </si>
  <si>
    <t>b) The population of pink dolphins increased more rapidly before the drought</t>
  </si>
  <si>
    <t>c) The pink dolphin has been listed as an endangered species</t>
  </si>
  <si>
    <t>d) The number of grey dolphins has decreased</t>
  </si>
  <si>
    <t>a) Has caused protests</t>
  </si>
  <si>
    <t>b) Has been greeted with enthusiasm everywhere</t>
  </si>
  <si>
    <t>c) Has met with a mixed reaction</t>
  </si>
  <si>
    <t>d) Was initiated by artists and writers</t>
  </si>
  <si>
    <t>b) Has an extensive background in mining</t>
  </si>
  <si>
    <t>c) Has been convicted of selling mine assets it doesn’t own</t>
  </si>
  <si>
    <t>d) Has to pay the workers’ unions a lot of money</t>
  </si>
  <si>
    <t>a) Attract more foreign investors</t>
  </si>
  <si>
    <t>b) Develop their agricultural sectors</t>
  </si>
  <si>
    <t>c) Export more commodities</t>
  </si>
  <si>
    <t>d) Provide more jobs</t>
  </si>
  <si>
    <t>a) Replace existing seed varieties with new ones</t>
  </si>
  <si>
    <t>b) Try to adapt crop production to new climatic conditions</t>
  </si>
  <si>
    <t>c) Reduce worldwide food prices</t>
  </si>
  <si>
    <t>d) Direct investments in agriculture to largely populated areas</t>
  </si>
  <si>
    <t>a) Absinthe was never been sold legally</t>
  </si>
  <si>
    <t>b) Absinthe was sold under special conditions</t>
  </si>
  <si>
    <t>c) The sale of absinthe caused an increase in alcoholism</t>
  </si>
  <si>
    <t>d) Absinthe was drunk straight</t>
  </si>
  <si>
    <t>a) Belle-Ile-en-Mer has contrasting landscape</t>
  </si>
  <si>
    <t>a) The popular stereotype of US soldiers in Iraq was found to be true</t>
  </si>
  <si>
    <t>a) Expected the Indian troops to be hospitable</t>
  </si>
  <si>
    <t>b) Belle-Ile-en-Mer has a greater number of inhabitants than tourists</t>
  </si>
  <si>
    <t>b) Suggests that the Indian military bases are modeled on British ones</t>
  </si>
  <si>
    <t>c) The French are trying to attract more visitors to Belle-Ile-en-Mer</t>
  </si>
  <si>
    <t>c) Will give up searching for a Professor of Poetry</t>
  </si>
  <si>
    <t>c) The Indian soldiers have reservations about whether their mission in the Congo is effective</t>
  </si>
  <si>
    <t>c) Expects the Indian soldiers to receive recognition for their work in the Congo</t>
  </si>
  <si>
    <t>D. Agriculture all over the world is maintained by them</t>
  </si>
  <si>
    <t>D. The BBC combats torture in Europe</t>
  </si>
  <si>
    <t>C. The speaker did not like the singer very much</t>
  </si>
  <si>
    <t>C. They can affect rainfall in far-away regions</t>
  </si>
  <si>
    <t>B. Regional hydrology is only slightly affected by them</t>
  </si>
  <si>
    <t>A. Tourists had to walk down 1000 flights of stairs</t>
  </si>
  <si>
    <t>A. A large percentage of people have a bank account</t>
  </si>
  <si>
    <t>A. They have little impact on regions near them</t>
  </si>
  <si>
    <t>26. What did Transocean do in the hours after the blast?</t>
  </si>
  <si>
    <t>EXAMEN 100/MP3/Q-11 EXAMEN 100.mp3</t>
  </si>
  <si>
    <t>EXAMEN 100/MP3/Q-12 EXAMEN 100.mp3</t>
  </si>
  <si>
    <t>EXAMEN 100/MP3/Q-13 EXAMEN 100.mp3</t>
  </si>
  <si>
    <t>EXAMEN 100/MP3/Q-14 EXAMEN 100.mp3</t>
  </si>
  <si>
    <t>EXAMEN 100/MP3/Q-15 EXAMEN 100.mp3</t>
  </si>
  <si>
    <t>EXAMEN 100/MP3/Q-16 EXAMEN 100.mp3</t>
  </si>
  <si>
    <t>EXAMEN 100/MP3/Q-17 EXAMEN 100.mp3</t>
  </si>
  <si>
    <t>EXAMEN 100/MP3/Q-18 EXAMEN 100.mp3</t>
  </si>
  <si>
    <t>EXAMEN 100/MP3/Q-19 EXAMEN 100.mp3</t>
  </si>
  <si>
    <t>EXAMEN 100/MP3/Q-20 EXAMEN 100.mp3</t>
  </si>
  <si>
    <t>EXAMEN 100/MP3/Q-21 EXAMEN 100.mp3</t>
  </si>
  <si>
    <t>EXAMEN 100/MP3/Q-22 EXAMEN 100.mp3</t>
  </si>
  <si>
    <t>EXAMEN 100/MP3/Q-23 EXAMEN 100.mp3</t>
  </si>
  <si>
    <t>EXAMEN 100/MP3/Q-24 EXAMEN 100.mp3</t>
  </si>
  <si>
    <t>EXAMEN 100/MP3/Q-25 EXAMEN 100.mp3</t>
  </si>
  <si>
    <t>EXAMEN 100/MP3/Q-26 EXAMEN 100.mp3</t>
  </si>
  <si>
    <t>EXAMEN 100/MP3/Q-27 EXAMEN 100.mp3</t>
  </si>
  <si>
    <t>EXAMEN 100/MP3/Q-28 EXAMEN 100.mp3</t>
  </si>
  <si>
    <t>EXAMEN 100/MP3/Q-29 EXAMEN 100.mp3</t>
  </si>
  <si>
    <t>EXAMEN 100/MP3/Q-30 EXAMEN 100.mp3</t>
  </si>
  <si>
    <t>EXAMEN 100/MP3/Q-31 EXAMEN 100.mp3</t>
  </si>
  <si>
    <t>EXAMEN 100/MP3/Q-32 EXAMEN 100.mp3</t>
  </si>
  <si>
    <t>EXAMEN 100/MP3/Q-33 EXAMEN 100.mp3</t>
  </si>
  <si>
    <t>EXAMEN 100/MP3/Q-34 EXAMEN 100.mp3</t>
  </si>
  <si>
    <t>EXAMEN 100/MP3/Q-35 EXAMEN 100.mp3</t>
  </si>
  <si>
    <t>EXAMEN 100/MP3/Q-36 EXAMEN 100.mp3</t>
  </si>
  <si>
    <t>EXAMEN 100/MP3/Q-37 EXAMEN 100.mp3</t>
  </si>
  <si>
    <t>EXAMEN 100/MP3/Q-38 EXAMEN 100.mp3</t>
  </si>
  <si>
    <t>EXAMEN 100/MP3/Q-39 EXAMEN 100.mp3</t>
  </si>
  <si>
    <t>EXAMEN 100/MP3/Q-40 EXAMEN 100.mp3</t>
  </si>
  <si>
    <t>EXAMEN 103/MP3/Q-1.mp3</t>
  </si>
  <si>
    <t>EXAMEN 103/MP3/Q-2.mp3</t>
  </si>
  <si>
    <t>EXAMEN 103/MP3/Q-3.mp3</t>
  </si>
  <si>
    <t>EXAMEN 103/MP3/Q-4.mp3</t>
  </si>
  <si>
    <t>EXAMEN 103/MP3/Q-5.mp3</t>
  </si>
  <si>
    <t>EXAMEN 103/MP3/Q-6.mp3</t>
  </si>
  <si>
    <t>EXAMEN 103/MP3/Q-7.mp3</t>
  </si>
  <si>
    <t>EXAMEN 103/MP3/Q-8.mp3</t>
  </si>
  <si>
    <t>EXAMEN 103/MP3/Q-9.mp3</t>
  </si>
  <si>
    <t>EXAMEN 103/MP3/Q-10.mp3</t>
  </si>
  <si>
    <t>EXAMEN 103/MP3/Q-11.mp3</t>
  </si>
  <si>
    <t>EXAMEN 103/MP3/Q-12.mp3</t>
  </si>
  <si>
    <t>EXAMEN 103/MP3/Q-13.mp3</t>
  </si>
  <si>
    <t>EXAMEN 103/MP3/Q-14.mp3</t>
  </si>
  <si>
    <t>EXAMEN 103/MP3/Q-15.mp3</t>
  </si>
  <si>
    <t>EXAMEN 103/MP3/Q-16.mp3</t>
  </si>
  <si>
    <t>EXAMEN 103/MP3/Q-17.mp3</t>
  </si>
  <si>
    <t>EXAMEN 103/MP3/Q-18.mp3</t>
  </si>
  <si>
    <t>EXAMEN 103/MP3/Q-19.mp3</t>
  </si>
  <si>
    <t>EXAMEN 103/MP3/Q-20.mp3</t>
  </si>
  <si>
    <t>EXAMEN 103/MP3/Q-21.mp3</t>
  </si>
  <si>
    <t>EXAMEN 103/MP3/Q-22.mp3</t>
  </si>
  <si>
    <t>EXAMEN 103/MP3/Q-23.mp3</t>
  </si>
  <si>
    <t>EXAMEN 103/MP3/Q-24.mp3</t>
  </si>
  <si>
    <t>EXAMEN 103/MP3/Q-25.mp3</t>
  </si>
  <si>
    <t>EXAMEN 103/MP3/Q-26.mp3</t>
  </si>
  <si>
    <t>EXAMEN 103/MP3/Q-27.mp3</t>
  </si>
  <si>
    <t>EXAMEN 103/MP3/Q-28.mp3</t>
  </si>
  <si>
    <t>EXAMEN 103/MP3/Q-29.mp3</t>
  </si>
  <si>
    <t>EXAMEN 103/MP3/Q-30.mp3</t>
  </si>
  <si>
    <t>EXAMEN 103/MP3/Q-31.mp3</t>
  </si>
  <si>
    <t>EXAMEN 103/MP3/Q-32.mp3</t>
  </si>
  <si>
    <t>EXAMEN 103/MP3/Q-33.mp3</t>
  </si>
  <si>
    <t>EXAMEN 103/MP3/Q-34.mp3</t>
  </si>
  <si>
    <t>EXAMEN 103/MP3/Q-35.mp3</t>
  </si>
  <si>
    <t>EXAMEN 103/MP3/Q-36.mp3</t>
  </si>
  <si>
    <t>EXAMEN 103/MP3/Q-37.mp3</t>
  </si>
  <si>
    <t>EXAMEN 103/MP3/Q-38.mp3</t>
  </si>
  <si>
    <t>EXAMEN 103/MP3/Q-39.mp3</t>
  </si>
  <si>
    <t>EXAMEN 103/MP3/Q-40.mp3</t>
  </si>
  <si>
    <t xml:space="preserve"> Bath is in the southwest of England, about a hundred miles from London I guess -  a couple of hours on the train. The Romans liked it because of the hot springs – hot water that comes up from the ground. So they built baths there, you know public baths using the hot water. You can’t swim but you can drink the water. . Drink It? .Yes..drink it. It’s good for you. It’s got loads of minerals and stuff in it .. What does taste like? ..Absolutely disgusting!
1. What can be said about the water in Bath?
</t>
  </si>
  <si>
    <t xml:space="preserve">Smoking kills more Americans than AIDS, drug abuse, car accidents and crime.
Did you know that 390,000 Americans die each year from cigarette smoking? Smoking tobacco causes 1 out of 6 deaths. Smoking can also cause some very serious diseases. Some people become addicted to smoking. 
Lung cancer has caused more deaths in women than breast cancer. If a pregnant woman smokes, she has a greater chance of medical problems with her baby. 
Cigarette smoking is the number one cause of cancer death in men. Male smokers over the age of 35 are more likely to die from smoking-related diseases like lung cancer.
Many children start smoking before they reach high school. They run the risk of smoking most of their lives. They could die of smoking-related diseases.
2. What can be said about smoking?
</t>
  </si>
  <si>
    <t xml:space="preserve">Hello Robbie hello Tess. Hi Martin ..and where are you from? ..I’m from Glasgow, the biggest city in Scotland. But Glasgow isn’t the capital city is it? No. Edinburgh is the capital city but Glasgow is a lot bigger and we call it the shopping capital of Scotland. We’ve got great shops in Glasgow ..it’s a great city. I’d like to visit sometime … I’m the king of shopping. Ask Tess.. she knows.
3. What can be understood from the dialogue?
</t>
  </si>
  <si>
    <t>EXAMEN 103(SCRIPT)</t>
  </si>
  <si>
    <t>1. She is a cousin of my uncle Percy, who comes from Wales.</t>
  </si>
  <si>
    <t>2. The disease spread faster than the authorities thought it would.</t>
  </si>
  <si>
    <t>3. Mrs. Peters was offered $500 for her family heirloom.</t>
  </si>
  <si>
    <t xml:space="preserve">4. There’s a lot of red tape to getting a visa for some countries.  </t>
  </si>
  <si>
    <t>6. He’s yet to arrive late to the office.</t>
  </si>
  <si>
    <t>7. It’s time my car was serviced.</t>
  </si>
  <si>
    <t>8. However long it takes, I’ll keep looking till I find him.</t>
  </si>
  <si>
    <t>9. Pat’s minding Jill’s baby tonight.</t>
  </si>
  <si>
    <t>10. I can’t believe it’s still raining and now we’re in October.</t>
  </si>
  <si>
    <t>11. I would not dare to do what he just did.</t>
  </si>
  <si>
    <t>12. Paul lacked the necessary credentials for the job.</t>
  </si>
  <si>
    <t xml:space="preserve">13. W- I hear your sister has gone to the country to work.
M- Yes. She’s working on a dairy farm.
What can be deduced from this conversation?
</t>
  </si>
  <si>
    <t xml:space="preserve">14. M- Who won the formula 1 race? 
W- McGregor was overtaken on the last lap by O’Malley.
 What does the woman reply?
</t>
  </si>
  <si>
    <t xml:space="preserve">15. M- By the way, are you what’s-his-name’s new secretary?
W- Billy Redford? And I’m not sure if “secretary” is the right word. He’s training me before he goes.
What does the woman imply?
</t>
  </si>
  <si>
    <t xml:space="preserve">16. W-Don’t forget to pick up the dry cleaning when you’ve got a moment.
M- I don’t know if I can. I have a really busy schedule.
What can be deduced from this conversation?
</t>
  </si>
  <si>
    <t xml:space="preserve">17. W- Hey Nick. Did you like the new Hugh Grant movie?
M- Of course. I thought it was hysterical. I haven’t been let down by one of his movies yet.
What can be deduced from this conversation?
</t>
  </si>
  <si>
    <t xml:space="preserve">18. W- I just can’t get this radio to work.
M- Did you check to make sure the batteries aren’t flat?
What can be deduced from this conversation?
</t>
  </si>
  <si>
    <t xml:space="preserve">19. M- Do we now need a visa to go to the U.S.A. on holiday? 
W- I’ll check with the embassy. It’s better to be safe than sorry.
What can be deduced from this conversation?
</t>
  </si>
  <si>
    <t xml:space="preserve">20. W- Could I borrow your instruction manual? I seem to have misplaced mine.
M- Of course. Make sure you give it back to me when you’re done.
What can be deduced from this conversation?
</t>
  </si>
  <si>
    <t xml:space="preserve">21. Hollywood Report
A low-budget war film that's failed to find large audiences beat off a ground-breaking fantasy epic that's the biggest money earner in cinema history. The Hurt Locker about bomb disposal teams in Iraq won six awards including best picture, and Kathryn Bigelow became the first woman to win the Oscar for best director. She paid tribute to members of the armed services in her acceptance speech.
Meanwhile her ex-husband, the film-maker James Cameron, had to be content with three awards out of nine nominations, for his sci-fi blockbuster Avatar.
.
What can be said about the film ‘the Hurt Locker”?
</t>
  </si>
  <si>
    <t xml:space="preserve">22. The youngest  air traffic controller
JFK Airport in New York is one of the largest airports in the country, handling nearly a thousand take-offs and landings a day. But just after 8pm on the 16th of February, there was somebody else in the control tower directing air traffic and giving instructions to pilots.
Recording from air traffic control:
Boy: JetBlue  one seventy-one (171)  clear for take off.
Pilot: Clear for take off JetBlue one seventy-one (171).
The boy was speaking to an airbus A320 heading for Sacramento. The child's father, who is a certified controller, brought his son to work and then put him to work as well.
The Federal Aviation Administration, which regulates America's airports, hasn't released the names of the controllers involved but it's not treating it as a joke. It's investigating the controller, as well as his supervisor. Both have been relieved of their duties.
How did the Federal Aviation Administration react to this situation?
</t>
  </si>
  <si>
    <t xml:space="preserve">23. Radioactive dump location
In the next six years nuclear waste that Australia sent to Europe for reprocessing will be returned but officials in Canberra have yet to decide where to put it.
Muckaty Station, an isolated property a hundred and twenty kilometers (120) from Tennant Creek in the Northern Territory, has been chosen as a possible site. Local Aborigines have offered to sell the land for eleven million dollars,  a move that has infuriated other indigenous groups in the area.
 Ministers have indicated that the nuclear dump won't be built if landowners opposed it. Critics believe that recent earthquakes in that part of the Northern Territory have raised questions about the safety of the sites. The Australian Greens have said that radioactive waste should be stored at the country's only nuclear facility on the outskirts of Sydney.
What can be said about the possible location of the radioactive waste dump?
</t>
  </si>
  <si>
    <t xml:space="preserve">24. The history girls or reki-jo
In Japan, there's been a recent surge in visitors to shoguns castles, samurai battle re-enactments and history bookstores. Besides being history buffs, many of these visitors have something else in common: they're women. NPR’s Anthony Khun reports from Tokyo on the rise of the history girls.
“One of the more public faces of the reki-jo, or history girls, is a fashion model named Anne. She's the daughter of actor Ken Watanabe, and she goes by just one name. She's carved out a niche for herself writing and speaking about history and history buffs. 
Reki-jo all have their favorite historical periods and characters. Speaking in a Tokyo cafe, Anne says hers is the Shinsengumi, the elite swordsmen of Japan's last shogun. 
Ms. ANNE (Fashion Model): (Through translator) The Shinsengumi is popular among Japanese girls because its members were all young, in their teens to early-30s. They changed Japan. The interesting part of their era is that we can see some photos of them, so we can imagine them better and feel closer to them. This history gives courage to young people today. 
KUHN: In TV dramas, the Shinsengumi are all played by popular, young male actors. The reki-jo history girls idolize these historical figures like rock stars. 
(Soundbite of music) 
KUHN: Ryo Watanabe, no relation to Anne, is one of the media and marketing entrepreneurs who have helped build the reki-jo phenomenon. He created this music, a Web site, TV shows and a bar for reki-jo to congregate. Watanabe explains that history girls populate both virtual and actual worlds. 
Mr. RYO WATANABE: (Through translator) The virtual ones just play games and follow individual characters. The real ones start with games, but they also do research, read books and visit historical sites. These are the real history girls. 
Which of the following statements is correct according to what you have heard?
</t>
  </si>
  <si>
    <t xml:space="preserve">25. Jessica’s world record
After more than six months at sea Jessica Watson is in the final stretch of her epic voyage around the globe. She’s hoping to reach Sydney Harbour later this month a couple of days shy of her seventeenth birthday.
But although there’s no question that she’s circumnavigated the globe, sailing experts say she hasn’t gone far enough to claim the record of being the youngest person to sail solo non-stop and unassisted around the world.
The influential Sail World website has praised her heroic achievement but is a stickler for the rules of what it calls “true circumnavigation”. “To have achieved that”, it says, “the teenager should have sailed much farther north into the Atlantic to a point in line with France, rather than simply crossing the Equator and then returning south.”
           What is the reaction of sailing experts to Jessica’s achievement?
</t>
  </si>
  <si>
    <t xml:space="preserve">26. Oil Spill in the Gulf of Mexico
Interior Secretary Ken Salazar has ordered a brief halt to new offshore drilling permits while cleanup efforts continue along the Gulf Coast.
First, in the hours right after the blowout, lawyers for the rig's owner, Transocean, asked workers who had survived the blast to sign form letters about what they had seen and whether they'd been injured -  all of this before they'd even been allowed to see their families. Now, some of those survivors say they were coerced. 
Joseph Shapiro of NPR's investigative unit explains. 
JOSEPH SHAPIRO: The explosion set off a massive fire on the oil rig. Eleven men would die, more than a hundred would run to the lifeboats to save their lives. ....But what's got some of the survivors angry is how the owner of the oil rig, Transocean, is now applying legal pressure to the men who escaped in those lifeboats. Lawyers for the survivors say the men were kept on the water in boats and on another rig for 15 hours or more. When they finally got to shore, they were secluded in a hotel for many more hours and they still hadn't been able to see their family, and for many, even telephone loved ones to say they were safe. 
What did Transocean do in the hours after the blast?
</t>
  </si>
  <si>
    <t xml:space="preserve">27. Charles Darwin
Presenter: Charles Darwin famously wrote about how the most robust  plants are the product of crossbreeding and that plants inbreeding or self- fertilization often carries a risk of producing a diseased species. Well it turns out he didn’t take his own advice. Darwin married his first cousin, Emma Wedgewood..
.. Now I understand that  Darwin’s work with plants made him suspicious about the effects of inbreeding in humans. Is that right? 
Professor;  Yes. Uh..again, Charles Darwin is ahead of his time in virtually everything that he does. He was a brilliant person and he....he was data driven. He did these experiments in his greenhouse at Down and showed that cross- fertilization was infinitely superior to self- fertilization. This worried him with regard to his family because his children had, you know, minimal problems but they often seemed to be ill and Charles worried about this. Did his consanguineous marriage contribute to this? 
What can be deduced from the extract about Charles Darwin?
</t>
  </si>
  <si>
    <t xml:space="preserve">29. A rich man in Russia
A prison in Siberia has been home to Mikhail Khodorkovsky since late 2003. He used to be Russia's richest  man. And now, he may be its most famous political prisoner.  
RAZ: Can you remind us, you know, sort of at least officially, why he was convicted in 2005? 
Ms. GLASSER: Well, this is a big story about Russia after the collapse of the Soviet Union. In the 1990s, a whole new category of businessmen rose up out of nowhere. There was a massive privatization, a sell-off of state assets. Mikhail Khordorkovsky was one of the guys who got rich by privatizing state assets and he became the richest man in Russia. He had billions of dollars. He controlled two percent of the world's oil. 
His Yukos Oil Company was built out of different pieces of the Russian state that had been sold off to him at, of course, very advantageous prices. He paid way under market, almost  fire sale prices. This was, of course, incredibly controversial. His category of oligarchs, as they were called, they ruled not only the Russian economy but also Russian politics under Boris Yeltsin. They rose to the height of power inside the Kremlin. 
Which of the following statements is true according to what you have heard?
</t>
  </si>
  <si>
    <t xml:space="preserve">31. The twins - Hunny and Elliot Reiken remember
Time now for StoryCorps, recording conversations between everyday people. 
Today, a love story that began in the Catskills. It was the summer of 1946. Hunny Feller and her identical twin sister, Bunny, were waitresses at a hotel. Another set of identical twins, Elliott and Danny Reiken, worked as musicians in a band there. At StoryCorps, Hunny and Elliott recalled what happened when the twins met the twins. 
Mr. ELLIOTT REIKEN: When we met, you and your sister couldn't tell us apart and we couldn't tell you two apart. 
Ms. HUNNY REIKEN: But by the end of the summer there was no chance of separating us, and we had a double wedding. You and I were married the same day as Bunny and Danny were married. And it was two brides, two grooms, one set of parents for each. The gowns were identical gowns. The flowers were identical. 
Mr. REIKEN: We both went on our honeymoon to Miami Beach by different trains... 
Which of the following statements is true according to what you have heard?
</t>
  </si>
  <si>
    <t xml:space="preserve">32. Sarah Ferguson
She's not normally camera-shy but a tired-looking Sarah Ferguson avoided reporters on herarrival at Los Angeles airport. And again later when she was due to be the star of a Hollywood red-carpet event, honoured by a children's charity for her humanitarian work. But her efforts to help others have been overshadowed by her attempts to help herself and Miss Ferguson sneaked in to collect her award.
She has said she's sorry after a newspaper secretly filmed her offering access to Prince Andrew for half a million pounds. There's no suggestion he knew of her plan.
In the past Sarah Ferguson has been an author, TV presenter and film producer. But her media company recently collapsed with large debts. She admitted money problems but said they were no excuse for a serious lapse in judgement. This attempted deal, though not illegal, may have gone too far.
Rajesh Mirchandani, BBC News
Which statement is true about Sarah Ferguson according to what you have heard?
</t>
  </si>
  <si>
    <t xml:space="preserve">33. The girl boxer
It is Friday, and time for another conversation from StoryCorps. 
Today, a story born in an East L.A. boxing gym. It comes from 17-year-old Seniesa Estrada and her father, Joe. Seniesa is an amateur boxing champion, about to turn pro. Her father, Joe, is a former gang member who gave up that life to become Denise's coach. 
Here, they talk about how she got her start in the ring when she was eight years old. 
Ms. SENIESA ESTRADA: I was watching a boxing fight one day with you and my brother. I mean, I don't know too many eight-year-old girls that would look at a boxing fight and think it's fun. But for some reason, I did. 
Mr. JOE ESTRADA: She said, hey, dad, do girls box? And I'm like, yes. A few minutes later, she says, can I box? And I'm like, sure, baby, you can box. All right, will you take me to the gym? I say, yeah. A month went by... 
Ms. ESTRADA: Maybe even like two months went by .. 
 Which statement is correct according to what you have heard?
</t>
  </si>
  <si>
    <t xml:space="preserve">34. Teenage drinking
MICHELLE TRUDEAU: Researchers say that the longer a teenager delays drinking alcohol, the safer it is for the teen's brain. That's because the adolescent brain is still growing. Brain cells are still developing well into the mid-20s in brain areas that control decision making and problem solving. 
Research from Susan Tapert at the University of California, San Diego shows that heavy drinking can cause physical changes to these parts of the teen brain long after the intoxication wears off. 
Professor SUSAN TAPERT (Psychiatry, University of California, San Diego): We've seen that adolescents who engage in binge drinking - so that's having five or more drinks on an occasion for boys, or four or more drinks on an occasion for females - tend to show some brain abnormalities in their brain's white matter, so those fibers that connect different parts of the brain. 
TRUDEAU: And if binge drinking continues a couple of times a month, within two to three years, Tapert says, it can result in subtle declines in the teen's thinking. . 
Which of the following statements is correct according to the extract?
</t>
  </si>
  <si>
    <t xml:space="preserve">37. The head of Caesar Augustus
Presenter; I’m looking into the eyes of one of the most famous leaders in the History of the World - Caesar Augustus, the first Roman Emperor. We have his bronze head here in the Roman Galleries in the British Museum and tarnished as it is it radiates charisma and raw power. 
Contributor 1; Well he was about the greatest politician the world has ever seen. If you wanted to have a first eleven of the world’s leading politicians, most accomplished diplomats and ideologues of all time, you’d have Augustus as your kind of mid-field play-maker. Captain of the Eleven.
Presenter:  The curling hair is short and boyish. Slightly tousled but it’s a calculated tousled. One that clearly took a long time to arrange - because this is an image that’s been carefully constructed, projecting just the right mix of youth and authority, beauty and strength, will and power. 
What can be deduced from the extract?
</t>
  </si>
  <si>
    <t xml:space="preserve">38. Pensioners’ revolt
In Germany, if you think your financial advisor has been giving you bad advice and messing up your investments, you can complain to the regulators, you can go to the police. But in Bavaria, one group of pensioners stands accused of employing a much more direct method of registering their dissatisfaction. They're on trial for kidnapping their financial advisor and holding him hostage.
Four senior citizens, aged between 63 and 79, had invested nearly three and a half million dollars in the US property market and lost it all in the sub-prime mortgage meltdown. They'd concluded that the man who'd handled the investment should now reimburse them. According to prosecutors, last summer the pensioner posse plus one accomplice abducted the financial advisor outside his house, tied him, gagged him, put him in a box and transported him in the boot of a car 450 kilometres to a lakeside retreat. He claims to have spent four days locked in the cellar there and to have been tortured. After agreeing to their demands, the prisoner was allowed to send a fax to Switzerland arranging
payment. He concealed the phrase 'call the Police' in the text and the alarm was raised. Soon after a crack team of commandos came to the rescue.
On the opening day of the trial, the 74 year old alleged ringleader of the gang avoided using the word 'kidnap'. He said he and his co-defendants had only wanted to treat their guest to a couple of days holiday in Bavaria
What can be deduced from the extract?
</t>
  </si>
  <si>
    <t>1. The G8 summit ended without achieving any significant advances.</t>
  </si>
  <si>
    <t xml:space="preserve">2. There was a possibility of the presence of unexploded ordnance in the field. </t>
  </si>
  <si>
    <t>EXAMEN 4 SCRIPT</t>
  </si>
  <si>
    <t>3. The submarine was forced to surface after a SONAR malfunction.</t>
  </si>
  <si>
    <t xml:space="preserve">4. Civilian contractors need clearance to enter the base. </t>
  </si>
  <si>
    <t>5. It's too bad the plan didn't work out.</t>
  </si>
  <si>
    <t>6. We'd better fill up now, we're nearly on empty.</t>
  </si>
  <si>
    <t xml:space="preserve">7. The mechanic has his hands filled with the work orders. </t>
  </si>
  <si>
    <t>8. The plans for the new buildings are innovative and energy efficient.</t>
  </si>
  <si>
    <t xml:space="preserve">9. A row broke out between reporters at the press conference.  </t>
  </si>
  <si>
    <t>10. IBM was bought out after the crash.</t>
  </si>
  <si>
    <t xml:space="preserve">11. W- I can’t believe how well Jimmy speaks Italian!
M- You’d become fluent if you spent as much time in Italy as he has.
What can be inferred from this conversation?
</t>
  </si>
  <si>
    <t xml:space="preserve">12. W- Hello Ben. Long time no see. Have you been away?
M- Hello Rita. Yes. I’ve been in France trying to brush up on my French.
W- French! I knew you had studied some languages in the past but I never knew French interested you.
M- Oh yes. I’ve been a closet francophile for years. After first learning Spanish and German.
W- How interesting. Tell me. When did the language bug bite?
M- Well I started learning Spanish at high school but it wasn’t until university that I became well and truly hooked.
Q- What does the man mean?
</t>
  </si>
  <si>
    <t xml:space="preserve">14. M - Has there been any progress at the meeting? 
W – The negotiations were stalled after both sides failed to cooperate.
What does the woman mean? 
</t>
  </si>
  <si>
    <t xml:space="preserve">36. Sibling rivalry – gas pricing dispute
The case involves the terms of a deal under which Reliance Industries was to supply Reliance Natural Resources, headed by Mukesh Ambani's brother Anil, with a pre-agreed amount of gas for 17 years at a rate 44% below the rate set by the government.
But the court order stated that the government has a right to fix a price for the gas, and that two individuals cannot decide the price of a national asset. The court asked the two brothers to thrash out a fresh agreement within six weeks.
The five-year battle between the billionaire brothers has dominated national news and the verdict in favour of the country's most valuable company is expected to influence trading in the stock markets. 
Which statement is true according to what you have heard?
</t>
  </si>
  <si>
    <t xml:space="preserve">39. Journey through the  Andes
Presenter: Michael, the Andes are the world’s longest mountain range, more than seven thousand miles. How long did it take you and how did you travel?
Michael Palin: Well it’s not quite so long as seven thousand but then…..
Presenter; Oh, is it not?
Michael Palin: It’s only four and a half thousand I’m afraid.
Presenter: Oh right. Sorry.
Michael Palin: But it’s still the longest mountain range …. Ah … no it took me actually six months to … to do the whole journey. That’s almost without stopping. And I went back to several of the countries, but the idea was to have a continuous journey and to feel what it was like …. to witness all the changes. And also I love the idea of seeing a succession of sublime landscapes. I love extremes. I love deserts. I love ice-fields and you’ve got everything in the Andes and there’s  …
Which of the following statements is correct?
</t>
  </si>
  <si>
    <t xml:space="preserve">40. The end of parking metres
If you're one of those drivers who always has a quarter in your pocket except when you have to park at a meter, take heart. This spring, Washington, D.C., rolled out a pilot program that allows drivers to use their cell phones instead of having to fish for change. 
As Jacob Fenston reports, this technology may mean the parking meter's time is about to expire. 
 FENSTON: D.C. isn't the first city to try this out. In fact, according to AAA, 54 towns and cities in the U.S. are already using some kind of pay-by-phone parking. And in Europe, it's quickly becoming the norm. Last year, the London borough of Westminster got rid of its last coin-operated parking meters. 
Mr. KIERAN FITSALL (Parking Manager, Westminster): We sold some to enthusiasts, put some on eBay. We donated some to museums. 
FENSTON: Kieran Fitsall is Westminster's parking manager. He says when pay-by-phone went borough wide, there were instant savings. 
Mr. FITSALL: Well, I mean, the instant savings were from theft. 
FENSTON: Thieves had been stealing over $200,000 from Westminster parking meters each week. But now, there's nothing to steal. About 90 percent of parking is paid for by phone; the rest at credit card machines. 
Which of the statements is true according to what you have heard?
</t>
  </si>
  <si>
    <t xml:space="preserve">13. M- What has happened to the troops?
W- They were stranded because their supply chain was broken.
            What does the woman mean? 
</t>
  </si>
  <si>
    <t xml:space="preserve">15. M – Question 10 was hard. Did you get it right? 
W – I was totally stumped.
What does the woman mean?
</t>
  </si>
  <si>
    <t xml:space="preserve">16. M - This economic downturn has me totally stressed out.
W – I’ll say. These are turbulent times.
What does the woman mean?
</t>
  </si>
  <si>
    <t xml:space="preserve">17. M - Is the new diner’s food any good? 
W – I’d say it’s a stretch to call what they serve food.
What does the woman mean?
</t>
  </si>
  <si>
    <t xml:space="preserve">18. M - Did you like that deal that I.G.T. offered us in the meeting? 
W- I don’t know. I think I smelled a rat.
What did the woman mean? 
</t>
  </si>
  <si>
    <t xml:space="preserve">19. M- Should I pick up eggs while I’m at the store? 
W- Only if we’ve finished off the ones in the fridge.
What will the man probably do? 
</t>
  </si>
  <si>
    <t xml:space="preserve">20. M -  I don’t think I’ll take the position they offered me.
W – I understand. Just make sure you don’t shoot yourself in the foot.
            What does the woman mean?
</t>
  </si>
  <si>
    <t xml:space="preserve">21. United Nations vs President of Iran
The President of Iran made charges that were incendiary even for him today. The Americans in the room at the United Nations got up and walked out. President Obama’s earlier offer of resumed dialogue was rebuffed so what does this mean for the US attempt to curb Iran’s nuclear ambitions? 
What happened to president Obama’s offer to Iran?
</t>
  </si>
  <si>
    <t xml:space="preserve">22. News
Inquests into the deaths of the fifty-two victims of the seven / seven London bombings opened today. The Coroner, Lady Justice Hammet has already said that they’ll investigate the alleged failings of MI5 in the run up to the attacks on the seventh of July 2005. She said she has a duty to help the families understand fully how their relatives died.
What will be investigated?
</t>
  </si>
  <si>
    <t xml:space="preserve">23. US Health care
Insurance company phone lines were burning up today (we experience a brief delay) as people tried to get information about their new health care options. We got on the phone too – “ I heard that today I could add my 25-year-old child to the plan” That’s your right starting today. The cost at one health plan we reached  - a rate hike from $130 a month to  $182 a month – a forty percent increase
What caused the phone lines to be so busy?
</t>
  </si>
  <si>
    <t xml:space="preserve">24. Rapa Nui – Easter Island
Today we’re on an island far out in the Pacific Ocean. It’s about half the size of the Isle of Wight. It’s 1200 miles from the nearest inhabited island and it’s 2000 miles from the nearest land mass. It’s Rapa Nui, Easter Island, the most remote inhabited island, not just in the Pacific but in the world. Not surprisingly it took human beings a long time to get there. The people of the southern Pacific ocean, the Polynesians, were  without question, the greatest open - ocean voyagers in the history of the world and their ability to move in double- holed canoes over the vast expanses of the Pacific is truly one of the greatest achievements of humanity.
Which of the statements below is true according to what you have heard?
</t>
  </si>
  <si>
    <t xml:space="preserve">25. Teresa Lewis
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
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
</t>
  </si>
  <si>
    <t xml:space="preserve">26. Dividing up the Artic
Russia and Norway may have just signed a deal forty years in the making on which bits of the oil-and-gas-rich  Barin Sea belong to whom. The two sides even call each other partners. Norway’s in NATO and the Russian President says that NATO’s presence in the Artic is to be viewed with quite serious tension.
Which of the following statements is correct?
</t>
  </si>
  <si>
    <t xml:space="preserve">28. Ming Banknote
That ability to convince others to believe in something they can’t see but wish to be true is a terrific trick. Take the first paper money. Someone in China printed a value on a piece of paper and asked everyone else to agree with them, that that paper was actually worth what it said it was. The paper notes you could say, like the Darling children in Peter Pan, were supposed to be “as good as gold” or  in this case “as good as copper” – literally worth the number of copper coins printed on the note. The whole modern banking system of paper and credit is built on this one simple act of faith. Paper money is truly one of the revolutionary inventions of human history.
What does paper money depend on?
</t>
  </si>
  <si>
    <t xml:space="preserve">27. Bomb at military Parade
According to Iranian media accounts the bomb was planted or attached to a tree in the spectator area of a military parade which is held – well they are held every year at this time – to mark the anniversary of the Iran-Iraq war. So those people who were killed were not members of the military but were spectators - mostly women and children
Which statement is true according to what you have heard?
</t>
  </si>
  <si>
    <t xml:space="preserve">29. Bosnia Elections
There are no lyrics in the Bosnian national anthem - just one sign of how hard it is for the country's three ethnic groups to agree on anything. The Dayton Agreement produced a complex government structure based on two ethnic entities. Voters will cast ballots for numerous presidents, prime ministers and parliaments. 
Travelling through Bosnia, one finds segregated communities. Very few refugees have returned home, and many younger people have never met a member of the other ethnic groups.
What can be said about Bosnia?
</t>
  </si>
  <si>
    <t xml:space="preserve">30. Societe Generale
He painted himself as a pawn in a system that drove him to take risks. But today the court ruled that Jerome Kerviel should take sole responsibility for one of the biggest banking frauds in history. He was sentenced to three years behind bars and instructed to pay back the 4.9 billion euros of debt he'd run up. For Kerviel, now a computer consultant on 26,000 euros a year, that is a llifetime sentence.
The bank will be pleased with this verdict. His managers could not have known, nor suspected, said the court, what he was up to. But Kerviel was gambling with more than the bank's entire stock market value.
What can be said about Jerome Kerviel?
</t>
  </si>
  <si>
    <t xml:space="preserve">31. Georgia
Over the last 12 months, President Saakashvili has overseen some stark changes to the appearance of Georgian towns and cities. In Tbilisi, he presides over a new presidential palace  with a large glass dome. In the seaside resort of Batumi, he has ensured that glitzy casinos line the coast. To those who admire them, they are shimmering symbols of gradual economic growth. And now, the wave of construction, has even reached one of the more isolated regions in the Caucasus mountains.  
In the pine-brushed valleys of Svaneti, President Saakashvili recently announced that he wants a ski-resort built there. Builders are already hard at work, under orders to get it ready in time for the winter season. 
What can be said about President Saakashvili?
</t>
  </si>
  <si>
    <t xml:space="preserve">32. Anti-Immigrant sentiment in Europe
People in Europe are still suffering from the after-effects of the global financial crisis. People are losing jobs, losing benefits, losing confidence in their financial security, as they are in the United States. 
In some European countries, this economic insecurity seems to be what's behind rising support for anti-immigrant parties and policies. In Holland and in Sweden, parties on the far-right have made significant gains; in France and Italy we've seen government crackdowns on Roma - or what are also sometimes called gypsy populations.
Which statement is correct according to the extract?
</t>
  </si>
  <si>
    <t xml:space="preserve">34. Nobel Prize winner
The winner of this year's Nobel Prize for Literature was announced this week. Mario Vargas Llosa is one of the most acclaimed writers in the world. 
NPR's Neda Ulaby has a profile of the first Peruvian to win a Nobel Prize. 
NEDA ULABY: When he was a little boy, Vargas Llosa was told his father was dead. In fact, he had abandoned the family and it shocked the child when he returned. In a 1988 interview with WHYY's FRESH AIR, Vargas Llosa said the two did not get along. 
Mr. MARIO VARGAS LLOSA (Winner, Nobel Prize for Literature): My father, as many middle-class people in Latin America in the '50s, thought that to be a writer was to be an eccentric, as someone marginal.
Which statement is true about Mario Vargas Llosa?
</t>
  </si>
  <si>
    <t xml:space="preserve">35. Trapped miners
This is WEEKEND EDITION from NPR News. I'm Scott Simon. 
There's been a breakthrough, and we do not use that word metaphorically, in the story of 33 Chilean miners who've been trapped underground since August 5th. Today, a drill boring a shaft to reach the miners broke through to the underground space that they have occupied for the past 66 days. Now rescuers have to decide whether and when it's safe to extract the men.
Which statement is correct according to what you have heard?
</t>
  </si>
  <si>
    <t xml:space="preserve">36. Unemployment
The economy officially crept out of recession in June 2009. But for many Americans, the more accurate measure is the one that comes out each month from the Labour Department. 
And yesterday, the numbers didn't look good. Almost 15 million Americans are out of work and the private sector isn't hiring. The typical unemployed worker now searches for at least eight months before finding a new job. And for people over 50, a lot longer.
Choose the correct statement
</t>
  </si>
  <si>
    <t xml:space="preserve">37. John Lennon
This is WEEKEND EDITION from NPR News. I'm Scott Simon. 
In August of 1980, David Sheff flew to New York for maybe the biggest magazine assignment there was at that point. He was going to interview John Lennon and Yoko Ono for Playboy. 
Every day for three weeks, Mr. Sheff, often with his tape recorder running, talked with the couple in their Central Park West apartment, on the street, in coffee shops and in recording studios. The Playboy interview hit the newsstands on December 6th.�Two days later John Lennon was shot dead on the street in front of his apartment building.
Which statement is true according to what you have heard?
</t>
  </si>
  <si>
    <t xml:space="preserve">38. President Obama’s speech
In his speech to the United Nations today President Obama underlined that he wants to end the conflict with Iran through peaceful means. “The United States and the international community seek a resolution to our differences with Iran and the door remains open to diplomacy should Iran choose to walk through it”. 
What did President Obama stress?
</t>
  </si>
  <si>
    <t xml:space="preserve">39. Smoking
There’s been support for a greater Manchester MP’s proposal to release the law on smoking in public places.  ? North MP David Mittle says many bars are closing down because of the ban. He’s putting forward a Private Member’s Bill in the Commons this week that should allow landlords to have a designated smoking room – “ One of things which this Bill would seek to do is to give pub landlords the right to introduce smoking back into their pubs in a separate room with filtration equipment ..”
Choose the correct statement
</t>
  </si>
  <si>
    <t xml:space="preserve">40. Who deserves benefits?
They say you can judge a civilised society by how it treats its poor but in applying that principle is it reasonable to draw a distinction between the more deserving and less deserving poor. Some say no such distinction can or should be drawn. Our welfare system has generally not tried to draw it either. But the government’s plan to cap the total benefit payout that a family can receive to the median family wage implicitly suggests that very large families might be left worse off than others
What does the Government want to do?
</t>
  </si>
  <si>
    <t>EXAMEN 1 SCRIPT</t>
  </si>
  <si>
    <t>EXAMEN DE SEP/2011</t>
  </si>
  <si>
    <t xml:space="preserve">33. One Day on Earth 
Tomorrow is October 10, 2010: 10/10/10. Many people around the world have scheduled special events for the day, including weddings - be kind of hard to forget that anniversary. The Michigan Sovereignty Tea Party will hold a rally in Lansing. Protesters against the death penalty are going to gather in front of the Supreme Court in Washington D.C.. And marathons are set for Melbourne and Buenos Aires. 
Whatever transpires on 10/10/10, anything and everything is of interest to a project called 'One Day on Earth.' Videographers, amateur and professional, from around the globe are free to participate and capture moments large and small, extraordinary and mundane.
Which statement is correct according to the extract?
</t>
  </si>
  <si>
    <t xml:space="preserve">30. Bottled water vs. tap water
When you're drinking bottled water, do you ever wonder where it comes from? Is it really from the spring that it's named after? Is it really just purified tap water from a municipal system? Is it worth lugging home gallons of bottled water when you can turn on the tap in your kitchen sink? 
My guest, Peter Gleick, has written a new book called 'Bottled and Sold' that answers a lot of questions about bottled water and also describes some of the problems it's causing. Gleick says every second of every day in the U.S., 1,000 people buy and open a plastic bottle of commercially produced water and, every second of every day, 1,000 plastic bottles are thrown away. 
Bottled water may taste good, but Gleick says it's producing billions of tons of carbon dioxide and other pollutants. He says Americans should be insisting that their municipal water systems are maintained and upgraded so that they can provide public tap water that is safe and tastes good
Which statement is correct?
</t>
  </si>
  <si>
    <t xml:space="preserve">35. Photographing food
Now, believe it or not, even Pentagon brownies can be made to look delicious for the cameras. That's what Delores Custer does for a living. She's a professional food stylist. And she's written a book about how it's done. It's called 'Food Styling.' 
And Delores Custer joins me from Portland. Welcome. 
Ms. DELORES CUSTER (Food Stylist; Author, 'Food Styling'): Thank you. 
RAZ: Now, we have all seen the perfect bowl of cereal, right? You know... 
Ms. CUSTER: Mm-hmm. 
RAZ: ...the perfect blueberry or the perfect strawberry just hitting the milk. 
Ms. CUSTER: Mm-hmm. 
RAZ: You've got that perfect splash and then these perfectly situated Corn Flakes and they each have a few perfect drops of milk on them. 
Ms. CUSTER: Mm-hmm. 
RAZ: Is that milk? 
Ms. CUSTER: Some of the times, it is. Most of the time, it's not. In the early days, that splash was acrylic. And we would have a model maker make the splash. Today, with digital, it can be a real splash or oftentimes it's illustrated... 
.. Now, if we're selling milk, we have to use milk. If we're selling the cereal, then we sort through and we find what I call flakes with character. ... And we arrange those in a bowl, and then we do use something other than milk if it's going to take the photographer a long time to shoot. 
</t>
  </si>
  <si>
    <t xml:space="preserve">5. M- We’ve got a meeting at 5.30, you know.
W- Haven’t you heard? The boss called it off.
 What is the situation?
</t>
  </si>
  <si>
    <t xml:space="preserve">28. Hoarding
Presenter: Our guests Randy Frost and Gail Steketee are both specialists in obsessive behaviour and they say compulsive hoarding; the pathological accumulation of things is shockingly common. Estimates vary but they say the disorder likely affects roughly one out of every thirty Americans. .... Both have treated many hoarders and they draw on their work in a new book called “Stuff; Compulsive Hoarders and the Meaning of Things.” They spoke with Fresh Air contributor, Dave Davies.
Davies: ....one of the first people that you write about in the book is a woman named Irene. Tell us about her.
Randy Frost; Well Irene was a delightful woman. She ....um.... when I first met her, what happened was that her husband had told her that she needed to clean up the clutter or he would leave. And she couldn’t do it so he actually left. Um...When I met her I was surprised by how outgoing and lovely and .... and..... a woman she was with a great sense of humour. Um.. and so we’ve done some follow-up research on this ...uh... and found that people with hoarding problems don’t seem to have any more emotional attachment kinds of problems than other people.
What can be deduced about hoarders from the experts?
</t>
  </si>
  <si>
    <t xml:space="preserve">28. G8 and G20 to meet in Canada 
Which statement is correct according to the extract?
</t>
  </si>
  <si>
    <t xml:space="preserve">21. Afghanistan’s mineral resources
Which statement is correct according to the extract?
</t>
  </si>
  <si>
    <t xml:space="preserve">22. The World Cup and  social media
Which of the statements is true according to what you have heard?
</t>
  </si>
  <si>
    <t xml:space="preserve">23. McChrystal loses his job
Which of the following statements is true according to what you have heard?
</t>
  </si>
  <si>
    <t xml:space="preserve">24. Drug war in Monterey
Which of the following statements is true according to what you have heard?
</t>
  </si>
  <si>
    <t xml:space="preserve">25. Weddings performed by friends
What can be said of friends performing weddings?
</t>
  </si>
  <si>
    <t xml:space="preserve">26. Gene  Kendzior  remembers his father – a coalminer
Which statement is true according to what you have heard?
</t>
  </si>
  <si>
    <t xml:space="preserve">27. Technology in football
Which of these statements are true?
</t>
  </si>
  <si>
    <t xml:space="preserve">29. Pilkington Tiles
Why are the workers at Pilkington Tiles angry?
</t>
  </si>
  <si>
    <t xml:space="preserve">30. Harvard student faces being deported
What can we say about Eric Balderas?
</t>
  </si>
  <si>
    <t xml:space="preserve">31. A history of the world in 100 objects
Which statement is true according to what you have heard?
</t>
  </si>
  <si>
    <t xml:space="preserve">32. Jeffery Gettleman talks about war in Africa.
Which statement is true according to what Gettleman says?
</t>
  </si>
  <si>
    <t xml:space="preserve">33. The Gringo Chief
Why is Randy Borman  an important figure for the Cofan Indians?
</t>
  </si>
  <si>
    <t xml:space="preserve">34. FBI files on Ted Kennedy
What was revealed in the FBI files?
</t>
  </si>
  <si>
    <t xml:space="preserve">35. Gulf coast  weddings
Which statement is correct?
</t>
  </si>
  <si>
    <t xml:space="preserve">36. Cuba prisoners
What impression do we get from the extract?
</t>
  </si>
  <si>
    <t xml:space="preserve">37. The Solar Impulse – an experimental solar-powered plane
What was particularly unusual for the pilot about the test flight?
</t>
  </si>
  <si>
    <t xml:space="preserve">38. Lindsay Lohan
Which of the statements below is true about Ms Lohan?
</t>
  </si>
  <si>
    <t xml:space="preserve">39. Processed food
Choose the statement which is correct according to what you have heard
</t>
  </si>
  <si>
    <t xml:space="preserve">40. Truancy
How is the crackdown going to affect Oldham?
</t>
  </si>
  <si>
    <t>answ5</t>
  </si>
  <si>
    <t>A. The Pentagon  wanted to establish what the deposits are worth</t>
  </si>
  <si>
    <t>C. Some resources have already been exploited</t>
  </si>
  <si>
    <t>D. The Pentagon task-force did not include Afghan members</t>
  </si>
  <si>
    <t xml:space="preserve">A. The Obama inauguration took place on a weekend </t>
  </si>
  <si>
    <t>B. Internet traffic was less when people saw matches on TV</t>
  </si>
  <si>
    <t>D. The  World Cup has collapsed the Internet</t>
  </si>
  <si>
    <t>A. McChrystal was reprimanded for his comments</t>
  </si>
  <si>
    <t>C. Petreaus has a proven track record in civilian-military relations</t>
  </si>
  <si>
    <t>D. Relations between McChrystal and civilian leaders were acceptable</t>
  </si>
  <si>
    <t>A. The Zeta cartel had permission to cut off the  city’s main thoroughfares</t>
  </si>
  <si>
    <t>B. Monterey is not a thriving city</t>
  </si>
  <si>
    <t>C. The military captured a Zeta member earlier in the month</t>
  </si>
  <si>
    <t>A. It may be a good idea for couples of different religions</t>
  </si>
  <si>
    <t>B. The clergy believes it causes couples to lose their faith</t>
  </si>
  <si>
    <t>C. Though the friends may be uncertified, this is not a problem</t>
  </si>
  <si>
    <t>D. It can be done over the Internet</t>
  </si>
  <si>
    <t>A. Gene’s dad survived a the tunnel collapse</t>
  </si>
  <si>
    <t>C. Miners were paid well in West Virginia</t>
  </si>
  <si>
    <t>D. Work in the mine commenced after elementary school</t>
  </si>
  <si>
    <t>B. Referees from Uruguay have changed the nature of the game</t>
  </si>
  <si>
    <t>C. TV replays are always controversial</t>
  </si>
  <si>
    <t>A. The G20 countries all have increasing government debt</t>
  </si>
  <si>
    <t>B. Aid promised in previous meetings has not been transferred</t>
  </si>
  <si>
    <t>D. Security is quite lax as there have been few problems</t>
  </si>
  <si>
    <t>A. They have been given temporary contracts</t>
  </si>
  <si>
    <t>B. KPMG owes money to 200 staff</t>
  </si>
  <si>
    <t>C. The administrators did not arrive for a union meeting</t>
  </si>
  <si>
    <t>D. They wanted to stage a twenty-four hour protest</t>
  </si>
  <si>
    <t>A. He had a fight with the immigration judge</t>
  </si>
  <si>
    <t>B. He would like to do the entrance exams for Harvard</t>
  </si>
  <si>
    <t>C. He was visiting his mother in Boston</t>
  </si>
  <si>
    <t>D. Harvard will try to help him resolve the situation</t>
  </si>
  <si>
    <t>A. The head in question is made of bronze</t>
  </si>
  <si>
    <t>B. The head is of an African warrior</t>
  </si>
  <si>
    <t>C. Nowadays  whole societies back criminal groups</t>
  </si>
  <si>
    <t>D. The aim of the liberation movement in Eritrea was literacy</t>
  </si>
  <si>
    <t>C. He took Cofan lessons before coming to Ecuador</t>
  </si>
  <si>
    <t>D. He doesn’t mind living in a forest</t>
  </si>
  <si>
    <t>B. That Ted Kennedy killed someone</t>
  </si>
  <si>
    <t>D. That Ted Kennedy’s life  was continuously under threat</t>
  </si>
  <si>
    <t>A. Clyde Marcel operates a dating agency</t>
  </si>
  <si>
    <t>B. Beach weddings are no longer an attractive option for couples</t>
  </si>
  <si>
    <t>C. Tar balls and oil mousse attract people to the Mississippi coast</t>
  </si>
  <si>
    <t>D. Clyde is worried about his health</t>
  </si>
  <si>
    <t xml:space="preserve">A. The  US has intervened to bring about the amnesty </t>
  </si>
  <si>
    <t>B. Relations between the Catholic Church and Cuba have improved</t>
  </si>
  <si>
    <t>C. Fidel Castro released all prisoners when he came to power</t>
  </si>
  <si>
    <t>D. Such a large number of prisoners has never been released</t>
  </si>
  <si>
    <t>A. Gliding in loops</t>
  </si>
  <si>
    <t>B. The Jura mountains</t>
  </si>
  <si>
    <t>C. The plane made no noise</t>
  </si>
  <si>
    <t>D. There was so much sunlight</t>
  </si>
  <si>
    <t>D. Filling  your trolley in the store, you think of food processing</t>
  </si>
  <si>
    <t>B. Staying  away from school will be a serious offence</t>
  </si>
  <si>
    <t>EXAMEN DE SEPT/2011</t>
  </si>
  <si>
    <t>EXAMEN 2 SCRIPT</t>
  </si>
  <si>
    <t>EXAMEN DE SEP/2010</t>
  </si>
  <si>
    <t xml:space="preserve">21. Afghanistan’s mineral resources
It's long been known that Afghanistan has these untapped resources. The challenge is, and always has been, how to get them out of the ground. For more on the story, I spoke with NPR's Rachel Martin, who has a copy of the report. 
RACHEL MARTIN: It's a Power Point presentation. It's an internal Pentagon report and it's based on a recent assessment by a Pentagon task force, including geological experts who were working alongside with teams of Afghans trying to survey the geological deposits under the ground in Afghanistan. They surveyed sites around the country, 60 different sites, trying to get a read on exactly what kind of resources are underground. 
Because like you said, we've known for many years that there are these deposits of potential great amounts of wealth that are harbored in Afghanistan's soil. And until now we haven't really had exact data on exactly how much these resources could be worth. Now we're getting that estimation upwards of $900 billion. 
Which statement is correct according to the extract?
</t>
  </si>
  <si>
    <t xml:space="preserve">25. Weddings performed by friends
The research firm known as the Wedding Report says last year in this country, one out of every seven weddings was performed by a friend of the couple. 
Ms. MELISSA EVANS (Wedding Planner): I've seen it become increasingly popular over the last few years. 
WENNER: Melissa Evans has been helping couples plan weddings for more than a decade. She says having a friend perform the wedding is one way to make a ceremony meaningful for couples of different faiths. 
Ms. EVANS: So one partner doesn't necessarily have to give up, you know, their religion, their faith, you know, their history - that sort of thing. They can tie it all together. 
WENNER: The Wedding Report says two years ago, clergy performed 70 percent of all weddings. Last year, it was down to 62 percent. 
Reverend James Wind is president of the Alban Institute, a research firm focusing on religion. He's afraid couples may be losing out on what organized religion can offer a bride and groom. 
WENNER: There is also concern over whether having friends perform weddings is legal. Many of them choose to get ordained from ministries that offer instant ordinations - and on the Internet, it just takes a few clicks. 
What can be said of friends performing weddings?
</t>
  </si>
  <si>
    <t xml:space="preserve">26.  A coalminer
Gene Kendzior grew up in West Virginia. His father, Walter Kendzior, was killed on the job in 1967 when a tunnel collapsed. Gene was interviewed for StoryCorps by his daughter Jennifer about his dad's work. 
Mr. GENE KENDZIOR: It was a hard, dirty job and everyone worked there suffered from it. And most of the people went right from high school to the coal mine. They all had some sort of injury that they'd suffered. My dad had his foot run over in the mine by a car, and he lost his little toe. 
And we went to the mine once. He took me to his mine where he worked. The tunnel was probably 15 feet wide, and the walls were all covered with a gray rock dust. And they spray it on the walls to keep the coal dust from getting into the air. If coal dust gets into the air and there's any kind of a spark, that's where the explosions come from - 
Which statement is true according to what you have heard?
</t>
  </si>
  <si>
    <t xml:space="preserve">28.  G8 and G20 to meet in Canada 
The G20 is now the main forum for global economic issues. But some of the G8 countries, who meet first, on Friday and Saturday, are the ones with the big economic problems. They have rising government debts, but President Obama especially is concerned that premature austerity measures might set back the economic recovery that is under way. Development issues are high on the G8 agenda and they'll discuss maternal and child health in low income nations. Campaigners say the G8 have failed to deliver aid promised at previous summits.
This summit will also discuss a range of diplomatic issues including North Korea, Iran's nuclear programme and the Middle East.
Security around the summit venues is tight, and there have been some arrests in Toronto. 
Which statement is correct according to the extract?
</t>
  </si>
  <si>
    <t xml:space="preserve">29. Pilkington Tiles
 Workers from Pilkington Tiles in Solford are protesting outside the factory today. They’re angry about the way they’ve been treated by their former employer and the new administrators who failed to turn up to a union meeting on Friday. More than two hundred staff were made redundant last week but some workers have been given temporary contracts to help complete outstanding orders. Alec McFadden from the T.U.C. says his members are just trying to get the money they’re owed.
Alec McFadden: When a company goes into receivership, the company that’s appointed to be the receiver, K.P.M.G., has a responsibility to call a meeting of all the creditors. The creditors include all the workforce cause they’re all owed money. This may hurry them along to have that meeting.
Why are the workers at Pilkington Tiles angry?
</t>
  </si>
  <si>
    <t xml:space="preserve">30. Harvard student faces being deported
 The immigration judge hears an unusual case next month involving a 19-year-old Harvard University student who’s fighting deportation to his native Mexico. Eric Balderas, a sophomore on full scholarship to Harvard, was detained last week while trying to fly back to Boston after visiting his mother in San Antonio. Balderas acknowledges he’s been in the country illegally since being brought here as a little boy. Harvard officials say they’ll try and help him stay. We spoke this morning with Balderas by phone, just a short time ago.
Eric Balderas: Um… I honestly don’t know what to expect right now. It has been a rough week. At the beginning my spirits had been broken but I think with all the support I’ve been getting and the weight of Harvard, I do feel confident that this will go through and I am feeling very optimistic now.
What can we say about Eric Balderas?
</t>
  </si>
  <si>
    <t xml:space="preserve">31. A work of art
 So far in this History of the World through things, we’ve encountered all kinds of objects, all eloquent but not all particularly valuable or attractive. But today’s object is, in any view, a great work of art. It’s a head cast in brass. It’s quite clearly the portrait of a person but we don’t know who. It’s without question by a very great artist but we don’t know who and it must have been made for a ceremony but we don’t know what. What is certain is that the head is African. It’s royal and it epitomizes the great Medieval Civilizations of West Africa of about seven hundred years ago. It was one of a group of heads discovered in 1938 in the grounds of a palace in Ife, Nigeria and they astonished the world with their beauty. They were immediately recognized as supreme documents of a culture that had left no written record and they embody the history of an African Kingdom that was one of the most advanced and urbanized of its day. 
Which statement is true according to what you have heard?
</t>
  </si>
  <si>
    <t xml:space="preserve">32. A war correspondent  talks about war in Africa.
Mr. JEFFREY GETTLEMAN : Well, what we're seeing across Africa today is many conflicts, internal conflicts that have an absence of ideology. They're more criminally driven wars. 
From the reading I've done and compared to the liberation wars of yesteryear, in Eritrea, in Zimbabwe, in Ethiopia, even in Angola, there were causes back then. And, of course, there was criminality and there was violence and there was gratuitous bloodshed, but it seemed like these rebel movements actually stood for something. They had popular support. 
For example in Eritrea, they had classrooms to teach people all sorts of things, like literacy and numeracy. A big part of that liberation movement wasn't just to have a separate country, but it was to revolutionize society. And men and women fought on the front lines together, and a whole society was behind this liberation movement, was behind the rebel group. 
Which statement is true according to what the speaker says?
</t>
  </si>
  <si>
    <t xml:space="preserve">34. FBI files on Ted Kennedy
 The Federal Bureau of Investigation has released thousands of files on Massachusetts Senator, Edward Kennedy, who died last August. The files detail constant suspected and confirmed death threats including a million-dollar offer by Robert Kennedy’s assassin S__?  to anyone who would kill Ted Kennedy. Among many other subjects, they also touch on the death of Mary Joe __ in the Chap__.
 Senator Ted Kennedy’s F.B.I. files are a peek into an extraordinary life. They contain hundreds and hundreds of pages of death threats. There are also investigations into assassination plots, Kennedy family correspondence with the F.B.I. and press clippings the Agency used to keep track of Ted Kennedy. 
What was revealed in the FBI files?
</t>
  </si>
  <si>
    <t xml:space="preserve">35. Gulf coast  beach weddings
As oil washes up on many Gulf Coast beaches, fishing and tourism have suffered. And so has the business of one Mississippi man who peddles in romance.
(Soundbite of waves) 
JULIE ROSE: Right here on the beach in downtown Gulfport, Mississippi. This is where Clyde Marcel makes his money. 
Mr. CLYDE MARCEL (Wedding Planner): Put a few chairs out. Put a little runway out and the preacher stands out there and the bride walks up, barefooted usually, on the sand. 
ROSE: So he plans beach weddings, in case you haven't guessed. 
ROSE: (And so), As reports of tar balls and oil mousse hit the Mississippi coast, Marcel's business is going bust. At least five brides have canceled on him in the last two months, even though his favorite wedding spot is still clean. ….. Marcel says he's losing about $30,000 a month. Normally his fall calendar would be filling up with weddings, but brides aren't calling. They're worried the beaches will still be oily months from now. He's worried about his long-term financial health. 
Which statement is correct?
</t>
  </si>
  <si>
    <t xml:space="preserve">36. Cuba prisoners
The Cuban government has agreed to free 52 political prisoners. That's according to Catholic Church leaders on the island. It's the largest amnesty in more than a decade. It would bring the number of political prisoners in Cuban jails to its lowest levels since Fidel Castro took power in 1959. The move is a result of new dialogue between the church and Raul Castro's government, and it also has implications for U.S.-Cuba relations. 
Reporter Nick Miroff covers Cuba, and he joins us to tell us more. 
Nick, tell us more about, first, the announcement yesterday from the Catholic Church. What did they say? 
NICK MIROFF: Well, the church sent out the announcement yesterday around noon indicating that a small group of prisoners were likely to be released in the next few days, and that over the course of the next three or four months, a total of 52 prisoners would be released. And again, that's the largest amnesty since Pope John Paul II's visit in 1998. 
What impression do we get from the extract?
</t>
  </si>
  <si>
    <t xml:space="preserve">37. A solar-powered plane
Imagine flying an airplane for 26 hours without using a single drop of fuel. Well, that is what Andre Borschberg did. He's the pilot of the Solar Impulse, an experimental solar-powered plane. 
Today, he completed a 26-hour test flight after gliding in loops over the Jura Mountains west of the Swiss Alps. The plane's 12,000 solar cells absorbed sunlight during the day to power its journey overnight. Andre Borschberg says the solo flight was an amazing experience
A former Swiss Air Force pilot, Borschberg says the Solar Impulse was totally unlike any other airplane he's flown. One thing in particular, it makes little noise. 
Mr. BORSCHBERG: It's extremely agreeable. I think, you know, it's the first time that when you fly an airplane, you can also listen to other sounds. So that's new. That's very uncommon, but I tell you, it's not unpleasant. 
What was particularly unusual for the pilot about the test flight?
</t>
  </si>
  <si>
    <t xml:space="preserve">38.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</si>
  <si>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24. Drug war in Monterey
We're going next to Mexico, where the fight has come to one of the country's most prosperous cities. The northern Mexican city of Monterey had a reputation as a peaceful and hard-working place. It is also the capital of state of Nuevo Leon, and it's the scene of increasing tension. 
 …drug cartels are fighting for control of the city. 
JASON BEAUBIEN: Monterey has become famous for the Narco-Bloqueo, or the Narco-Blockade. Since the beginning of the year, members of the Zetas cartel have taken to shutting down the city's main thoroughfares whenever it suits them. 
Earlier this month, after the Mexican army captured, allegedly, the Zetas' top operative in Monterrey, gunmen waded into traffic with their weapons drawn. They pulled drivers out of their cars, trucks and buses, then turned the vehicles sideways in the streets. The blockades caused instantaneous gridlock. The idea was to try to block the soldiers from moving through the streets with their prisoner. 
Which of the following statements is true according to what you have heard?
</t>
  </si>
  <si>
    <t xml:space="preserve">23. McChrystal loses his job
Look through the history of this country and you find a constant theme that goes right back to the earliest days. It's the struggle to balance the relationship between the military and civilian leaders. The troops must fight a war but it's considered essential that civilians always remain in charge. 
That broad theme lay behind the strange events of this week when General Stanley McChrystal lost his job for remarks in a magazine. His replacement as commander in Afghanistan is General David Petraeus. He’s got a long record of adroitly managing his relationships with politicians and diplomats. 
MARTIN: General McChrystal lost his job because the comments he and his aides made and quoted in the magazine -Rolling Stone- revealed a rift between him and his staff on the one side and the civilian leaders who define the war policy on the other. 
Which of the following statements is true according to what you have heard?
</t>
  </si>
  <si>
    <t xml:space="preserve">27. Technology in football
Although England were comprehensively beaten by a vibrant and clinical German team, the dreadful mistake by Uruguayan referee, Jorge Larrionda, in failing to spot a shot from Frank Lampard that had clearly crossed the line, will reopen the debate about football's reluctance to adopt technology to help with controversial decisions.
TV replays showed the ball was at least two foot over the line but both the referee and his assistant failed to see it. The England manager, Fabio Capello, described the decision as 'incredible' afterwards, and insisted it had -changed the nature of the game-.
FIFA, world football's governing body, has been experimenting with various forms of
technology, including a microchip in the ball which sends a signal to officials when it is over the line. The latest experiment was rejected in March and before the World Cup started FIFA President  Sepp Blatter reaffirmed his belief that mistakes are part of the excitement of football.
Which of these statements are correct?
</t>
  </si>
  <si>
    <t xml:space="preserve">33. The Gringo Chief
In the Amazon, there are indigenous communities that have never had contact with the outside world. Others are fading fast. A few control swaths of jungle as big as countries. And here's one Indian nation that stands out despite its small numbers, the Cofan of northern Ecuador. They administer a territory nearly the size of Delaware, and their most prominent leader is a blue-eyed, gray-haired American known as -The Gringo Chief.-
 (Soundbite of music) 
JUAN FORERO: In a jungle clearing, dozens of Cofan Indians are celebrating. They've added 108 acres to their expanding territory and built a new headquarters. 
Randy Borman is the Cofan's chief of territories. 
Mr. RANDY BORMAN (Chief of Territories, Cofan Tribe): (Speaking foreign language) 
FORERO: He speaks in flawless Cofan and is dressed in a traditional black smock, wearing a necklace laced with jaguar and wild boar's teeth. Borman engineered this latest land acquisition, and he has many others. That's brought nearly 1,700 square miles of rainforest into the Cofan's domain. 
Why is Randy Borman  an important figure for the Cofan Indians?
</t>
  </si>
  <si>
    <t xml:space="preserve">40.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</si>
  <si>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3. I wouldn't be so nervous if I hadn't drunk so much coffee. Choose the correct statement</t>
  </si>
  <si>
    <t>4.  Motivation, rather than experience, often determines success. Choose the correct statement</t>
  </si>
  <si>
    <t>5. I can't wait to get the new Harry Potter book. Choose the correct statement</t>
  </si>
  <si>
    <t>6. You can tell summer is getting closer because the days are getting longer. Choose the correct statement</t>
  </si>
  <si>
    <t xml:space="preserve">7. W- Isn't John giving you a lift to the station too?
M- Yes, but he has left me till last.
Q- What can be deduced from this conversation?
</t>
  </si>
  <si>
    <t>8. The weather prevented the outdoor barbecue taking place. Choose the correct statement</t>
  </si>
  <si>
    <t xml:space="preserve">9. W- Which hat would you like sir?
M- It's a hard one; I'm spoiled for choice.
Q- What does the man mean?
</t>
  </si>
  <si>
    <t xml:space="preserve">10. W- So, what's your decision on the sale of the house?
M- Due to a higher bid, we have to refuse yours; sorry.
Q- What does the man mean?
</t>
  </si>
  <si>
    <t xml:space="preserve">11. M- Is that red Porsche parked in front of the bookstore Mike’s?
W- It can’t be his.  He drives a black one.
Q-What does the man mean?
</t>
  </si>
  <si>
    <t xml:space="preserve">12. The latest war lasted a lot less time than I thought it would.
W – You’re telling me.  It was over in a flash.
Q-.What does the woman infer?
</t>
  </si>
  <si>
    <t xml:space="preserve">13. It wasn’t like Debbie and Jeff to fight like that in front of everybody.
W- I know. I could hardly believe my eyes.
Q- What does the woman mean?
</t>
  </si>
  <si>
    <t xml:space="preserve">14. The power’s down, so the lift is not working.
M- Well, I’ll call maintenance and get them to send someone to fix it.
Q- What does the man mean?
</t>
  </si>
  <si>
    <t xml:space="preserve">15. W- I’m bored. Let's do something! Why don't we go out for dinner or go dancing?
M- Sorry Betty but I’m busy. I'm watching TV. And besides, I’m expecting Harry and Sally to pop in. 
Q- What is the man waiting for?
</t>
  </si>
  <si>
    <t xml:space="preserve">16. W- I sometimes get the feeling that wars have become public spectacles  and that people are becoming insensitive to the most horrific events.
M- Television is most likely to blame for that.  It’s often difficult to distinguish reality from fiction.
Q- What does the man mean?
</t>
  </si>
  <si>
    <t xml:space="preserve">17. Pm- Okay, the questioning will begin now, and to be used as evidence, the contents of this conversation shall be recorded.
W - That's fine officer, but I'd like to state for the record that my client is here of his own free will to co-operate with this investigation.  We are not admitting to anything.
Q- What does the woman say?
</t>
  </si>
  <si>
    <t xml:space="preserve">18. I was really surprised by the low number of casualties the allies had.
W- Yes.  Modern warfare has come on in leaps and bounds in this regard and the enemy had no answer to their firepower. 
Q-What does the woman mean?
</t>
  </si>
  <si>
    <t xml:space="preserve">20. W- And what did you think about the new concept of having reporters embedded in some units?
M- In general I think risking your life for a good story is an incredibly dangerous thing to do. 
you have to admire the bravado of those journalists. 
M- That goes without saying but do you think they are adequately compensated?
W- Sometimes, a love of what you are doing is more important than financial rewards.
M- Perhaps, but the chances of being wounded are considerably higher than for other journalists.
W- So what other types of satisfaction do they get?
M- I’d say that the most important thing would be prestige closely followed by a huge adrenaline rush.
Q- What can be inferred from what the man says? 
</t>
  </si>
  <si>
    <t>2. We found a weak, old Bulldog lying helplessly by the roadside. Choose the correct statement</t>
  </si>
  <si>
    <t>1. I was fined for leaving my car parked there.   Choose the correct statement</t>
  </si>
  <si>
    <t xml:space="preserve">39.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</si>
  <si>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22. The World Cup and social media
NORRIS: Today we ask, are they tough enough for the World Cup? We're not talking about a soccer team or individual soccer players. We're talking about social media, specifically Facebook and Twitter. Both sites have become phenomenally popular around the globe since the last soccer championship, four years ago. 
Could all that World Cup chatter shatter the sites? Here to talk about that and about what's clearly the most wired World Cup ever, we turn to our tech guru Omar Gallaga. 
NORRIS: Omar, there are reports that beyond sites like Twitter and Facebook, the entire Internet is lumbering under the weight of all those people working at keyboards large and small. Just how big of an Internet event is this? 
GALLAGA: The closest comparison I've seen to it is the Obama inauguration, which was also during the week and had people glued to their computers. So on Friday, when the first matches started, we saw a huge spike in Internet traffic, surpassing the Obama inauguration. Over the weekend, it tapered off some as people saw the matches on actual TVs. But we're anticipating that during this week, as more matches continue, that we're going to see that spike again, as people are watching stuff at work and not able to get away to an actual television. 
Which of the statements is true according to what you have heard?
</t>
  </si>
  <si>
    <t>EXAMEN 3 SCRIPT</t>
  </si>
  <si>
    <t>EXAMEN DE SEPT 2011</t>
  </si>
  <si>
    <t>1. Billy hasn’t got up yet . Choose the correct statement</t>
  </si>
  <si>
    <t>3. I’d ring your mother now if I were you.  Choose the correct statement</t>
  </si>
  <si>
    <t>5. I don’t find school all that interesting. Choose the correct statement</t>
  </si>
  <si>
    <t xml:space="preserve">7. M- My cooking stinks so I’m thinking of taking some cooking classes.
W- What ever for? I’ve always found your cooking quite tasty.
Q- What can be inferred from this conversation? 
</t>
  </si>
  <si>
    <t xml:space="preserve">9. M- Have you downloaded that file yet? 
W- I’ve still a bit to go. I only have limited bandwidth.
Q- What can be inferred from this conversation?
M- I warned her not to eat that sandwich. 
Q- What does the man mean?
</t>
  </si>
  <si>
    <t xml:space="preserve">8. Mary was rushed to hospital with a stomach complaint. 
M- I warned her not to eat that sandwich. 
Q- What does the man mean?
</t>
  </si>
  <si>
    <t xml:space="preserve">6. If the phone rings one more time, I’ll scream. 
M- You can divert your calls to mine if it will help.
Q- What does the man offer to do?
</t>
  </si>
  <si>
    <t xml:space="preserve">4. W- Did you get on with Raymond better before than now? 
M- Let’s just say that we never have really seen eye to eye.
Q- What does the man mean?
</t>
  </si>
  <si>
    <t xml:space="preserve">13. W- Chloe forgot to press the save button and she lost some important information. 
M- Tell her not to worry. It’s a mistake anyone could make.
Q- What does the man mean?
</t>
  </si>
  <si>
    <t xml:space="preserve">14. W- Please officer, don't threaten my client.  As you have said. Someone could have stolen it from the car' when my client wasn't present. 
Pm - I'm presuming that, because otherwise your client would have been really silly to leave behind a card for the police to find!
Q- What does the second man say?
</t>
  </si>
  <si>
    <t xml:space="preserve">15. M- I’ve heard that taxes are on their way up.
W- What? Weren’t tax cuts an election promise?
Q- What does the woman mean? 
</t>
  </si>
  <si>
    <t xml:space="preserve">17. Then it does seem strange that even though we know that oil is not a renewable energy source, we keep using so much of it. It’s almost a complete dependence. 
W- It does, indeed. I think that one of the problems is that nobody knows for certain just when the stuff will run out for good. There are only rough estimations. 
W- It’s also ironic that the crisis isn’t as high on the political agenda as it should be in many of the world’s industrialised countries. 
M- You’re not wrong. You’d think that something so crucial to the way we live would be of more political importance. 
W- So, when do you think we’ll hit the so-called peak?
M- That’s a difficult question to answer. Some say that it has already been hit. Others say that we are a few years away from it. My opinion tends to favour the latter point of view. 
 Q-What does the man mean?
M- Me too! It’s gone down hill since they changed chefs.
Q- What can be inferred from this conversation?
</t>
  </si>
  <si>
    <t xml:space="preserve">18. W - Please officer, let's get on with the interrogation.  I'm sure you could be doing something more interesting than this.  My client is obviously the victim of some type of robbery 18
Pm -Mr. Black, do you mean to tell me that you haven't noticed nor reported missing, one of your credit cards?
Q - What does the second man ask?
</t>
  </si>
  <si>
    <t xml:space="preserve">20. And what did you think about the new concept of having reporters embedded in some units? 
M- In general I think risking your life for a good story is an incredibly dangerous thing to do. 
W- Yes.  You’d have to be on your toes the whole time.  If you let down your guard for a minute you’re gone.
M- You’d also have to be heavily reliant on the skill of the unit you were embedded in.
M- When I come to think about it, this type of journalism must be one of the world’s most dangerous professions.
W- Without doubt.  There aren’t a great deal more that spring to mind.
M- Well all I can say is that you will never catch me in their shoes.  Not for all the prestige in the world.
W- It’s not often that we agree, but for once I’d have to say you’re right.
Q-What can be deduced from this conversation?
</t>
  </si>
  <si>
    <t xml:space="preserve">10. I can’t believe how many public works are currently being done! 
W- It’s all the new mayor’s fault, you know.
Q- What does the woman mean?
</t>
  </si>
  <si>
    <t xml:space="preserve">11. M- Harry’s promotion came rather unexpectedly. 
W- You’re telling me. My jaw hit the ground when I heard the news.
Q- What does the woman mean?
</t>
  </si>
  <si>
    <t xml:space="preserve">12. It looks as though we won’t get this assignment finished on time. 
M- We should have started it a little sooner.
Q- What does the man mean?
</t>
  </si>
  <si>
    <t xml:space="preserve">16. I’ve stopped going to that little Italian place in George Street.
M- Me too! It’s gone down hill since they changed chefs.
Q- What can be inferred from this conversation?
</t>
  </si>
  <si>
    <t xml:space="preserve">19. W- Harry, what do you make of the looming energy crisis? 
M- Well, I don’t think it has to be a crisis. We’ve had plenty of time to find alternative energy sources and there are some viable solutions.
Q- What does the man mean?
</t>
  </si>
  <si>
    <t>b) 95% percent of the population is covered by health insurance</t>
  </si>
  <si>
    <t>b) He is influenced by an overactive imagination</t>
  </si>
  <si>
    <t>b) Is typically Bolivian</t>
  </si>
  <si>
    <t>b) Approve the use of proper nouns in Scrabble</t>
  </si>
  <si>
    <t>b) Cynical</t>
  </si>
  <si>
    <t>b) Bill Gates’ ideas have fallen behind the times</t>
  </si>
  <si>
    <t>b) There will be a downturn in the growth rate of the U.S. population</t>
  </si>
  <si>
    <t>b) Judges have less power than previously to decide whether a noncitizen will be deported after committing a crime</t>
  </si>
  <si>
    <t>b) Dictatorships inspire creative talent</t>
  </si>
  <si>
    <t>b) The obesity problem in Malaysia is entirely due to the high number of fast-food restaurants</t>
  </si>
  <si>
    <t>b) The indigenous population tried to prevent Mr. Correa from becoming president</t>
  </si>
  <si>
    <t>b) The firearm experiencing the most rapid sales growth is not stocked at Wal-Mart</t>
  </si>
  <si>
    <t>b) The French auction house admitted that the statue is not genuine</t>
  </si>
  <si>
    <t>b) 26 minutes is the ideal time for a nap</t>
  </si>
  <si>
    <t>b) It has been possible to obtain a condensed version of ‘One Hundred Years of Solitude</t>
  </si>
  <si>
    <t>b) Losses for the manufacturing industry in the south</t>
  </si>
  <si>
    <t>c) Medicare costs have recently dwindled</t>
  </si>
  <si>
    <t>a) Put restrictions on peoples’ diets</t>
  </si>
  <si>
    <t>a) The indigenous people want to develop projects on their ancestral land</t>
  </si>
  <si>
    <t>a) Has left experts doubtful as to whether it will be effective</t>
  </si>
  <si>
    <t>a) Book publishers in China are intimated by the crackdowns</t>
  </si>
  <si>
    <t>a) Wind energy could be an economical alternative to nuclear power</t>
  </si>
  <si>
    <t>a) Doctors working in retirement homes are financially better off now than previously.</t>
  </si>
  <si>
    <t>a) Been jailed for committing crimes while sleepwalking</t>
  </si>
  <si>
    <t>a) Change the national habit of arriving late for work only</t>
  </si>
  <si>
    <t>a) The number of Scrabble fans will remain more or less the same</t>
  </si>
  <si>
    <t>a) Encourage Jordanians to become more serious</t>
  </si>
  <si>
    <t>a) Will construct micro-reactors in 2014</t>
  </si>
  <si>
    <t>a) The U.S. will experience a renewed growth as a result of its past</t>
  </si>
  <si>
    <t>a) More guarantees for the protection of the rights of immigrants</t>
  </si>
  <si>
    <t>a) The cultural strength of America has increased over the past 60 years</t>
  </si>
  <si>
    <t>2. How did we survive without the Internet in the past? Choose the correct statement</t>
  </si>
  <si>
    <t xml:space="preserve">26  November elections USA
What might strongly influence the outcome of the elections?
</t>
  </si>
  <si>
    <t>c) People who are shown to be prone to illness find it difficult to obtain health insurance</t>
  </si>
  <si>
    <t>c) He doesn’t remember his violent dreams</t>
  </si>
  <si>
    <t>c) Differs from his fellow countrymen regarding promptness</t>
  </si>
  <si>
    <t>c) Eliminate the use of proper nouns in Scrabble</t>
  </si>
  <si>
    <t>c) Pessimistic</t>
  </si>
  <si>
    <t>c) The ideals of environmentalists and those of Bill Gates diverge on the nuclear issue</t>
  </si>
  <si>
    <t>c) The U.S. population will be resourceful and youthful</t>
  </si>
  <si>
    <t>c) It is difficult for immigrants to obtain correct legal advice</t>
  </si>
  <si>
    <t>c) To say that dictatorships are good for artistic life is ridiculous.</t>
  </si>
  <si>
    <t>c) The obesity campaign was initiated by teachers</t>
  </si>
  <si>
    <t>c) President Correa has fulfilled earlier promises made to the indigenous population</t>
  </si>
  <si>
    <t>c) Wal-Mart stopped selling firearms due to customer protests</t>
  </si>
  <si>
    <t>c) The features of the statue were inconsistent with the culture it allegedly represents</t>
  </si>
  <si>
    <t>c) Combining coffee with a short nap will revive you</t>
  </si>
  <si>
    <t>c) It has been possible to obtain a copy of ‘One Hundred Years of Solitude’ by paying an excessive amount</t>
  </si>
  <si>
    <t>c) The disfiguring of the landscape with the appearance of new cables</t>
  </si>
  <si>
    <t>2. What does the woman mean?</t>
  </si>
  <si>
    <t>3. What does the man mean?</t>
  </si>
  <si>
    <t>4. What does the woman mean?</t>
  </si>
  <si>
    <t>5. What does the man mean?</t>
  </si>
  <si>
    <t>6. What does the woman mean?</t>
  </si>
  <si>
    <t xml:space="preserve">21. Nigerian scams
What can be said about Nigerian gangsters?
</t>
  </si>
  <si>
    <t>A. They are similar to their rivals</t>
  </si>
  <si>
    <t>B. They always pose as American army officers</t>
  </si>
  <si>
    <t>C. They convince women to send them money</t>
  </si>
  <si>
    <t>D.They are clever and entertaining at heart</t>
  </si>
  <si>
    <t xml:space="preserve">22. Property market influences elections
Which statement is correct?
</t>
  </si>
  <si>
    <t xml:space="preserve">23. The Eiffel Tower
Which statement is correct?
</t>
  </si>
  <si>
    <t>D. This was the second evacuation in a short time</t>
  </si>
  <si>
    <t xml:space="preserve">24. Boat heads for Gaza
Which statement about the boat is correct according to what you have heard?
</t>
  </si>
  <si>
    <t xml:space="preserve">25. Training Afghan soldiers for handover
Which statement is true?
</t>
  </si>
  <si>
    <t xml:space="preserve">27. AIDS
Which statement is correct according to the annual report?
</t>
  </si>
  <si>
    <t>C. Countries in need have access to combination therapy</t>
  </si>
  <si>
    <t xml:space="preserve">28. Philanthropy
What can be said about Bill Gates and Warren Buffet?
</t>
  </si>
  <si>
    <t xml:space="preserve">29. Air crash
Which statement is correct?
</t>
  </si>
  <si>
    <t>D. The passengers were all from Germany</t>
  </si>
  <si>
    <t xml:space="preserve">30. The future of the US
What does the speaker say?
</t>
  </si>
  <si>
    <t xml:space="preserve">31. Banking in Afghanistan
What can be said about Afghanistan?
</t>
  </si>
  <si>
    <t xml:space="preserve">32. Joan Sutherland
What impression do we get from the extract?
</t>
  </si>
  <si>
    <t>B. Joan Sutherland was an imposing presence on stage</t>
  </si>
  <si>
    <t xml:space="preserve">33. Education
Which statement is correct about universities in England?
</t>
  </si>
  <si>
    <t xml:space="preserve">34. Insolvency practitioners
Which statement is true about the insolvency professionals?
</t>
  </si>
  <si>
    <t xml:space="preserve">35. The Sudan
Which statement is correct according to the report?
</t>
  </si>
  <si>
    <t xml:space="preserve">36. Pakistan’s anger
Which statement is correct? 
</t>
  </si>
  <si>
    <t xml:space="preserve">37. Yemen
Which statement is true according to the report?
</t>
  </si>
  <si>
    <t xml:space="preserve">38. Anti-obesity  campaign
What does Michael Bloomberg want to do?
</t>
  </si>
  <si>
    <t xml:space="preserve">39. Rainforests
What can be said about rainforests?
</t>
  </si>
  <si>
    <t xml:space="preserve">40. Torture
Which of the following statements is true?
</t>
  </si>
  <si>
    <t>1. What does the man mean?</t>
  </si>
  <si>
    <t>EXAMEN 5 SCRIPT</t>
  </si>
  <si>
    <t>1. Alan says he ’ ll take you to the match if he can find the tickets. He ’ s so absent minded! What does the man mean?</t>
  </si>
  <si>
    <t>2. It took me five years to master Chinese cooking. What does the woman mean?</t>
  </si>
  <si>
    <t>3. Intel uncovered a terrorist cell three days ago. What does the man mean?</t>
  </si>
  <si>
    <t>4. The price of gold has skyrocketed. What does the woman mean?</t>
  </si>
  <si>
    <t>5. With inflation on the rise and salaries frozen, more and more people are finding it difficult to make ends meet. What does the man mean?</t>
  </si>
  <si>
    <t>6. If you need to cancel class, please give us 24 hours notice, otherwise you will be charged for the class. What does the woman mean?</t>
  </si>
  <si>
    <t>7. W: Colonel, what leverage or what means are at your disposal to make people obey?
M: I don't want to discuss leverage; no threats are being made.
What is the woman asking?</t>
  </si>
  <si>
    <t>8. W: Some people are accusing the government of withholding information to avoid embarrassment.
M: I know that.  And all I can say to that is that it is simply untrue.          
What does the woman mean?</t>
  </si>
  <si>
    <t>9. M:  I bought this microwave oven here last week, I’ve used it about 3 times and already it’s not working.  Can I exchange it for another one?
W:  You sure can, sir.  Just as long as you have your sales receipt.
What does the man need to show the woman in order to exchange the oven?</t>
  </si>
  <si>
    <t>10. W: Are you still planning to spend your summer vacation in Greece this year?
M: That plan didn’t work out because air fares have gone up so much recently. 
What does the man mean?</t>
  </si>
  <si>
    <t>11. M:  My new boss is Ronald Keller.  I don’t know anything about him. I hope he’s a nice person.
W:  Oh, I know him very well.  We go way back.  Give him my regards when you see him.
What does the woman mean?</t>
  </si>
  <si>
    <t>12. W:  There’s something wrong with this computer. The screen is much too dark. 
M:  That’s easy to fix.  Just adjust the brightness.  It’s that button with the sunshine symbol right here. 
What will the woman probably do?</t>
  </si>
  <si>
    <t xml:space="preserve">13. M:We have to stop and make camp here for the night.                                                  
 W: Then we should put together a makeshift tent.
What does the woman mean? </t>
  </si>
  <si>
    <t xml:space="preserve">14. W: Your father was a major and you’re a colonel.                                                    
M: You know what they say. The apple doesn’t fall far from the tree.   What does the man mean? </t>
  </si>
  <si>
    <t>15. M:  Did you see the cool ski equipment Dan bought on his trip to Switzerland?
W:  Yeah, it must have cost him an arm and a leg!
What does the woman mean?</t>
  </si>
  <si>
    <t>16. M:  So Jack landed a job as accounts manager at a big software company. Good for him! I suppose he’s raking it in now.
  W:  Are you kidding? The job’s not as great as it sounds. From what I’ve heard, he’s still having problems making ends meet.
What does the woman mean?</t>
  </si>
  <si>
    <t>17. M: Are you feeling the effects of this bad economy?                                                               
W: Well, I certainly have had to tighten my belt.                                                                       
What does the woman mean?</t>
  </si>
  <si>
    <t xml:space="preserve">18. M: Tom really mangled that speech. It was awful!                                                                                                                                                                                                                                           W: I know. I couldn’t make head or tail of it.                                                                                          What can be inferred from the conversation? </t>
  </si>
  <si>
    <t>19. . M: I think I aced the test.                                                                                                            
 W: Really. I think I blew it.                                                                                                          
What has happened?</t>
  </si>
  <si>
    <t>20. M: It’s a shame the project manager is leaving. She was great.                                                  W: I know what you mean. Whoever takes her place will have a hard time filling her shoes.                                                                                                                                           What does the woman mean?</t>
  </si>
  <si>
    <t xml:space="preserve">34. Insolvency practitioners
It’s a busy time for insolvency practitioners. These are the corporate undertakers for firms which crash and burn. But how well do they fulfill their functions. Some creditors complain about unfair treatment at the hands of these professionals. In court cases examined by File on 4, judges have been stern in their criticism. The office of fair trading is calling for far-reaching reforms. Even practitioners themselves admit their business is open to abuse – “We have large sums of money in our possession, we have resolutions that allow us to draw fees almost with impunity. Against that background, you would always have a tendency for more misconduct to occur in the insolvency field  ..”
Which statement is true about the insolvency professionals?
</t>
  </si>
  <si>
    <t xml:space="preserve">25. News from Pakistan
But first the news from Pakistan seems to be relentlessly bleak with bombs and floods and now to top it all three of the country’s cricket players including the captain of the national side are being questioned by London’s Metropolitan Police on allegations of taking part in a betting scam. This morning Pakistan’s High Commissioner in London  condemned the decision by the  International Cricket Council to suspend the three Pakistani players. NAME?? Hassan  told the BBC that the ICC’s actions showed that they were, as he put it, playing to the public gallery.
What can be said about the Pakistani cricket players?
</t>
  </si>
  <si>
    <t xml:space="preserve">26. The News of the World
Several public figures including the former deputy Prime Minister, Lord Prescott, say they’re ready to take legal action to find out if the News of the World   gained access to private telephone messages. Lord Prescott said he was having difficulty getting Scotland Yard to confirm whether his phone was involved.
What can be said about Lord Prescott?
</t>
  </si>
  <si>
    <t xml:space="preserve">28. London bombing
And then you look up and you see not one not two but a thousand German aircraft stretching right across the horizon in  a front over 20 miles long coming in to bomb the East of London. That’s what happened 70 years ago today. I’m now standing under the wing of a Heinkel HE111. It looks pretty flimsy, the wing here, but it’s a massive thing. I’ve just been crawling around inside it, there’s a tiny space. This thing carried about 3 tons worth of bombs that would have been dropped on London, one of the thousand aircraft attacking the capital 70 years ago today.
What can be said abut the aircraft?
</t>
  </si>
  <si>
    <t xml:space="preserve">30. Foreign students in the UK
The number of foreign students allowed into the UK is unsustainable according to the Immigration Minister Damien Green. He’s due to make a speech on Monday evening calling for tighter controls on their entry into Britain. More than 300,000 foreign students were given visas to study here in the last academic year -  that’s up a third on the year before. And new research from the Home Office suggests that one in five students are still in Britain 5 years later. 
What can be said about the Immigration Minister?
</t>
  </si>
  <si>
    <t xml:space="preserve">31. Drugs on Britain’s streets
An investigation by the BBC’s Five Live breakfast programme has found that the purity of drugs available on Britain’s streets is at an all time low. According to the Police a range of increasingly dangerous substances is being used to bulk out recreational drugs that are then widely sold in clubs, pubs  and  on the street. Officers have seized ecstasy tablets that contained as little as 1% MDMA, the active chemical and cocaine that was as low as 3%. Dealers and former dealers have admitted to cutting the drugs with substances including horse tranquillizer, rat poison, a potentially carcinogenic painkiller, and in one case powdered glass.  
Choose the correct statement according to what you have heard
</t>
  </si>
  <si>
    <t xml:space="preserve">32. NY City playgrounds
New York City opened a new playground today. It's called the Imagination Playground, and it's made up of hundreds of giant blue foam tinker toys.  
(Soundbite of applause) 
Smith: The Imagination Playground began, as do many things in New York City, with a cranky architect. David Rockwell has two young kids, and he lives in Lower Manhattan, and as he watched them play on the same set of swings and monkey bars, he thought there must be a better way. 
Mr. David Rockwell (Architect): And I was obsessed with trying to figure it out. 
Smith: It turns out there is a theory of playgrounds that's been around for decades: Just get the big structures out of the way and let kids be kids. So Rockwell designed the park as a large figure eight with sand, water, pulleys and those blue blocks. 
Mr. Rockwell: And as you'll see, there's hundreds of movable objects. Nothing is tied down, and the options are endless. 
Which of the following statements is true according to what you have heard
</t>
  </si>
  <si>
    <t xml:space="preserve">33. Dale’s murder
 At the end of the legal process which involved a trial, an appeal and retrial, only one person is serving life for Dale’s murder. Three were convicted of violent disorder, three acquitted. They had been charged under Joint Enterprise. This ancient legal doctrine is often used to deal with gang related murder. For it to be applied it only needs to be proved that a person within the group could foresee that another person might kill or cause grievous bodily harm 
Which of the following statements is true?
</t>
  </si>
  <si>
    <t xml:space="preserve">34. The Divorce Ranch
Time now for StoryCorps. Today, a bit of forgotten history from Reno, Nevada. In 1931, the state passed a law that made it the easiest place in the country to get a divorce. All you had to do was establish residency, which took six weeks. People flocked to Reno, especially women. They stayed in resorts called divorce ranches for what became known as the Reno Cure. 
We'll hear now from two sisters who lived on one of those ranches: Beth Ward and Robbie McBride. Their family owned the Whitney Ranch and they talked with each other about life among the divorcees. 
Ms. ROBBIE MCBRIDE: Most of the guests came from New York, New Jersey. 
Ms. BETH WARD: At the end of their six weeks, mother would go to court with them and testify that they had been a resident at the ranch and she had seen them every day.
Choose the statement which is correct according to what you have heard.
</t>
  </si>
  <si>
    <t xml:space="preserve">36. Chilean miners’ update
The engineers are digging two escape tunnels for the men and plan to start on a third one soon. Work on the second of the tunnels is going particularly well. René Aguilar, one of the chief engineers at the site, said he expected the drill to reach the area where the miners are sheltering this weekend.
Then, the engineers will haul the drill up to the surface and start digging again, to widen the shaft until it's big enough to serve as an escape route. Aguilar said the team expected to rescue the men in early November.
The news has been welcomed by relatives of the men, who have been celebrating the birth of one of the miners' daughters. Baby Esperanza was born on Tuesday. Her father Ariel Ticona is trapped below ground.
Video images of the birth were sent down a supply chute to the miners' refuge so that he could watch them.
Choose the correct statement?
</t>
  </si>
  <si>
    <t xml:space="preserve">37. Artic claims
As temperatures rise and the polar ice caps melt, the race is on to unlock the treasures of
the Arctic.
This region is thought to contain one quarter of the world's untapped oil and gas reserves,
and there's stiff competition for them. America, Canada, Denmark and Norway have all
staked territorial claims in the Arctic, and so has Russia.
Three years ago, a Russian expedition planted a titanium flag on the ocean floor beneath the
North Pole. It was a symbol of Moscow's determination to protect what it sees as its national
interest.
In Moscow this week scientists, businessmen and politicians from Arctic nations will discuss
co-operation, but they're also expected to push their countries' claims in the region.
Choose the statement which is correct according to the extract
</t>
  </si>
  <si>
    <t xml:space="preserve">38. Betancourt
In 2002, the Colombian presidential candidate, Ingrid Betancourt was abducted by Marxist FARC guerillas and held captive for six whole years and for much of that time she endured pretty awful physical and mental torture. After a failed escape attempt 2005, she found herself chained by her neck to a tree in the Amazon jungle for 24 hours a day. She was eventually freed by the Colombian military along with 14 other captives who were being held by FARC. It is an extraordinary story - she’s now written her memoir – “Even silence has an end”. I spoke to her a few days ago in New York and asked her about the difficulty of recalling and then writing about that terrible ordeal.
What can be said about Ingrid Betancourt?
</t>
  </si>
  <si>
    <t xml:space="preserve">39. Obesity
PATTI NEIGHMOND: Philippa Clarke, a researcher at the University of Michigan, wanted to know what happens to people who've been overweight or obese since adolescence. She compared one group of 40-year-olds who were normal weight at high school graduation but who gained weight gradually over time to another group of 40-year-olds who were overweight since age 19. 
Ms. PHILIPPA CLARKE (University of Michigan): We found that those people who are persistently overweight were more likely to not have gone on to have any further education beyond their high school degree, to be receiving welfare or unemployment compensation at age 40, and to have no current partner. 
NEIGHMOND: Clarke says her study didn't address why, but she speculates these adults probably experienced discrimination as children, discrimination that diminished their self-esteem and, in turn, their aspirations
According to the conversation what can be said about obesity?
</t>
  </si>
  <si>
    <t xml:space="preserve">40. INDIA – Honour killings
COREY FLINTOFF: There's no more joyous celebration in India than a marriage, the central institution that unites extended families and fulfills the society's strongest values. But there's a dark side. Nearly every day, Indian media carry reports like this one on Delhi's News X Channel, on the murders of young people who tried to defy very specific local rules about who can marry whom. 
(Soundbite of news clip, News X Channel) 
Unidentified Woman: Delhi's New French Colony woke up to a shock this morning. A couple was found murdered in a suspected case of dishonor killing. The man's body bore strangulation marks, while the woman was found tied and frothing at the mouth. The girl's father and the guard of the building have been arrested. 
FLINTOFF: In northern India, the prohibitions usually involve couples who marry outside their caste or their bloodlines; a complicated system of lineage called a gotra. In rural areas, they're enforced by informal councils of village elders, called khap panchayat.
Which of the statements is true according to the extract?
</t>
  </si>
  <si>
    <t xml:space="preserve">21.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</si>
  <si>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22.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</si>
  <si>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23.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</si>
  <si>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 xml:space="preserve">24. Wimbledon victory
Just as he did when he claimed his first Wimbledon title in 2008, Rafael Nadal fell to the floor
to celebrate winning his eighth grand slam.
After missing out on the chance to defend his crown last year because of a knee injury, this
victory will mean everything to the Spaniard.
He was back on the biggest stage in tennis and he never looked like losing. The world
number one won the first set 6-3 in just 34 minutes. And although Thomas Berdych had
chances in the second set - wasting four break points - Nadal upped his game just at the
right time to take it 7-5.
Then with his Czech opponent serving to stay in the match he struck again, taking his first
Championship point with yet another powerful winner. So Nadal is Wimbledon champion
for the second time. And on this evidence he may well be the man to beat here for years to
come.
What can be said about Rafa Nadal?
</t>
  </si>
  <si>
    <t xml:space="preserve">27. Peace talks
A day after the first direct peace talks between Israeli and Palestinian leaders for nearly two years there‘s been an angry reaction from right wing activists in Israel and militant groups in Gaza. Hamas, which runs Gaza, wasn’t present at the Washington talks and its armed wing carried out a number of attacks against Israelis while negotiations were going on.
Which statement is true according to what you have heard?
</t>
  </si>
  <si>
    <t xml:space="preserve">29. Alcohol consumption
In Scotland ministers are proposing to set a minimum price for alcohol of forty five pence per unit. Dr O’Flanagan says that’s encouraging. ‘Certainly the British medical Association has been very strongly in favour of a minimum price per unit for a couple of years now .. and certainly, … concerns would be levels of consumption particularly amongst younger people 16-24 age group and a lower age of starting to drink. I think also though we need to maybe have the scales fall from our eyes on just how huge a problem alcohol is in the UK. We estimate around one point eight million people are heavy alcohol drinkers and have alcohol related problems and I think that’s a significant proportion of the UK …
Which of the following statements is correct?
</t>
  </si>
  <si>
    <t xml:space="preserve">35. Manchester Library
A fresh chapter in the life of Manchester Central Library begins today. The temporary City Library on Dean’s Gate will be its new home while a 3-year refurbishment is carried out. More than a million books and archives have been put into storage and Library spokesman Neil McKinnock says they’re trying to offer as wide a range of facilities as they can in the meantime.
“I think what we’ve done …..we’ve tried to … we’ve accommodated what we can. We’ve cherry picked some of the best bits of Central Library like the Local Studies and the Archives, the Music Room, the Chinese library.. so I think we’ll be able to offer a comprehensive library service for Manchester residents and visitors to the city.
What can be said about Manchester Central Library?
</t>
  </si>
  <si>
    <t xml:space="preserve">B.B.C. News. April 19 2011.
An international conference and summit are due to convene in Ukraine to raise money for continuing safety measures at the Chernobyl nuclear plant. The goal of the conference in Kiev is to raise $1billion to finance a new structure to contain the radiation. Representatives from more than 40 countries and international organizations are due to attend. It also coincides with the 25th anniversary of the accident later this month.                                                                                 The Chernobyl conference has been planned for years, but has gained a new impetus with the continuing emergency at the Fukushima nuclear power plant in Japan. Ukraine’s government, along with the European Union and the European Bank for Reconstruction and Development, are building a giant arch to cover Chernobyl’s exploded reactor and steel sarcophagus. The sarcophagus was hastily built around the reactor just after the accident in 1986 to contain the radiation and is now nearing the end of its life. The new structure will be the largest of its kind in the world- more than 100m high, 250m wide and 160m long. It will slide over the damaged reactor and is expected to give Ukraine 100 years to dispose of the nuclear waste.
</t>
  </si>
  <si>
    <t xml:space="preserve">The Guardian. April 20 2011.
Parcel bombs intended to kill or maim have been sent to the Celtic manager, Neil Lennon, and two other prominent fans of the club –the manager’s lawyer and a senior Labor politician. The three devices, discovered at several locations in the west of Scotland over the past month, are considered dangerous, a senior police source confirmed. One, addressed to Lennon at Celtic’s training ground, was intercepted by Royal Mail staff, but a second was forwarded to the constituency office of the Labor MSP Trish Godman, a former deputy presiding officer of the Scottish parliament and a Celtic fan. Detectives initially believed the parcels were elaborate hoaxes intended to distress their targets, but later decided that they were viable explosive devices. The third device was addressed to Paul McBride QC who, speaking at the Faculty of Advocates lawyer’s offices in Edinburgh, had made outspoken attacks on the Scottish Football Association for its treatment of Lennon over alleged disciplinary offences. It is understood that all devices were sent from within Scotland. Anti-terrorism branch officers were initially involved, but have ruled out loyalist terrorist involvement. Ministers in the Scottish government secretly convened a cabinet sub-committee meeting on Saturday to discuss the discoveries. News media were asked not to report the incidents to avoid prejudicing a police investigation. Police sources told the BBC the devices were liquid-based and not nail bombs, but were rudimentary and did not seem to have been made by someone with paramilitary training.
</t>
  </si>
  <si>
    <t>a) Was refused entry into Malawi because of his passport</t>
  </si>
  <si>
    <t xml:space="preserve">25. Which of the following is true? </t>
  </si>
  <si>
    <t xml:space="preserve">26. The article claims that; </t>
  </si>
  <si>
    <t>27. According to the report, the devices;</t>
  </si>
  <si>
    <t xml:space="preserve">21. According to the article; </t>
  </si>
  <si>
    <t xml:space="preserve">22. According to the article, Peter Solomon; </t>
  </si>
  <si>
    <t xml:space="preserve">23. The aim of the report, ‘No Easy Options’ is to; </t>
  </si>
  <si>
    <t xml:space="preserve">24. The international conference was planned; </t>
  </si>
  <si>
    <t xml:space="preserve">28. The article suggests that; </t>
  </si>
  <si>
    <t>29. The purpose of the dinner was;</t>
  </si>
  <si>
    <t xml:space="preserve">30. In general, the dinner could be described as being; </t>
  </si>
  <si>
    <t>a) The senators from rural states want the wolves to remain under protection</t>
  </si>
  <si>
    <t>a) Because of the nuclear emergency in Japan</t>
  </si>
  <si>
    <t>a) Green campaigners are opposed to the proposed measures</t>
  </si>
  <si>
    <t>a) Were found to be harmless</t>
  </si>
  <si>
    <t>a) The charity funds are not being used as intended</t>
  </si>
  <si>
    <t>a) To celebrate France’s glorious past</t>
  </si>
  <si>
    <t>a) Defend illegal immigrants</t>
  </si>
  <si>
    <t>a) Oil companies have little influence at government level discussions</t>
  </si>
  <si>
    <t>a) A magnificent success</t>
  </si>
  <si>
    <t>b) The wolves appear to be destroying other species</t>
  </si>
  <si>
    <t>b) Was previously a supporter of Mugabe</t>
  </si>
  <si>
    <t>b) To discuss the building of a new nuclear plant</t>
  </si>
  <si>
    <t>b) The oil industry has agreed to the proposed measures</t>
  </si>
  <si>
    <t>b) Were not sophisticated</t>
  </si>
  <si>
    <t>b) Mortenson has donated a lot of money to charity</t>
  </si>
  <si>
    <t>b) To experience the dining traditions of Louis XIV</t>
  </si>
  <si>
    <t>b) Explore whether illegal immigration should be reduced</t>
  </si>
  <si>
    <t>b) Oil executives were actively involved in planning the proposed measures</t>
  </si>
  <si>
    <t>b) Beset with catering problems</t>
  </si>
  <si>
    <t>c) Wildlife conservation groups are more concerned about elk than wolves</t>
  </si>
  <si>
    <t>c) Was declined refuge because of false documents</t>
  </si>
  <si>
    <t>c) Prior to the nuclear emergency in Japan</t>
  </si>
  <si>
    <t>c) The U.K. government is in favor of the proposed measures</t>
  </si>
  <si>
    <t>c) Were sent as an attempted terrorist attack</t>
  </si>
  <si>
    <t>c) Mortenson has been convicted of fraud</t>
  </si>
  <si>
    <t>c) To promote French culture and dining</t>
  </si>
  <si>
    <t>c) Argue in favor of the expulsion of all illegal immigrants</t>
  </si>
  <si>
    <t>c) Drilling operations of EU oil companies would not be exempt from the new measures</t>
  </si>
  <si>
    <t>c) A financial disaster</t>
  </si>
  <si>
    <t>d) There has never been a large-scale wolf hunt before</t>
  </si>
  <si>
    <t>d) Is paying tax while waiting for his appeal</t>
  </si>
  <si>
    <t>d) To discuss ways to dispose of nuclear waste</t>
  </si>
  <si>
    <t>d) European national governments have opposed the proposed measures</t>
  </si>
  <si>
    <t>d) Were discussed in the media</t>
  </si>
  <si>
    <t>d) Mortenson’s former associates are now running the charity</t>
  </si>
  <si>
    <t>d) To promote a hotel chain</t>
  </si>
  <si>
    <t>d) Explore ways to reduce illegal immigration</t>
  </si>
  <si>
    <t>d) The new proposed measures will be put into practice in July</t>
  </si>
  <si>
    <t>d) An experiment in cooking in difficult conditions</t>
  </si>
  <si>
    <t xml:space="preserve">B.B.C. News. April 15 2011.
Politicians in the U.S. Congress have for the first time removed a previously threatened animal from the nation’s endangered species list. The move is the culmination of a long dispute that has pitted wolves’ defenders against hunters who said the animals were devastating wild game they wanted for themselves. At the stroke of a pen, U.S. President Barack Obama on Friday stepped into a bloody fight between two American populations with clout in Washington and a loud voice in the news media – wolves and elk. Tucked into a budget bill Mr. Obama signed on Friday is a provision to remove grey wolves in a wide swath of the American West from the U.S. endangered species list. The move, sponsored by a bipartisan group of senators from rural western states and one of several policy measures grafted on to the budget, will eventually allow affected states to manage the size of wolf packs and, hunters say, help restore elk herds they say have been ravaged by hungry wolves.                                                                                                But wildlife conservation groups fear it could set a precedent for political interference in a process that has previously been left to biologists. The law removes federal protection from grey wolves in Montana, Idaho and parts of three other states. Montana and Idaho have already planned wolf hunts, and the wolves’ champions fear the worst. -We may soon be witnessing the second large-scale extermination of wolves in the west,- said Suzanne Stone of Defenders of Wildlife, which has fought vigorously to maintain the wolves’ federal protection.
</t>
  </si>
  <si>
    <t>Peter Solomon, 46, is a former trade union representative who spent 17 years in the transport sector. He is a hardworking taxpayer and father-of-three who, until recently, worked as a security guard in Manchester where he rented a flat. He is also an illegal immigrant. Solomon, a former train conductor, fled Zimbabwe in 2005 in fear for his life after threats from President Robert Mugabe’s supporters and allegations that he was disloyal. He sold his belongings to buy a Malawian passport for $1,000, knowing that Malawians did not then need U.K. visas. However, his use of the passport backfired as he was refused asylum last year on the grounds his is not Zimbabwean and should return to Malawi. After a spell in detention, he is awaiting his appeal in London, supported by the government’s National Asylum Support Service. He cannot work and is on medication for depression. -I’m a professional man, I want to contribute,-insists Solomon. -I can work hard and I want to pay tax, it makes no sense.-                                 Hard-hitting research by the Institute for Public Policy Research (IPPR), highlights how people like Solomon form part of a 618,000-strong underclass in U.K. society. Illegal, or irregular, immigrants include economic migrants stowing away to work clandestinely. Yet others fall into illegality, sometimes unwittingly, while some, like Solomon occupy a grey area. Today’s 151-page report, -No Easy Options-, attempts to deal pragmatically with a contentious issue. The report asks not if irregular immigration should be reduced, but how. -Our report is an attempt to steer a middle course between the ‘kick them all out’ and ‘let them all stay’ lines of argument,- says Tim Finch, the report’s co-author and former director of communications at the Refugee Council.</t>
  </si>
  <si>
    <t xml:space="preserve">The Guardian. April 19 2011.
European plans to crack down hard on oil companies with a series of measures to prevent a spill in EU waters like that of BP’s Gulf of Mexico disaster, are under attack from the U.K. and other national governments. The measures, backed by the EU’s energy chief, Gunter Oettinger, require companies to use a higher standard of equipment, pay for damage for which they are not liable now, and prove they have enough funds to clear up after any accident, before they can be licensed to drill. The rules will be brought forward in July, and would apply to new and controversial deepwater drilling operations being embarked upon by several firms, such as Chevron at its site west of Shetland, and Cairn Energy in Greenland.                                                              Green campaigners welcomed the tougher stance from the European commission, but warned that the proposals were under attack. Richard George, an oil campaigner for Greenpeace, said: -If these regulations pass they’ll be a good first step towards ensuring that the oil companies are held responsible for their spills. The concern right now is that national governments, with U.K. at the forefront, are working hard to water down these proposals at the behest of the oil companies. David Cameron needs to get behind efforts to prevent a Deepwater Horizon-style disaster in European waters.-                                                                                                                                      The oil industry is mounting a rearguard action, to get the rules changed before they can be brought into effect. 
</t>
  </si>
  <si>
    <t xml:space="preserve">The Guardian. April 18 2011.
Greg Mortenson, best-selling author, philanthropist, mountaineer and favorite of President Barack Obama is fighting off another title: fraudster. The influential author of ‘Three Cups of Tea’ has become the latest bestselling memoir writer to be accused of passing off fiction as fact. Mortenson’s book is an inspirational tale of a mountaineer who finds a remote village after failing to climb K2, the world’s second highest mountain. He is taken in by strangers and three cups of tea later he promises to build them a school. The charity inspired by the encounter has raised $60m and in 2009 said it was supporting 54 schools in Afghanistan serving 28,475 students, 21,165 of them girls. Obama donated $100,000 to the group from the proceeds of his Nobel prize. The book has become required reading for US servicemen heading for Afghanistan.                                                                                                                                                             But reporters for CBS’s 60 Minutes program visited almost 30 of the schools and claimed that roughly half were empty, built by someone else or not receiving any support. The program alleged that Mortenson’s charity, Central Asia Institute (CAI), spent more on book promotion and publicity than on building schools. Mortenson took private jets to events where he was paid $30,000 to speak, according to the program, and former associates accused him of using CAI as his own -private cash machine-. Mortenson denies the allegations.
</t>
  </si>
  <si>
    <t>Better, Not Bigger.The notion that our progress (and happiness) equates to our consumption became very strongly embedded in economic policy not least because we can measure consumption, and although we know it’s imperfect at some level, it works. There is however, a whole array of proposals aimed at readdressing this.                                                                                                                     For example, the Redefining Progress approach is based on broadening our conception of affluence beyond Gross Domestic Product (GDP) to the Genuine Progress Indicator. The ‘capability approach’, articulated by India’s Nobel Prize winning economist Amartya Sen and others, has provided the basis for the Human Development Index and mainstream acceptance of wider measures of welfare.                                                                                                                           Some are advocating economic changes that address the key problems affecting the world’s resources and climate systems. Jackson, believes, as many have long warned, that we must recognize that exponential growth interacts with resources so that we may begin to adjust our economic activity in the face of scarcity and constraint.                                                                         -Prosperity consists in our ability to flourish as human beings –within the ecological limits of a finite planet,- states Jackson in the report. -The challenge for our society is to create the conditions under which this is possible. It is the most urgent task of our times.-                                    So, beyond concepts of green growth or sustainable growth there is also that of ‘no growth’. The latter is distinguished by the fact that it does not equate ‘development’ with economic expansion. The so-called ‘steady state economy’ would look very different than our current system. We may share jobs, which would mean less income but, if we must still believe that time is money, increasing our time capital would afford us the luxury of doing the things that money can’t, or would no longer be needed to, buy. The Center for the Advancement of the Steady State Economy has summarized a number of policies from leading thinkers in this area</t>
  </si>
  <si>
    <t xml:space="preserve">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
  </si>
  <si>
    <t>Last March, Tim Jackson put forward the idea of prosperity without growth in a report published by the United Kingdom’s Sustainable Development Commission and followed up with a book of the same name released last November. The book is a best seller (ranked 1,729 on Amazon) and in it he argues convincingly that we can still prosper without adhering to the encoded mantra of expansion and growth that permeates modern market economies.                           More recently, in January 2010, Andrew Simms and Victoria Johnson at the New Economics Foundation (NEF) published a more emphatic message in their report entitled Growth Isn’t Possible. They argue that we should abandon the notion of growth altogether. The premise is that we need a new economic model -that allows the human population as a whole to thrive without having to rely on ultimately impossible endless increases in consumption.-                                        In influential forums – like the G8 or G20, for instance - while it is acceptable and even desirable to use the word ‘sustainability’ in communiqués, it is most certainly taboo to equate -no economic growth- to social good. However, such heresy nonetheless finds traction (if only in book sales), even when our world is suffering from the ills of economic recession.                              When addressing our environmental ills, the closest we ever seem to get is -decoupling-. This idea has been around for decades and essentially suggests that we can break the links between economic growth and nasty side effects like pollution (e.g., carbon dioxide).  Decoupling is done by producing things more efficiently –using less (and preferably renewable)  energy or using technology to capture the pollution. However, Jackson says that this relative decoupling is a myth – simply the acceptable face of sustainability that leaves our complex social and economic systems unchanged</t>
  </si>
  <si>
    <t>Just hours after returning to the United States on an overnight flight from Afghanistan Tuesday, General David Petraeus appeared at the Woodrow Wilson International Center for Scholars to talk about the U.S.  Central Command he heads and U.S. efforts in Iraq and Afghanistan, looking not the least bit jet lagged.                                                                                Petraeus is intelligent, well-spoken and polished, and his comments about the challenges facing the United States sounded more like those of a politician or diplomat than a general. He often speaks about his job in political terms and is keenly aware of the local political pressures, which have a huge impact on successful military outcomes.                                                                                    He talks about having “a constituency” in Iraq and Afghanistan of local residents who will -tolerate- the U.S. presence as long as they believe their future and those of their families will be improved by it. He also has a keen instinct and appreciation for the essential public relations aspects of his job and says the U.S. military should always -be first with the truth” when it comes to their actions abroad.                                                                                                       Petraeus has frequently been compared to warrior/president Dwight Eisenhower and has for years been mentioned as a potential presidential candidate. But the comparisons to Eisenhower may actually do the 57-year-old Petraeus a bit of a disservice.                                               Petraeus, a true warrior/scholar, graduated at the top of his class at West Point and has a Ph.D from Princeton, where the title of his dissertation was, -The American Military and the Lessons of Vietnam.- He has a reputation for courting not only his military and executive branch bosses but members of Congress and the media, who seem to largely be Petraeus fans.                                                            Republican Sen. Lindsey Graham told the -New York Times- last fall that Petraeus -understands the Congress better than any military commander I’ve ever met.- According to those who know him and have served with him, Petraeus is fiercely competitive, although he is smaller than one might expect at five feet nine inches tall, with a slight but athletic build</t>
  </si>
  <si>
    <t xml:space="preserve">35.The Sudan
The UN is stepping up pressure on Sudan to ensure that a referendum which could lead to the break-up of the country goes ahead as planned early next year. It all goes back to a peace deal reached in 2005 to end decades of civil war. As part of that agreement the people of southern Sudan were promised a chance to vote on whether to secede from the north.
Which statement is correct according to the report?
</t>
  </si>
  <si>
    <t xml:space="preserve">36. Pakistan’s anger
The US is trying to calm Pakistan’s anger over a helicopter strike that killed three Pakistani soldiers last week. Pakistan reacted by closing supply lines into Afghanistan. Now the Obama administration wants to defuse tensions over other issues. One is defining exactly what role Pakistan will play in neighbouring Afghanistan’s efforts at reconciliation with the Taliban. 
Which statement is correct? 
</t>
  </si>
  <si>
    <t xml:space="preserve">37. Yemen
Militants in Yemen have fired a rocket propelled grenade at a motorcade carrying British embassy staff. The convoy was hit by shrapnel slightly injuring one of the British diplomats. The attack comes just six months after Britain’s Ambassador to Yemen was targeted by a suicide bomber. In a separate attack a security guard shot dead a French employee working for a western oil company in Yemen
Which statement is true according to the report?
</t>
  </si>
  <si>
    <t xml:space="preserve">38. Anti-obesity campaign
New York mayor, Michael Bloomberg wants to bar poor people from using food stamps to buy soda and other sugary drinks. The ban would continue the city’s anti-obesity campaign. The city can’t impose it without permission from the Agriculture Department in Washington which runs the food stamp programme.
What does Michael Bloomberg want to do?
</t>
  </si>
  <si>
    <t xml:space="preserve">39. Rainforests
Rainforests, in particular near the Equator have incredibly significant impact on regional hydrology. They’re props to the water cycle and therefore losing them has serious implications for potential rainfall of very wide areas. There’s an estimate that agriculture in South America and even up into the Mid-west of the US would suffer grievously if the Amazon rainforest was to disappear for example
What can be said about rainforests?
</t>
  </si>
  <si>
    <t xml:space="preserve">40. Torture
Poland and Lithuania have joined a grim list of countries where people have been tortured in the name of the so-called War on Terror. It’s been known for a while that the CIA contracted out the torture of high-level terrorism suspects but an official who’s uncovered a secret network of  prisons in Europe has told the BBC there’s now evidence to a criminal standard of proof that Khnad Sheik Mohammed, the man accused of masterminding the 9/11 attacks was water-boarded in Poland months before it joined the European Union.
Which of the following statements is true?
</t>
  </si>
  <si>
    <t xml:space="preserve">21. Nigerian scams
A recent history of organised crime around the world makes the point that Nigerian gangsters tend not to be violent like their Columbian, Russian or  Sicilian rivals. They tend instead to be clever and inventive and at the heart of phone fraud and Internet scams. The BBC has conducted an investigation into their latest fraud – to pose as  American servicemen on internet dating sites, even stealing the identities of soldiers who’ve been killed in action to cheat money out of women.
What can be said about Nigerian gangsters?
</t>
  </si>
  <si>
    <t xml:space="preserve">22. Property market influences elections
Now it was the US housing market which began the global financial crisis three years ago and it’s still going to have an impact on the next American elections. The mid-term Congressional vote takes place in about six weeks time and the property market is bound to be one of the biggest underlying issues on voters’ minds. The problem is that politicians can’t really do very much about it. The market remains stagnant …
Which statement is correct?
</t>
  </si>
  <si>
    <t xml:space="preserve">23. The Eiffel Tower
Good evening. It was quite a sight this evening - 700 people evacuated out of the Eiffel Tower anxiously ushered down one thousand feet to the ground and it’s the second time this has happened in two weeks. There was no bomb but French officials have issued a high alert for a group of terrorists said to be targeting a number of countries including the USA.
Which statement is correct?
</t>
  </si>
  <si>
    <t xml:space="preserve">24. Boat heads for Gaza
A boat carrying Jewish activists from Israel, Europe and the US set sail on Sunday from Cyprus bound for Gaza in  an attempt to break Israel’s blockade of the Palestinian territory, but the organizers expect the vessel ‘The Irene’ will be intercepted by the Israeli authorities before it reaches port. A similar expedition in May ended with nine activists dead after Israeli commandos boarded their ship.
Which statement about the boat is correct according to what you have heard?
</t>
  </si>
  <si>
    <t xml:space="preserve">25. Train Afghan soldiers for handover
The West’s exit strategy from Afghanistan depends on handing over to Afghan troops but in order for that to happen those troops need to be trained and at the moment it seems there aren’t enough people to do the training. That’s the message that the head of the NATO training mission in Afghanistan has been giving to officials during a briefing at NATO Headquarters in Brussels
Which statement is true?
</t>
  </si>
  <si>
    <t xml:space="preserve">26  November elections
The United States is looking ahead to the mid-term Congressional elections in November and the outcome could well be determined by how well or perhaps more to the point how badly the Government is seen to have handled the economic crisis. President Obama’s various stimulus measures  have yet to produce the  sort of overall positive results  that the White House would have had wanted. But there is one sector where the strategy seems to have reaped dividends – the tax-payer-funded bailout of two of America’s giant car companies, general Motors and Chrysler, does appear to have worked. The companies are making money again
What might strongly influence the outcome of the elections?
</t>
  </si>
  <si>
    <t xml:space="preserve">27. AIDS
This annual report carries particular significance because world leaders had pledged to achieve widespread access to HIV drugs by the end of this year. The WHO, UNICEF and the UN’s  AIDS programme estimate that five and a quarter million people in developing countries now receive vital  combination therapy to slow down HIV. But the agencies believe fourteen and a half million people in total need drug treatment. Universal access to treatment has been achieved in countries such as Cambodia, Romania and Rwanda but the report highlights how many poorer nations who are most affected by HIV still don’t devote significant amounts of their own budgets to the problem.
Which statement is correct according to the annual report?
</t>
  </si>
  <si>
    <t xml:space="preserve">28. Philanthropy
Bill Gates and  Warren Buffet are famous for having billions of dollars and also for pledging to give most of it away to charity. They’re also on a mission to convince other billionaires to do the same. On Wednesday, they’re taking their message to China and they’re hosting a dinner in Beijing to learn more about philanthropy there and one of those involved is multi-millionaire businessman Cheng .. He’s already pledged to give away all his money when he dies.
What can be said about Bill Gates and Warren Buffet?
</t>
  </si>
  <si>
    <t xml:space="preserve">29. Air crash
A French report by corter?? pointed experts released overnight has concluded pilot error was to blame for the Airbus 320 crash which killed 5 New Zealanders and two German pilots. French prosecutors say they will not lay manslaughter charges against anyone over the Air New Zealand crash which occurred off the coast of France, you recall,  in 2008  
Which statement is correct?
</t>
  </si>
  <si>
    <t xml:space="preserve">30. The future of the US
How do you size up the situation today? There were a lot of similarities between 1994 and today in regard to the presidents – little difference. President Clinton ..  was ..had made himself unpopular because of his positions on the Crime Bill, gun control issues and certainly on health care. But those were specific issues. I think today there’s this palpable concern in the country -literally about the future of America. People are saying to us as we go round the country, an’ we talk to folks you know ‘I’m worried about that … you know ..the next few years ..an’ I ..and our kids aren’t gonna have any future, and  this country  is just goin to hell in a hand basket. 
What does the speaker say?
</t>
  </si>
  <si>
    <t xml:space="preserve">31. Banking in Afghanistan
What’s interesting about what we were doing in Afghanistan was something called EMPETA which is a person to person money transfer service, and that’s in a country where there’s very limited banking infrastructure. I think it’s about only three percent of people have access to regular bank and there’s very little trust in the formal banking infrastructure as well and relatively high levels of graft. So in a country like Afghanistan, that technology is highly disruptive and we think also the lessons we can learn there we can apply to other countries as well.
What can be said about Afghanistan?
</t>
  </si>
  <si>
    <t xml:space="preserve">32. Joan Sutherland
She toured Australia way back in the sixties sometime, I can’t exactly remember. I was sort of..very, very young at that time and you could hear this voice and this person … and of course, you know  she was a big lady so there was a huge presence when she was either on stage , in photos and everything and when you actually met her you know she was … she was a large lady
What impression do we get from the extract?
</t>
  </si>
  <si>
    <t xml:space="preserve">33. Education
The problem of university funding is one of the trickiest facing the coalition government at a time of austerity. Universities in England say they’re facing a financial black hole of more than a billion pounds in two years if they can’t charge more for tuition fees.  This government, like its predecessor won’t make up the gap. Students are going to have to pay more. But how to make it fair….
Which statement is correct about universities in England?
</t>
  </si>
  <si>
    <t xml:space="preserve">2. James Bailey and O.C.D.                                                                           
Why did James Bailey go to a treatment clinic? 
</t>
  </si>
  <si>
    <t xml:space="preserve">25. The AK-47
What impression do we get about the AK-47 from the extract?
</t>
  </si>
  <si>
    <t xml:space="preserve">39. I.O.T.C.- The Medieval University.                                                                                       
What is said about medieval universities?
</t>
  </si>
  <si>
    <t xml:space="preserve">40. Great Lives: Graham Greene.                                                                                                
What was true about Graham Greene’s writing habits?
</t>
  </si>
  <si>
    <t>EXAMEN 6/MP3/Q-01 EXAMEN 6.mp3</t>
  </si>
  <si>
    <t>EXAMEN 6/MP3/Q-02 EXAMEN 6.mp3</t>
  </si>
  <si>
    <t>EXAMEN 6/MP3/Q-03 EXAMEN 6.mp3</t>
  </si>
  <si>
    <t>EXAMEN 6/MP3/Q-04 EXAMEN 6.mp3</t>
  </si>
  <si>
    <t>EXAMEN 6/MP3/Q-05 EXAMEN 6.mp3</t>
  </si>
  <si>
    <t>EXAMEN 6/MP3/Q-06 EXAMEN 6.mp3</t>
  </si>
  <si>
    <t>EXAMEN 6/MP3/Q-07 EXAMEN 6.mp3</t>
  </si>
  <si>
    <t>EXAMEN 6/MP3/Q-08 EXAMEN 6.mp3</t>
  </si>
  <si>
    <t>EXAMEN 6/MP3/Q-09 EXAMEN 6.mp3</t>
  </si>
  <si>
    <t>EXAMEN 6/MP3/Q-10 EXAMEN 6.mp3</t>
  </si>
  <si>
    <t>EXAMEN 6/MP3/Q-11 EXAMEN 6.mp3</t>
  </si>
  <si>
    <t>EXAMEN 6/MP3/Q-12 EXAMEN 6.mp3</t>
  </si>
  <si>
    <t>EXAMEN 6/MP3/Q-13 EXAMEN 6.mp3</t>
  </si>
  <si>
    <t>EXAMEN 6/MP3/Q-14 EXAMEN 6.mp3</t>
  </si>
  <si>
    <t>EXAMEN 6/MP3/Q-15 EXAMEN 6.mp3</t>
  </si>
  <si>
    <t>EXAMEN 6/MP3/Q-16 EXAMEN 6.mp3</t>
  </si>
  <si>
    <t>EXAMEN 6/MP3/Q-17 EXAMEN 6.mp3</t>
  </si>
  <si>
    <t>EXAMEN 6/MP3/Q-18 EXAMEN 6.mp3</t>
  </si>
  <si>
    <t>EXAMEN 6/MP3/Q-19 EXAMEN 6.mp3</t>
  </si>
  <si>
    <t>EXAMEN 6/MP3/Q-20 EXAMEN 6.mp3</t>
  </si>
  <si>
    <t>EXAMEN 6/MP3/Q-21 EXAMEN 6.mp3</t>
  </si>
  <si>
    <t>EXAMEN 6/MP3/Q-22 EXAMEN 6.mp3</t>
  </si>
  <si>
    <t>EXAMEN 6/MP3/Q-23 EXAMEN 6.mp3</t>
  </si>
  <si>
    <t>EXAMEN 6/MP3/Q-24 EXAMEN 6.mp3</t>
  </si>
  <si>
    <t>EXAMEN 6/MP3/Q-25 EXAMEN 6.mp3</t>
  </si>
  <si>
    <t>EXAMEN 6/MP3/Q-26 EXAMEN 6.mp3</t>
  </si>
  <si>
    <t>EXAMEN 6/MP3/Q-27 EXAMEN 6.mp3</t>
  </si>
  <si>
    <t>EXAMEN 6/MP3/Q-28 EXAMEN 6.mp3</t>
  </si>
  <si>
    <t>EXAMEN 6/MP3/Q-29 EXAMEN 6.mp3</t>
  </si>
  <si>
    <t>EXAMEN 6/MP3/Q-30 EXAMEN 6.mp3</t>
  </si>
  <si>
    <t>EXAMEN 6/MP3/Q-31 EXAMEN 6.mp3</t>
  </si>
  <si>
    <t>EXAMEN 6/MP3/Q-32 EXAMEN 6.mp3</t>
  </si>
  <si>
    <t>EXAMEN 6/MP3/Q-33 EXAMEN 6.mp3</t>
  </si>
  <si>
    <t>EXAMEN 6/MP3/Q-34 EXAMEN 6.mp3</t>
  </si>
  <si>
    <t>EXAMEN 6/MP3/Q-35 EXAMEN 6.mp3</t>
  </si>
  <si>
    <t>EXAMEN 6/MP3/Q-36 EXAMEN 6.mp3</t>
  </si>
  <si>
    <t>EXAMEN 6/MP3/Q-37 EXAMEN 6.mp3</t>
  </si>
  <si>
    <t>EXAMEN 6/MP3/Q-38 EXAMEN 6.mp3</t>
  </si>
  <si>
    <t>EXAMEN 6/MP3/Q-39 EXAMEN 6.mp3</t>
  </si>
  <si>
    <t>EXAMEN 6/MP3/Q-40 EXAMEN 6.mp3</t>
  </si>
  <si>
    <t>a. He left his son in Egypt.</t>
  </si>
  <si>
    <t>b. He became king when he was a baby.</t>
  </si>
  <si>
    <t>c. He participated in the overthrow of Hosni Mubarak.</t>
  </si>
  <si>
    <t>d. He has declared plans to return to Egypt.</t>
  </si>
  <si>
    <t>a. To get help with drug addiction.</t>
  </si>
  <si>
    <t>b. To help a friend with behavioral problems.</t>
  </si>
  <si>
    <t>c. To get help for a mental disorder.</t>
  </si>
  <si>
    <t xml:space="preserve">d. To research a novel.                                                                                                           </t>
  </si>
  <si>
    <t>a. Markpress helped the Nigerian Government</t>
  </si>
  <si>
    <t>b. A public relations agency changed the way people saw war</t>
  </si>
  <si>
    <t>c. People in the west ignored  the Biafran war</t>
  </si>
  <si>
    <t>d. The Biafran  government transformed  relations with the West</t>
  </si>
  <si>
    <t>a. The truth about the seven dwarfs</t>
  </si>
  <si>
    <t>b. There are no diamond mines any more</t>
  </si>
  <si>
    <t>c. There is a shortage of miners</t>
  </si>
  <si>
    <t>d. Fewer Americans do physically demanding work</t>
  </si>
  <si>
    <t>a. It has cut economic ties with the Syrian regime</t>
  </si>
  <si>
    <t>b. It has objected to Syrian  treatment of demonstrators</t>
  </si>
  <si>
    <t>c. It found a new way to deal with dissidents</t>
  </si>
  <si>
    <t>d. It consulted with other Arab nations</t>
  </si>
  <si>
    <t>a. It favours  targeting coercive measures on Syria’s  natural resources</t>
  </si>
  <si>
    <t xml:space="preserve">b. It has suggested December as a deadline for a decision to be taken </t>
  </si>
  <si>
    <t>c. It wants to punish ordinary citizens</t>
  </si>
  <si>
    <t>d. It disagrees with Peter Harling’s assessment of sanctions</t>
  </si>
  <si>
    <t>a. It is a place to care for wounded troops</t>
  </si>
  <si>
    <t>b. It is a hospital and research centre</t>
  </si>
  <si>
    <t>c. It is  devoted exclusively to the study of malaria</t>
  </si>
  <si>
    <t>d. The hospital is temporarily closed</t>
  </si>
  <si>
    <t>a. It is a hospital and research centre</t>
  </si>
  <si>
    <t>b. They look more like trucks than cars</t>
  </si>
  <si>
    <t>c. Some models require a lot of fuel</t>
  </si>
  <si>
    <t xml:space="preserve">d. There was a shortage of oil </t>
  </si>
  <si>
    <t>a. It is  devoted exclusively to the study of malaria</t>
  </si>
  <si>
    <t>b. A survey found that young people don’t like it</t>
  </si>
  <si>
    <t>c. It helps young people to gain work experience</t>
  </si>
  <si>
    <t>d. It is only suitable for specific age groups</t>
  </si>
  <si>
    <t>a. The hospital is temporarily closed</t>
  </si>
  <si>
    <t>b. They organize tribute concerts to famous people</t>
  </si>
  <si>
    <t>c. They first called themselves Musical Box</t>
  </si>
  <si>
    <t>d. Pink Floyd fans were interested in seeing them perform</t>
  </si>
  <si>
    <t>a. The reaction of the public to televising in a public space</t>
  </si>
  <si>
    <t>b. How many hours broadcasting people can endure</t>
  </si>
  <si>
    <t>c. If the content televised makes people shop more</t>
  </si>
  <si>
    <t>d. If people prefer watching TV in the square to at home</t>
  </si>
  <si>
    <t>a. It was a website where criminals could learn English</t>
  </si>
  <si>
    <t>b. It facilitated breaking the law</t>
  </si>
  <si>
    <t>c. Anyone could become a member</t>
  </si>
  <si>
    <t>d. It is still a thriving business</t>
  </si>
  <si>
    <t>a. There are never any mining disasters now</t>
  </si>
  <si>
    <t>b. An attempt has been made to rescue 14 men and boys</t>
  </si>
  <si>
    <t>c. In  Wales, mining is not as important as it was in the past</t>
  </si>
  <si>
    <t>d. Rescue workers did not expect to find the miners</t>
  </si>
  <si>
    <t>a. Ecuador couldn’t have a court case in  the US</t>
  </si>
  <si>
    <t>b. Chevron is accused of contaminating the Ecuadorian rainforest</t>
  </si>
  <si>
    <t>c. Chevron sold its assets in Ecuador to pay the compensation</t>
  </si>
  <si>
    <t>d. Chevron is an American construction company</t>
  </si>
  <si>
    <t>a. It has been performed for forty years</t>
  </si>
  <si>
    <t>b. It was first staged in Russia</t>
  </si>
  <si>
    <t>c. It has obtained excellent reviews in Austria</t>
  </si>
  <si>
    <t>d. It was written by an SS officer</t>
  </si>
  <si>
    <t>a. The cost has plummeted</t>
  </si>
  <si>
    <t>b. It causes climate change</t>
  </si>
  <si>
    <t>c. There is only half as much as before</t>
  </si>
  <si>
    <t>d. It is being limited</t>
  </si>
  <si>
    <t>a. They crash into the Earth very infrequently</t>
  </si>
  <si>
    <t>b. All of them burn up</t>
  </si>
  <si>
    <t>c. They last for a year</t>
  </si>
  <si>
    <t>d. They survive the impact</t>
  </si>
  <si>
    <t>a. It is impossible to save now</t>
  </si>
  <si>
    <t>b. Money is losing its original qualities</t>
  </si>
  <si>
    <t>c. Credit cards have completely substituted cash</t>
  </si>
  <si>
    <t xml:space="preserve">d. Today, money has an eerie quality  </t>
  </si>
  <si>
    <t>a. She thinks it is a cosmetic reform</t>
  </si>
  <si>
    <t>b. She thinks women won’t be allowed to drive</t>
  </si>
  <si>
    <t>c. It implies they will eventually have other freedoms</t>
  </si>
  <si>
    <t>d. Men will then be pro-active</t>
  </si>
  <si>
    <t>a. Cloning babies is a reality now</t>
  </si>
  <si>
    <t>b. Cloning technology should not be abused</t>
  </si>
  <si>
    <t>c. Stem cells are easy to obtain</t>
  </si>
  <si>
    <t>d. The public supports reproductive cloning</t>
  </si>
  <si>
    <t>a.  Arafat was the first terrorist ever to speak at the UN</t>
  </si>
  <si>
    <t>b. The PLO requested a hearing in the United Nations</t>
  </si>
  <si>
    <t>c. Arafat received an invitation to speak at the UN</t>
  </si>
  <si>
    <t xml:space="preserve">d. Israelis and Jewish groups boycotted the event </t>
  </si>
  <si>
    <t>a. They confronted government soldiers at a fundraising event</t>
  </si>
  <si>
    <t>b. They tried to make  Gadaffi’s soldiers conscious of their actions</t>
  </si>
  <si>
    <t>c. They sold compact discs of Western music</t>
  </si>
  <si>
    <t>d. They tried to get into politics</t>
  </si>
  <si>
    <t>a. Daily demonstrations have been going on for a century</t>
  </si>
  <si>
    <t>b. Historically, protesters represented a wide range of political opinions</t>
  </si>
  <si>
    <t>c. In the 20th century demonstrations became fewer and fewer</t>
  </si>
  <si>
    <t>d. At the moment, protesters have occupied the JP Morgan building</t>
  </si>
  <si>
    <t xml:space="preserve">a. He kept in regular contact with his parents </t>
  </si>
  <si>
    <t>b. He went to Yemen and Pakistan  to fight with the Taliban</t>
  </si>
  <si>
    <t>c. He was involved in the September 11th attacks</t>
  </si>
  <si>
    <t>d. His parents believe he was wrongly accused</t>
  </si>
  <si>
    <t>a. It was found only in select  places</t>
  </si>
  <si>
    <t>b. It was used in the ghettoes during the New Orleans floods</t>
  </si>
  <si>
    <t>c. It was imported into the US from Vietnam by right-wing gun clubs</t>
  </si>
  <si>
    <t>d. The factory will stay open  to meet the demand</t>
  </si>
  <si>
    <t>a. Self diagnosis is on the increase</t>
  </si>
  <si>
    <t>b. A doctor who bought drugs on the internet died</t>
  </si>
  <si>
    <t>c. It is easy to tell when websites are false</t>
  </si>
  <si>
    <t>d. Viagra and tranquillizers are the most popular drugs on the internet</t>
  </si>
  <si>
    <t>a. He enjoys being connected all the time</t>
  </si>
  <si>
    <t>b. The events he sees on the net have an unreal quality</t>
  </si>
  <si>
    <t>c. He’s worried in case he gets a message during the night</t>
  </si>
  <si>
    <t>d. He doesn’t bother with social networks</t>
  </si>
  <si>
    <t>a. Child deaths are more frequent in Canada</t>
  </si>
  <si>
    <t>b. Parents have no rights in Ontario, Canada</t>
  </si>
  <si>
    <t>c. Parents are sometimes mistakenly accused of murder</t>
  </si>
  <si>
    <t>d. Experts never make mistakes in diagnosing the cause of death</t>
  </si>
  <si>
    <t>a. He was protesting against torture in Iranian prisons</t>
  </si>
  <si>
    <t>b. He studied abroad for a time</t>
  </si>
  <si>
    <t>c. He  was ignored by the international community</t>
  </si>
  <si>
    <t>d. He became a Canadian citizen</t>
  </si>
  <si>
    <t>a. Passengers usually remember flight safety rules in an emergency</t>
  </si>
  <si>
    <t>b. Courses on aircraft safety are now available on some airlines</t>
  </si>
  <si>
    <t>c. If travelers do an airline safety course they receive frequent flyer points</t>
  </si>
  <si>
    <t>d. The course takes place in real-life situations</t>
  </si>
  <si>
    <t>a. Commercial whaling has been going on for  twenty-five years</t>
  </si>
  <si>
    <t>b. Traditional hunting techniques must be used to kill whales</t>
  </si>
  <si>
    <t>c. Every country has been assigned a quota</t>
  </si>
  <si>
    <t>d. Despite a ban imposed many whales are still being killed</t>
  </si>
  <si>
    <t>a. It trades in spices</t>
  </si>
  <si>
    <t>b. It is recognizable by a brown envelope</t>
  </si>
  <si>
    <t>c. You can buy illegal drugs on it</t>
  </si>
  <si>
    <t>d. It is easy to get into the website</t>
  </si>
  <si>
    <t>a. He subjects were victims of major world catastrophes</t>
  </si>
  <si>
    <t>b. He served in the Vietnam War</t>
  </si>
  <si>
    <t>c. He  returned to the US to practice psychiatry</t>
  </si>
  <si>
    <t>d. His wife was from Hong Kong</t>
  </si>
  <si>
    <t>a. Florida  does not have a lot of tomato growers</t>
  </si>
  <si>
    <t>b. Today, tomatoes are home-grown</t>
  </si>
  <si>
    <t>c. Agri businesses have a negative effect on tomatoes</t>
  </si>
  <si>
    <t>d. Conditions in Florida are optimum for tomato-growing</t>
  </si>
  <si>
    <t>a. The company got into serious  financial difficulties</t>
  </si>
  <si>
    <t>b. The drink was too sugary</t>
  </si>
  <si>
    <t>c. Other companies competed with exactly the same product</t>
  </si>
  <si>
    <t>d. It had been losing customers for a long time</t>
  </si>
  <si>
    <t>a. The aftermath of World War II</t>
  </si>
  <si>
    <t>b. A comparison of  US and Pakistani cities</t>
  </si>
  <si>
    <t>c. What happens with the rapid growth of cities</t>
  </si>
  <si>
    <t>d. How quickly time passes</t>
  </si>
  <si>
    <t xml:space="preserve">a. The scientific community agree that earthquake prediction is  impossible </t>
  </si>
  <si>
    <t>b. Scientists in Italy failed to heed clear warning signs</t>
  </si>
  <si>
    <t>c. Scientists are responsible for the deaths of the earthquake victims</t>
  </si>
  <si>
    <t>d. In Aquila, thousands of lives were saved due to forecasts</t>
  </si>
  <si>
    <t>a. Van Gogh asked two boys to shoot him</t>
  </si>
  <si>
    <t>b. Art historians agree with the theory in the new biography</t>
  </si>
  <si>
    <t>c. A new book questions the fact that Van Gogh’s killed himself</t>
  </si>
  <si>
    <t>d. Van Gogh died in a wheat field</t>
  </si>
  <si>
    <t>a. They emphasized Theology in their curriculum.</t>
  </si>
  <si>
    <t>b. 800 years ago, there were 115 of them in Britain.</t>
  </si>
  <si>
    <t>c. They appeared first in Britain.</t>
  </si>
  <si>
    <t xml:space="preserve">d. Their model of education differed a lot from the modern one.                                          </t>
  </si>
  <si>
    <t>a. He wrote from nine until five o’clock every day.</t>
  </si>
  <si>
    <t>b. He wrote fewer than 200 words a day.</t>
  </si>
  <si>
    <t>c. He wrote in a form of short hand.</t>
  </si>
  <si>
    <t>d. He later reduced the number of words he wrote each day.</t>
  </si>
  <si>
    <t xml:space="preserve">1.  The Last King of Egypt     (First,) when the Egyptian President, Hosni Mubarak, was toppled by a populist revolution earlier this year, one man was watching with particular interest. He’s Ahmed Fuad the second, the last king of Egypt. Fuad the second, was just six months old in 1952, when his father abdicated, handing the crown to his baby son. It was a failed attempt to appease revolutionaries and anti-royalist forces in the country. In fact, the baby king ruled for less than a year as Egypt was declared a republic in 1953 and the royal family were forced into exile. King Faruk went to live in Rome, while his children were brought up in Switzerland. Fuad moved to Paris for a time, but has now returned to live in Switzerland. In recent years, he’s been able to make brief visits to Egypt.                                                                  
What can be said about the last king of Egypt? 
</t>
  </si>
  <si>
    <t xml:space="preserve">2. James Bailey and O.C.D.                                                                           
Now, when the American actor James Bailey moved to Hollywood to look for a job, he was in his late teens. Friends noticed that his behavior was becoming increasingly bizarre. He was paranoid about cleanliness and suffered from delusions that mind-warping drugs were leaking into his system. In short, James was suffering from obsessive-compulsive disorder or O.C.D. It’s the fourth most common mental health disorder in the U.S.A. with an estimated 3.3 million sufferers. James’ disorder became so bad that he thought of committing suicide. Eventually he went to a clinic to seek radical treatment to cure his problems. The book he wrote about his experience has since become a best-seller in the States and there are now plans to turn it into a Hollywood movie.
Why did James Bailey go to a treatment clinic? 
</t>
  </si>
  <si>
    <t xml:space="preserve">39. I.O.T.C.- The Medieval University.                                                                                       
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 was tremendous and forever altered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
What is said about medieval universities?
</t>
  </si>
  <si>
    <t xml:space="preserve">40. Great Lives: Graham Greene.                                                                                                
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What was true about Graham Greene’s writing habits?
</t>
  </si>
  <si>
    <t xml:space="preserve">1.  The Last King of Egypt.                                                                       
What can be said about the last king of Egypt? 
</t>
  </si>
  <si>
    <t xml:space="preserve">3. Tracing the origins of humanitarian intervention.
Which statement is true according to the extract?
</t>
  </si>
  <si>
    <t xml:space="preserve">4. Reflections on work.
What has changed on the American labour scene?
</t>
  </si>
  <si>
    <t xml:space="preserve">5. Turkey and Syria I.  
How has Turkey’s attitude to Syria changed?
</t>
  </si>
  <si>
    <t xml:space="preserve">6. Turkey and Syria   II.
According to the extract, what is the attitude of the European Union?
</t>
  </si>
  <si>
    <t xml:space="preserve">7. The Walter Reed Army Medical Centre.
What can be said about the Walter Reed Medical Centre?
</t>
  </si>
  <si>
    <t xml:space="preserve">8. SUVs.
Why were SUVs attacked?
</t>
  </si>
  <si>
    <t xml:space="preserve">9.  A helping hand.
What can be said about volunteer work?
</t>
  </si>
  <si>
    <t xml:space="preserve">10. Tribute bands.
Which sentence is correct about Australian Pink Floyd?
</t>
  </si>
  <si>
    <t xml:space="preserve">11. The big screen.
What does the Big Screen management want to observe?
</t>
  </si>
  <si>
    <t xml:space="preserve">12. Misha Glenny and his book Dark Market.
What can we say about Dark Market?
</t>
  </si>
  <si>
    <t xml:space="preserve">13. Mining accident in South Wales.
What impression do we get from the text?
</t>
  </si>
  <si>
    <t xml:space="preserve">14. Chevron vs. Ecuador.
Which statement is correct according to the extract?
</t>
  </si>
  <si>
    <t xml:space="preserve">15. The opera “Passenger”.
What can be said about the Passenger?
</t>
  </si>
  <si>
    <t xml:space="preserve">16. Solar energy.
What can be said about solar energy?
</t>
  </si>
  <si>
    <t xml:space="preserve">17. Nasa satellite re-enters the earth.
What can be said about some objects that crash into the Earth?
</t>
  </si>
  <si>
    <t xml:space="preserve">18. Money.
Which statement is correct according to the extract?
</t>
  </si>
  <si>
    <t xml:space="preserve">19. Saudi women.
What is Nadia Bakhurji’s opinion of women being able to vote?
</t>
  </si>
  <si>
    <t xml:space="preserve">20. CLONING REASEARCH – NPR.
Which statement is correct according to the extract?
</t>
  </si>
  <si>
    <t xml:space="preserve">21. Arafat at the UN in 1974  .
Which statement is correct according to what you have heard?
</t>
  </si>
  <si>
    <t xml:space="preserve">22. Libyan women revolutionaries.
What did one group of women do?
</t>
  </si>
  <si>
    <t xml:space="preserve">23. The history of protests on Wall Street.
What can be said about demonstrations  on Wall Street?
</t>
  </si>
  <si>
    <t xml:space="preserve">24. JOHN LIND – The American Taliban.
Which statement is true about John Lind?
</t>
  </si>
  <si>
    <t xml:space="preserve">26. Availability of unlicensed drugs.
Which statement is correct according to the extract?
</t>
  </si>
  <si>
    <t xml:space="preserve">27. The internet .
How does the speaker feel about the internet?
</t>
  </si>
  <si>
    <t xml:space="preserve">28. Child deaths.
Which statement is  correct according to what you have heard?
</t>
  </si>
  <si>
    <t xml:space="preserve">29. Maziar Bahari – journalist and film maker. 
Which statement is correct about Maziar Bahari according to the extract you have heard?
</t>
  </si>
  <si>
    <t xml:space="preserve">30. Airplane safety.
Which statement is true according to what you have heard?
</t>
  </si>
  <si>
    <t xml:space="preserve">31. Whaling.
Which statement is correct according to the extract?
</t>
  </si>
  <si>
    <t xml:space="preserve">32. Silk Road.
What can be said about the Silk Road website?
</t>
  </si>
  <si>
    <t xml:space="preserve">33. Robert J Lifdon.
Which statement is correct about Robert J Lifden according to what you have heard?
</t>
  </si>
  <si>
    <t xml:space="preserve">34. Tomatoes.
What does  speaker say?
</t>
  </si>
  <si>
    <t xml:space="preserve">35. Coca Cola in the 1980s.
What does the extract say about Coca Cola in the 1980s?
</t>
  </si>
  <si>
    <t xml:space="preserve">36. Reflections on Karachi.
What is the speaker interested in?
</t>
  </si>
  <si>
    <t xml:space="preserve">37. Earthquake prediction.
According to the extract which statement is correct?
</t>
  </si>
  <si>
    <t xml:space="preserve">38. Van Gogh.
Which statement is correct according to the extract?
</t>
  </si>
  <si>
    <t xml:space="preserve">5. Turkey and Syria I.  
Turkey tends to favor the carrot over the stick when dealing with neighbors such as Syria. Turkish leaders were relentless in their wooing of the Assad regime, building up extensive economic ties between northern Syria and southern Turkey. But after being slow to criticize abuses by the Libyan regime earlier this year, Ankara shifted its approach to Damascus, joining the U.S. and Europe in condemning the brutal crackdowns on Syrian demonstrators. 
After Turkey's latest effort to end the violence foundered, President Abdullah Gul was blunt in saying that Assad risked the same fate as the leaders of Tunisia, Egypt and Libya.
How has Turkey’s attitude to Syria changed?
</t>
  </si>
  <si>
    <t xml:space="preserve">6. Turkey and Syria   II.
Turkish reluctance to join in international military interventions in the region has bolstered its standing among Arab states. But in the case of Syria, so far, Arab and Western leaders have also shied away from the military option, leaving sanctions as the main weapon against the Assad regime. The European Union is moving toward new sanctions targeting Syria's lucrative oil and gas sector. The EU is expected to set a deadline of mid-November for companies with existing contracts to import Syrian oil to comply with an embargo. 
Sanctions, however, are notoriously blunt instruments that sometimes punish ordinary citizens more than those in power. In a recent opinion piece, the International Crisis Group's Syria expert, Peter Harling, warned countries to beware of far-reaching economic sanctions, as tempting as they may be for leaders with few other viable options
According to the extract, what is the attitude of the European Union?
</t>
  </si>
  <si>
    <t xml:space="preserve">7. The Walter Reed Army Medical Centre.
This past Saturday, the flags were lowered in front of Walter Reed Army Medical Center after the last patients were transferred out. This week, we're talking about the closing of the iconic Army hospital here in Washington, where presidents and war-wounded troops have received care for more than a century. 
Siegel: Today, we look at one legacy of Walter Reed that most people don't know about. It's one of the world's premier research centers for infectious diseases, and that research continues even as the medical center is closing. 
Block: One major focus is on malaria. The disease kills nearly 800,000 people each year, mostly children in sub-Saharan Africa. It's also a big problem for soldiers deployed to many parts of the world.
What can be said about the Walter Reed Medical Centre?
</t>
  </si>
  <si>
    <t xml:space="preserve">8. SUVs.
The popular but gas guzzling sports utility vehicle is under attack.
Even if the automobile is one of the most powerful symbols of the American dream, the war in Iraq led many people to question the country’s dependence on oil. It wasn’t the car itself which came under attack from environmentalists so much as some of the more wasteful models. The massive SUV or sports utility vehicle, which is a truck on wheels rather than a car, is a particular object of hate. The Hummer, for example, gives you as little as 12 miles per gallon whereas a Toyota Prius can do 52. And this led the Union of Concerned Scientists to observe if everybody in the US who drives an SUV drove a car instead we could cut out Middle Eastern oil imports entirely
Why were SUVs attacked?
</t>
  </si>
  <si>
    <t xml:space="preserve">9.  A helping hand.
Meanwhile in the British Isles volunteer work appears to be all the rage.
The British love a good cause. On any High Street you will see people rattling tins to raise money for charitable organizations. Every week, volunteers of all ages go off to trek the Inca trail in Peru or abseil down from their local hospital roof to raise funds for charity. Others work with disabled children or pick up rubbish in conservation areas. Contrary to popular belief many young people are keen to volunteer too, giving up their time and gaining work experience at the same time. The volunteering charity, CSV, found that eighty-five percent of youngsters would be prepared to give one day of their time to help others
What can be said about volunteer work?
</t>
  </si>
  <si>
    <t xml:space="preserve">13. Mining accident in South Wales.
It was a day that began with the highest of hopes and ended in despair. Rescue workers started the day yesterday confident they could save the four missing miners of the tiny Glatian mine near Swansea in South Wales -  but it was not to be. Our reporter Andy Hoskin is near the mine now, Good morning Andy
Morning Sarah. Well people in this valley and among these communities are experiencing an old historic grief few thought could or would return. Not far from where I’m standing is a bench, somewhat decayed and mildewed now, which commemorates the deaths of 14 men and boys who died in a mining disaster in 1858 not far from here. Over the last 24 hours, despite the relatively smaller role now played by mining in the economy of Wales, an unwelcome force from the past has re-emerged. 
What impression do we get from the text?
</t>
  </si>
  <si>
    <t xml:space="preserve">14. Chevron vs. Ecuador.
For the past eighteen years Ecuadorian plaintiffs have been seeking billions of dollars in damages from Chevron.  They accuse the US oil firm of poisoning their rainforest. In Ecuador they won their case with a court there ordering Chevron to pay the plaintiffs eighteen billion dollars in compensation. But there was a problem. Chevron has no assets anymore in Ecuador so the plaintiffs went to court in the US to see if they could use the American judicial system to chase Chevron assets there. In February  this year a US court threw out their case but a New York court has now overturned that earlier ruling. So does this mean that Ecuadorian plaintiffs can now lay claim to Chevron assets in the US.?
Which statement is correct according to the extract?
</t>
  </si>
  <si>
    <t xml:space="preserve">16. Solar energy.
Professor Nick Sterne of the London School of Economics, known for his work on climate change: One of the great advantages of solar energy is that as far as we humans are concerned it’s almost limitless. Why? Because in one hour we get as much energy from the sun on the earth as we use right across the planet in one year. So for us it’s virtually unlimited, and further, the cost of accessing that limitless supply of energy is really crashing down. Just in the last couple of years the cost of a solar panel has fallen by about a half. 
What can be said about solar energy?
</t>
  </si>
  <si>
    <t xml:space="preserve">17. Nasa satellite re-enters the earth.
Michele Norris, host: According to NASA, a retired U.S. research satellite has been sucked into the Earth's gravitational pull. Donald Kessler spent more than 30 years with NASA, most recently as the agency's senior scientist for orbital debris research. And he joins me now to talk about a particular piece of orbital debris. Welcome to the program. 
Dr. Donald Kessler: Thank you. 
Norris: When was the last time a spacecraft of this size crashed into Earth? 
Kessler: Well, it has been a while but things re-enter almost every day and most of it does burn up. And there have been within the last year several objects that have survived re-entry. And people have found those objects and displayed them. You can usually find them on the Web. There are pictures of things that have survived re-entry. 
What can be said about some objects that crash into the Earth?
</t>
  </si>
  <si>
    <t xml:space="preserve">18. Money.
Of course a credit card as such isn’t itself money. It’s merely a physical object that   provides a way of promising money, moving it and spending it.. None of us is now ever likely to see the money we’ve saved. It appears simply as long strings of numbers on statements and receipts. Money has lost its essential materiality and with the flick of a few fingers it can be counted up virtually anywhere in the world  - instantly.
Which statement is correct according to the extract?
</t>
  </si>
  <si>
    <t xml:space="preserve">19. Saudi women.
Melissa Block, host: Over the weekend, King Abdullah of Saudi Arabia announced that women will get the right to vote and to run in municipal elections, but not until 2015. And King Abdullah said women will be appointed to the Shura Council, which advises the monarchy. This, in a country where women still don't have the right to drive. 
We're going to hear reaction now from Nadia Bakhurji. She's an architect in the Saudi capital, Riyadh. I asked her for her first thoughts when she heard of the king's decree
Nadia: Well, actually when the news hit yesterday and I was watching television, I saw the king's speech. I thought to myself, well, the fact that he's gone right to the top, and he said women can become Shura members and they can vote ..  And I thought, well, it's a very clear message what the king is saying to women, as well, not just to the men that we want the women to be proactive, to take responsibility for the decision-making process, which gives them these freedoms just like in every other country in the world
What is Nadia Bakhurji’s opinion of women being able to vote?
</t>
  </si>
  <si>
    <t xml:space="preserve">20. CLONING REASEARCH – NPR.
Guy Raz:  Now that scientists have used cloning techniques to create a human embryo, there's sure to be debate about the ethics of all this. Insoo Hyun is an associate professor of Bioethics at Case Western Reserve University, and he joins me now. Welcome to the program. 
Insoo Hyun: Good to be here. Thank you. 
Guy Raz:  As we just heard from Joe Palca, some people are morally opposed to this kind of research. What is their argument? 
Insoo Hyun: Well, some people may think that we are now down a slippery slope toward getting cloned babies. And that's certainly a major concern for policymakers and the public. 
Guy Raz : Well, what about the possibility, though, of reproductive cloning? I mean, are we going down that slope? 
Insoo Hyun: Well, as the research shows, human reproductive cloning is a really, really long ways away because human research clinics, just to get stem cells, is so difficult. And every technology has a good use and has a bad use. And the reasonable response to this fact is not to ban this technology altogether, but it's to prevent the abuses of this technology
Which statement is correct according to the extract?
</t>
  </si>
  <si>
    <t xml:space="preserve">22. Libyan women revolutionaries.
In Libya, women played a big but often unsung role in the revolution that toppled Moammar Gadhafi. Now, they want a place in Libya's politics. But as NPR's Corey Flintoff reports, they want it on their own terms.
Corey Flintoff: Hundreds of people stroll through a charity fundraiser organized by the women of Tripoli. It's probably not so different from the charity bazaars in your town. The difference is that most of the women wear headscarves, and the sales items include a lot of hand-knitted versions of the Libyan flag. These women are revolutionaries.
Twenty six-year-old Isra bin Mahmoud is part of a group called Flower of the Capital. During the war, she says, they specialized in undermining the loyalty of Gadhafi's army in Tripoli. The group made a compact disc with video of atrocities committed by the regime and passed it to government soldiers. This was at a time when showing any hint of dissent was enough to get a person jailed, tortured and very likely, killed.
What did one group of women do?
</t>
  </si>
  <si>
    <t xml:space="preserve">24. JOHN LIND – The American Taliban.
John Lind had converted to Islam as a teenager in suburban Northern California. He then headed first to Yemen and then Pakistan to learn Arabic. The last time his parents heard from him was in mid 2001 when he said he was heading up into the hills of Pakistan to escape the summer heat. But he had in fact headed over the border into Afghanistan to fight with the Taliban. When the US overthrew the Taliban after the September the 11th attacks he was captured in the north of the country, and his story generated a  media frenzy back in America, with headlines about the American Taliban and the traitor who’d been involved in the attacks  on  the United States. After he was designated detainee 001 in the War on Terror he was taken home. Terrorism charges against him were eventually dropped in a deal in which he pleaded guilty to violating economic sanctions on the Taliban. 
10 years on, his parents Frank and Marilyn, told the BBC it was time to revisit the case because their son, contrary to the claims had never fought against America or planned terrorist attacks.
Which statement is true about John Lind?
</t>
  </si>
  <si>
    <t xml:space="preserve">27. The internet .
Monday: I woke up on a friend’s sofa at half six. My alarm went off at seven and I got up at a quarter past. By then I’d already checked the internet to see whether anyone had tweeted me during my sleep. They hadn’t, so next I checked the latest news stories. You know  that the world’s changed when Al  Jazira is your home page. They were reporting on the terrible drought in Somalia which has affected ten million people. It was impossibly tragic and impossibly distant. The picture on the website was a portrait of misery but it seemed more like a high-definition shot from a film about the misery. It’s odd. Sometimes I wonder what the internet raises more – our sense of awareness or our sense of helplessness.
How does the speaker feel about the internet?
</t>
  </si>
  <si>
    <t xml:space="preserve">28. Child deaths.
We have been reporting this week on a grim pattern in the courtroom. When it comes to determining the cause of a child’s unexpected death medical and legal experts often disagree. And that means innocent parents are sometimes wrongly accused of murder and are sent to prison. No place has dealt with this more directly or on a larger scale than Ontario Canada. Now its courts are overturning convictions and improvements are in place to prevent other innocent parents from being charged.
Which statement is  correct according to what you have heard?
</t>
  </si>
  <si>
    <t xml:space="preserve">30. Airplane safety.
In two thousand and nine Captain Chesley B.Sully Sullenberger became a  national hero when he landed safely his stricken jet airliner in the middle of the  Hudson River in New York.  .. after landing on water it turns out only ten of the hundred and fifty passengers thought to grab a life-jacket before evacuating and only about half took a seat cushion for flotation. So perhaps the rest of them should forget about that free flight to a holiday destination of their choice and instead exchange their frequent flyer miles for a course on airline safety. Virgin Atlantic already offers one. Now one of the world’s biggest airlines, British Airways, is doing the same. Those who have taken the course say it covers everything from removing your seat belt quickly to opening exit doors, jumping down emergency slides  and exiting a smoke-filled cabin. 
Which statement is true according to what you have heard?
</t>
  </si>
  <si>
    <t xml:space="preserve">31. Whaling.
Despite a ban on commercial whaling which came into force twenty-five years ago this year, whales are still being killed. Around fifteen hundred of them are caught by Japanese, Norwegian and Icelandic whaling ships each year through a controversial quota for what’s called scientific whaling. And indigenous peoples in several other countries are also allowed to take a quota using traditional hunting techniques. However, there’s growing concern about the number of whales killed through accidental collisions with ships and entanglement in commercial fishing gear. In the United States, scientists are increasingly alarmed by the number of North Atlantic white whales dying. They’re one of the most endangered species in the world.
Which statement is correct according to the extract?
</t>
  </si>
  <si>
    <t xml:space="preserve">32. Silk Road.
There really is something exciting about buying stuff on line. You pull the trigger, click the Purchase Confirmed button. Then comes that unbearable three-to–seven-day wait. (Doorbell sounds) and finally, the package arrives. Your new shoes from Zappo’s, those books you ordered from Amazon, and then there’s your LSD. You heard right. Pot , acid, cocaine – delivered right to the front door in a small inconspicuous envelope from Silk Road. The transactions are anonymous and the website’s owner claims untraceable, that is, if you can figure out how to get to the website. Adrain Chen wrote a piece about Silk Road in Gawker.com.  Adrain Chen is in our New York bureau. Adrian . Welcome. 
A: Thank you.
I: So tell us more about this website Silk Road. How is it even possible that this site exists? This is all totally illegal, right?
A: It is illegal and the only way that it possibly exists is the fact that the people on it think that they are completely anonymous. They are using technologies like Tor and only exchanging in the untraceable digital currency, Bit Coin.
What can be said about the Silk Road website?
</t>
  </si>
  <si>
    <t xml:space="preserve">33. Robert J Lifdon.
Robert J Lifden wasn’t sure what he wanted to do with his life when he left the army in 1954 after serving in the Korean War. He was living with his wife in Hong Kong and he was about to return to the US to pursue a pretty predictable career in his chosen field, psychiatry. Instead, he made a last-minute decision to stay in Hong Kong and it changed everything. Since then he’s  spent a lifetime exploring the darkest chapters of the human experience  - China’s experiment with mind control, the victims of the atomic bomb in Heroshima, the veterans of the US War in Vietnam and the Nazi doctors who sent millions of Jews to the gas chambers. As  his subjects changed, he changed  - less the detached psychiatrist, more the impassioned activist. Lifden is eighty-five years old now and he re-examines his life’s work in a new memoir and it’s called witness to an extreme century.
Which statement is correct about Robert J Lifden according to what you have heard?
</t>
  </si>
  <si>
    <t xml:space="preserve">34. Tomatoes.
One of the great pleasures of summer is fresh home grown tomatoes, but in the winter and even in the summer lots of tomatoes are tough and tasteless. Why can’t or won’t modern  agri business deliver a decent tasting tomato. That’s the main question that Barry Esterbrook set out to answer in his new book : Tomatoland: how modern industrial agriculture destroyed our most alluring fruit. Much of his book is set in the tomato fields of Florida where the soil and humidity, he says, are actually  very inhospitable to growing tomatoes yet one third of our fresh tomatoes are raised there. And from October to June virtually all the fresh-grown tomatoes in the country come from Florida.
What does  speaker say?
</t>
  </si>
  <si>
    <t xml:space="preserve">37. Earthquake prediction.
First the possibility of more accurate earthquake prediction. This is research just published in the journal PNAS and it’s particularly interesting right now given that, as we reported last week, scientists have gone on trial in Italy accused of manslaughter  for failing to warn the population of L’Aquila that a deadly earthquake was about to hit. Their defence – prediction is impossible, which is the scientific consensus. However it would save many tens of thousands of lives if a warning of large earthquakes could be given and that’s what scientists in the US held a competition to try to do.
According to the extract which statement is correct?
</t>
  </si>
  <si>
    <t xml:space="preserve">38. Van Gogh.
Did the painter Vincent Van Gogh kill himself or was he killed? A new biography of Van Gogh casts doubt on the suicide theory. The authors, Stephen aife and Gregory White Smyth say that contrary to popular belief it was more likely that Van Gogh was shot accidently by two boys he knew who had a malfunctioning gun but art historians are reluctant to believe the theory. …has more: It is an undisputed fact that Vincent Van Gogh died in the village of Auverre-sur Oise in France  in 1890. He was thirty-seven. Historians have long been of the view that he shot himself in a wheat field before returning to the inn where he was staying to die many days later. Now the authors of a new American biography called Van Gogh:The Iife say it was clear he had no intention of committing suicide at that time. The book claims that those living in Auverre said that he was shot accidently by two boys he knew who were wielding a malfunctioning gun.
Which statement is correct according to the extract?
</t>
  </si>
  <si>
    <t>EXAMEN 6 SCRIPT</t>
  </si>
  <si>
    <t xml:space="preserve">3. Tracing the origins of humanitarian intervention (extract).
What you see today as  described as humanitarian intervention or interventionism actually goes back to the Biafran war in nineteen sixty-eight, which is where a part of the newly liberated-  freed country of Nigeria, the eastern part, wanted to break away and become its own nation called Biafra. And a  vicious,  very bloody civil war resulted. And rather ruthlessly, the Biafran government went and found a Western public relations agency called Markpress, who transformed the way people in the West saw the war. Up to that point really we in the West looked at something like Biafra as  - oh it`s just another far away war with a group of people we don’t understand fighting each other-. Markpress took that war and turned it into ..really a heart-wrenching story of bad people, the Nigerian government and good people who were the starving victims because of the blockade that was being imposed ..
Which statement is true according to the extract?
</t>
  </si>
  <si>
    <t xml:space="preserve">10. Tribute bands.
One notable music phenomenon at the moment is the growth of tribute bands - groups who perform the songs and stage acts of famous bands from the past. Abba and Beatles tribute bands are of course two a penny. But In recent years we have seen the emergence of the Canadian group Musical Box, who imitate Genesis down to the last detail and Australian Pink Floyd who are equally faithful in their rendition of the Floyd stage show, including the spectacular lighting. Bass guitarist and vocalist, Colin Wilson, explains that the band were formed in Adelaide in the late nineteen eighties. -Originally we just started doing local gigs. It was all about just seeing originally whether it was possible to do it on that small scale with a very limited budget but it became evident pretty early on that the Floyd fans wanted to see it and it was possible to recreate the sounds and the music of Floyd . And it’s just grown from there. It did take a few years to really get going an- .. 
Which sentence is correct about Australian Pink Floyd?
</t>
  </si>
  <si>
    <t xml:space="preserve">12. Misha Glenny and his book Dark Market.
The book called Dark Market takes its name from one of the biggest criminal websites of them all as Misha told me when he came in earlier.
-What Dark Market was, was the premier English language criminal website that existed from 2005 to late 2008. And what criminal websites like Dark Market did was to act as a sort of clearing house for people up to bad things on the Web. You had to be vetted to become a member but once you were a member you could buy and sell stolen credit card details, you could buy and sell malware, viruses, trojans, worms. You could sell tutorials on how to do bad stuff on the Web, and you could sell packages so people would say, you know, I am your complete solution for doing crime on the Web. Just ask me to do what you want to do and I’ll do it and I’ll take a percentage. So a whole variety of things …  And above all else it was a meeting point, a discussion place for people on the Web who wanted to commit crime. -                         
What can we say about Dark Market?
</t>
  </si>
  <si>
    <t xml:space="preserve">15. The opera -Passenger-.
An opera, written more than forty years ago, only gets its British premier tonight at the ENO.  The Passenger, which was partly set in Auschwitz, was composed by Michel Wineberg who lived in Russia. The Soviet authorities were reluctant to stage art with a Holocaust theme. It was only performed last year in Austria where it received outstanding reviews, and some critics called it a masterpiece. The Passenger tells the story of an SS officer encountering a former prisoner many years after the war. It’s based on a story by the Polish Auschwitz survivor, Zofia Posmisch, now eighty-eight.
What can be said about the Passenger?
</t>
  </si>
  <si>
    <t xml:space="preserve">21. Arafat at the UN in 1974 . 
It’s November the 13th 1974 and security is unusually tight at the United Nations Headquarters in Manhattan in New York. The leader of the Palestine Liberation Organisation, Yasser Arafat, had been invited to address a plenary session of the United Nations General Assembly, the only person not representing a state ever to do so. Jewish groups were outraged. So were many Americans. To them Arafat was a terrorist. -The PLO is the first national group to shoot its way into the United Nations- one commentator declared. And Israel, of course, was incensed. For the Palestinians, however, this was a historic moment, their chance to make their case on the world stage.
Which statement is correct according to what you have heard?
</t>
  </si>
  <si>
    <t xml:space="preserve">26. Availability of unlicensed drugs.
This is a growing trade and a big concern. It’s not just the Viagra and the tranquillizers, unlicensed drugs are being sold on the Internet and also fake drugs. The investigators have found cancer drugs that had full amounts of the active ingredient but didn’t dissolve in the body and therefore  pretty much useless and therefore life-threatening. There’s been a growth in the number of people self-diagnosing and buying drugs on the internet  for their own ailments. And there are a lot of legitimate –looking websites out there. Now this morning I spoke to the father of Lorna Landon, who’s a former paramedic, who knew a bit about drugs, but had trouble sleeping after shifts she was doing, and bought an anti-depression drug that should help with insomnia, ended up taking some pills, probably less than four, fewer than four, but she died. And her father Roy Landon said he wanted to warn people of the dangers – -We discovered that she’d bought some prescription drugs from the internet to try and help her sleep. We were just so sad after the incident that we just thought – what a silly thing to happen ..-
Which statement is correct according to the extract?
</t>
  </si>
  <si>
    <t xml:space="preserve">29. Maziar Bahari – journalist and film maker .
Our guest Maziar Bahari has just written an account of his 118 days in captivity at the hands of Iran's Revolutionary Guards. It's called, -Then They Came for Me: A Family's Story of Love, Captivity, and Survival.- 
Bahari was arrested in 2009 while covering the protests in Tehran, which followed the disputed presidential election. He was sent to Evin Prison, notorious for its torture of political prisoners. His interrogator, a member of the Revolutionary Guard, accused him of many things, some of them pretty ludicrous. He was released after four months in captivity because of international pressure. Nine days later, his wife gave birth to their only child. 
Bahari grew up in Tehran and moved to Canada in 1988 to study film. A decade later, he returned to Iran where he made documentaries and covered that country for Newsweek. He now lives in London.
Which statement is correct about Maziar Bahari according to the extract you have heard?
</t>
  </si>
  <si>
    <t xml:space="preserve">35. Coca Cola in the 1980s.
It’s early in the summer of nineteen eighty-five and it looks like the Coca Cola company is on top of the world. Its famous fizzy drink is a vast global marketing success story. This sugary drink had become the most widely distributed commercial product on earth and the world’s best-known brand name. But by the mid-eighties, behind the scenes the company had reason to be worried – -by the early eighties Coca Cola had been losing market share to Pepsi for twenty years-.
What does the extract say about Coca Cola in the 1980s?
</t>
  </si>
  <si>
    <t xml:space="preserve">4. - I'm Robert Siegel. And on this Labor Day, we take a few minutes now to think about work and how we describe it. When I was a little kid, I remember seeing -Snow White- at the movie theater, and the Seven Dwarfs were really happy about going to work. 
heigh ho... 
 It took me a few years to figure out that those seven little guys were swinging pickaxes in a diamond mine - just about as physically demanding, difficult and dangerous a job as you could imagine. 
 Over the past several decades, the job of being a miner has become a lot less common. In 1937, when -Snow White-came out, it was what 1.6 million Americans did. Today, in a labor force of almost 150 million, there are just 360,000 miners. In fact, there are fewer and fewer Americans whose work demands physical strength and exertion ..-
What has changed on the American labour scene?
</t>
  </si>
  <si>
    <t xml:space="preserve">11. The big screen.
The first television screens were tiny and you needed a magnifying lens to put in front of them to watch the action. Now we have home cinema and plasma filled flat screens. In Exchange Square in the centre Manchester, they’ve gone one further with the biggest television screen in the world, where up to eight thousand people have watched the same programme. Sara Griffiths is the big screen manager.  -The Big Screen is actually all about pilot, an experiment if you like in public space broadcasting. So, we’ve got a giant screen which measures  twenty-five square metres  and it’s been fixed on the side of one of the main shopping squares and we’re broadcasting 24 hours a day television and that includes sound – which is unusual for a lot of screens, we’ve got sound from seven in the morning until midnight and we wanted to see if people enjoy watching it and whether they’d come to the square specifically to watch, whether they’d take part in any  events we’ve put on in the square related to the screen …
What does the Big Screen management want to observe?
</t>
  </si>
  <si>
    <t xml:space="preserve">23. The history of protests on Wall Street.
The so-called Occupy Wall Street Movement is in its third week of protests, a block from the nation's financial center in New York. The daily demonstrations carry echoes of a century ago and the decades leading up to the Great Depression. It was a time when protests were a regular feature on Wall Street and powerful financiers, like J.P. Morgan, were pilloried in song. For more now, I'm joined by Beverly Gage
Beverly Gage, welcome
Beverly Gage: Thanks, Guy. 
Raz: When did Wall Street become a place where protesters gathered? 
Gage: Wall Street really began to consolidate its power as the center of American finance in the years around the Civil War. And then, almost immediately after that, it became a target for protesters, really from a variety of places on the political spectrum. But throughout the late 19th century into the early 20th century, you had very regular demonstrations on Wall Street  
What can be said about demonstrations  on Wall Street?
</t>
  </si>
  <si>
    <t xml:space="preserve">25. The AK-47.
It’s been announced that the Russian factory that manufactures the AK-47 assault rifle, otherwise known as the Kalashnikov, is to stop production. For decades, it’s been the automatic weapon of choice for many armies across the world and for just about every fighting force that isn’t a regular army.
Dan Damon spoke to Michael Hodges who’s written AK-47: The story of the people’s gun, and he asked where was the most unusual place he’d found an AK-47 being used.
-Well, the thing about the AK-47 is  you could find it anywhere. In the West you would find it .. actually it made its way into the ghettoes, you know  – police came under fire from AK-47s during the New Orleans floods and that was a result ironically of right-wing gun clubs who had been so impressed by the Viet Cong’s AK-47s during the Vietnamese War that they’d kinda found their way into American right-wing circles and from there seeped, as if through blotting paper,  into the wider community
What impression do we get about the AK-47 from the extract?
</t>
  </si>
  <si>
    <t xml:space="preserve">36. Reflections on Karachi.
because Karachi is an example of something that’s happening all around the world. There’s  been an incredible growth of urban areas since the end of World War II.  Even in the United States, Los Angeles is more than  three times larger than it was – metro Los Angeles; Huston is six times larger , Istanbul is ten times larger.. Rio de Janeiro, we could go around the world like this. Karachi is thirty times larger than it was at the end of World War II and I wanted to try to explore what happens when a city grows that quickly. It’s not just the birth rate, it’s mass migration and that means it is different kinds of people coming together and clashing in this landscape that for all of them is entirely new. This city as we see it today didn’t really exist thirty, forty, fifty, sixty years ago
What is the speaker interested in?
</t>
  </si>
  <si>
    <t>EXAMEN 100</t>
  </si>
  <si>
    <t>EXAMEN 100/MP3/Q-01 EXAMEN 100.mp3</t>
  </si>
  <si>
    <t>EXAMEN 100/MP3/Q-02 EXAMEN 100.mp3</t>
  </si>
  <si>
    <t>EXAMEN 100/MP3/Q-03 EXAMEN 100.mp3</t>
  </si>
  <si>
    <t>EXAMEN 100/MP3/Q-04 EXAMEN 100.mp3</t>
  </si>
  <si>
    <t>EXAMEN 100/MP3/Q-05 EXAMEN 100.mp3</t>
  </si>
  <si>
    <t>EXAMEN 100/MP3/Q-06 EXAMEN 100.mp3</t>
  </si>
  <si>
    <t>EXAMEN 100/MP3/Q-07 EXAMEN 100.mp3</t>
  </si>
  <si>
    <t>EXAMEN 100/MP3/Q-08 EXAMEN 100.mp3</t>
  </si>
  <si>
    <t>EXAMEN 100/MP3/Q-09 EXAMEN 100.mp3</t>
  </si>
  <si>
    <t>EXAMEN 100/MP3/Q-10 EXAMEN 100.mp3</t>
  </si>
  <si>
    <t>EXAMEN 104</t>
  </si>
  <si>
    <t>EXAMEN 104/MP3/Q-1.mp3</t>
  </si>
  <si>
    <t>EXAMEN 104/MP3/Q-2.mp3</t>
  </si>
  <si>
    <t>EXAMEN 104/MP3/Q-3.mp3</t>
  </si>
  <si>
    <t>EXAMEN 104/MP3/Q-4.mp3</t>
  </si>
  <si>
    <t>EXAMEN 104/MP3/Q-5.mp3</t>
  </si>
  <si>
    <t>EXAMEN 104/MP3/Q-6.mp3</t>
  </si>
  <si>
    <t>EXAMEN 104/MP3/Q-7.mp3</t>
  </si>
  <si>
    <t>EXAMEN 104/MP3/Q-9.mp3</t>
  </si>
  <si>
    <t>EXAMEN 104/MP3/Q-10.mp3</t>
  </si>
  <si>
    <t>EXAMEN 104/MP3/Q-11.mp3</t>
  </si>
  <si>
    <t>EXAMEN 104/MP3/Q-12.mp3</t>
  </si>
  <si>
    <t>EXAMEN 104/MP3/Q-13.mp3</t>
  </si>
  <si>
    <t>EXAMEN 104/MP3/Q-14.mp3</t>
  </si>
  <si>
    <t>EXAMEN 104/MP3/Q-15.mp3</t>
  </si>
  <si>
    <t>EXAMEN 104/MP3/Q-16.mp3</t>
  </si>
  <si>
    <t>EXAMEN 104/MP3/Q-17.mp3</t>
  </si>
  <si>
    <t>EXAMEN 104/MP3/Q-18.mp3</t>
  </si>
  <si>
    <t>EXAMEN 104/MP3/Q-19.mp3</t>
  </si>
  <si>
    <t>EXAMEN 104/MP3/Q-20.mp3</t>
  </si>
  <si>
    <t>EXAMEN 104/MP3/Q-21.mp3</t>
  </si>
  <si>
    <t>EXAMEN 104/MP3/Q-22.mp3</t>
  </si>
  <si>
    <t>EXAMEN 104/MP3/Q-24.mp3</t>
  </si>
  <si>
    <t>EXAMEN 104/MP3/Q-25.mp3</t>
  </si>
  <si>
    <t>EXAMEN 104/MP3/Q-26.mp3</t>
  </si>
  <si>
    <t>EXAMEN 104/MP3/Q-27.mp3</t>
  </si>
  <si>
    <t>EXAMEN 104/MP3/Q-28.mp3</t>
  </si>
  <si>
    <t>EXAMEN 104/MP3/Q-29.mp3</t>
  </si>
  <si>
    <t>EXAMEN 104/MP3/Q-30.mp3</t>
  </si>
  <si>
    <t>EXAMEN 104/MP3/Q-31.mp3</t>
  </si>
  <si>
    <t>EXAMEN 104/MP3/Q-32.mp3</t>
  </si>
  <si>
    <t>EXAMEN 104/MP3/Q-33.mp3</t>
  </si>
  <si>
    <t>EXAMEN 104/MP3/Q-34.mp3</t>
  </si>
  <si>
    <t>EXAMEN 104/MP3/Q-35.mp3</t>
  </si>
  <si>
    <t>EXAMEN 104/MP3/Q-36.mp3</t>
  </si>
  <si>
    <t>EXAMEN 104/MP3/Q-37.mp3</t>
  </si>
  <si>
    <t>EXAMEN 104/MP3/Q-38.mp3</t>
  </si>
  <si>
    <t>EXAMEN 104/MP3/Q-39.mp3</t>
  </si>
  <si>
    <t>EXAMEN 104/MP3/Q-40.mp3</t>
  </si>
  <si>
    <t>EXAMEN 104/MP3/Q-23.mp3</t>
  </si>
  <si>
    <t>EXAMEN 104/MP3/Q-8.mp3</t>
  </si>
  <si>
    <t>EXAMEN 7/MP3/Q-01 EXAMEN 7.mp3</t>
  </si>
  <si>
    <t>EXAMEN 7/MP3/Q-02 EXAMEN 7.mp3</t>
  </si>
  <si>
    <t>EXAMEN 7/MP3/Q-03 EXAMEN 7.mp3</t>
  </si>
  <si>
    <t>EXAMEN 7/MP3/Q-04 EXAMEN 7.mp3</t>
  </si>
  <si>
    <t>EXAMEN 7/MP3/Q-05 EXAMEN 7.mp3</t>
  </si>
  <si>
    <t>EXAMEN 7/MP3/Q-06 EXAMEN 7.mp3</t>
  </si>
  <si>
    <t>EXAMEN 7/MP3/Q-07 EXAMEN 7.mp3</t>
  </si>
  <si>
    <t>EXAMEN 7/MP3/Q-08 EXAMEN 7.mp3</t>
  </si>
  <si>
    <t>EXAMEN 7/MP3/Q-09 EXAMEN 7.mp3</t>
  </si>
  <si>
    <t>EXAMEN 7/MP3/Q-10 EXAMEN 7.mp3</t>
  </si>
  <si>
    <t>EXAMEN 7/MP3/Q-11 EXAMEN 7.mp3</t>
  </si>
  <si>
    <t>EXAMEN 7/MP3/Q-12 EXAMEN 7.mp3</t>
  </si>
  <si>
    <t>EXAMEN 7/MP3/Q-13 EXAMEN 7.mp3</t>
  </si>
  <si>
    <t>EXAMEN 7/MP3/Q-14 EXAMEN 7.mp3</t>
  </si>
  <si>
    <t>EXAMEN 7/MP3/Q-15 EXAMEN 7.mp3</t>
  </si>
  <si>
    <t>EXAMEN 7/MP3/Q-16 EXAMEN 7.mp3</t>
  </si>
  <si>
    <t>EXAMEN 7/MP3/Q-17 EXAMEN 7.mp3</t>
  </si>
  <si>
    <t>EXAMEN 7/MP3/Q-18 EXAMEN 7.mp3</t>
  </si>
  <si>
    <t>EXAMEN 7/MP3/Q-19 EXAMEN 7.mp3</t>
  </si>
  <si>
    <t>EXAMEN 7/MP3/Q-20 EXAMEN 7.mp3</t>
  </si>
  <si>
    <t>EXAMEN 7/MP3/Q-21 EXAMEN 7.mp3</t>
  </si>
  <si>
    <t>EXAMEN 7/MP3/Q-22 EXAMEN 7.mp3</t>
  </si>
  <si>
    <t>EXAMEN 7/MP3/Q-23 EXAMEN 7.mp3</t>
  </si>
  <si>
    <t>EXAMEN 7/MP3/Q-24 EXAMEN 7.mp3</t>
  </si>
  <si>
    <t>EXAMEN 7/MP3/Q-25 EXAMEN 7.mp3</t>
  </si>
  <si>
    <t>EXAMEN 7/MP3/Q-26 EXAMEN 7.mp3</t>
  </si>
  <si>
    <t>EXAMEN 7/MP3/Q-27 EXAMEN 7.mp3</t>
  </si>
  <si>
    <t>EXAMEN 7/MP3/Q-28 EXAMEN 7.mp3</t>
  </si>
  <si>
    <t>EXAMEN 7/MP3/Q-29 EXAMEN 7.mp3</t>
  </si>
  <si>
    <t>EXAMEN 7/MP3/Q-30 EXAMEN 7.mp3</t>
  </si>
  <si>
    <t>EXAMEN 7/MP3/Q-31 EXAMEN 7.mp3</t>
  </si>
  <si>
    <t>EXAMEN 7/MP3/Q-32 EXAMEN 7.mp3</t>
  </si>
  <si>
    <t>EXAMEN 7/MP3/Q-33 EXAMEN 7.mp3</t>
  </si>
  <si>
    <t>EXAMEN 7/MP3/Q-34 EXAMEN 7.mp3</t>
  </si>
  <si>
    <t>EXAMEN 7/MP3/Q-35 EXAMEN 7.mp3</t>
  </si>
  <si>
    <t>EXAMEN 7/MP3/Q-36 EXAMEN 7.mp3</t>
  </si>
  <si>
    <t>EXAMEN 7/MP3/Q-37 EXAMEN 7.mp3</t>
  </si>
  <si>
    <t>EXAMEN 7/MP3/Q-38 EXAMEN 7.mp3</t>
  </si>
  <si>
    <t>EXAMEN 7/MP3/Q-39 EXAMEN 7.mp3</t>
  </si>
  <si>
    <t>EXAMEN 7/MP3/Q-40 EXAMEN 7.mp3</t>
  </si>
  <si>
    <t>EXAMEN EMID 2012</t>
  </si>
  <si>
    <t>36,Which of the following reflects the woman’s opinion?</t>
  </si>
  <si>
    <t>a. It will destroy the natural environment of the area.</t>
  </si>
  <si>
    <t>a. To make locals regard foreign forces as friendly.</t>
  </si>
  <si>
    <t>a. He already has enough material for his classes.</t>
  </si>
  <si>
    <t>a. had a distanced relationship with his parents.</t>
  </si>
  <si>
    <t>a. They started a TV-campaign to collect aid for Haiti.</t>
  </si>
  <si>
    <t>a. Its use is restricted to the UK and Asia.</t>
  </si>
  <si>
    <t>a. They are in touch with the voters’ feelings.</t>
  </si>
  <si>
    <t>a. They are on the verge of extinction in the UK.</t>
  </si>
  <si>
    <t>a. has recently been connected to the electric grid.</t>
  </si>
  <si>
    <t>a. hired a priest to get rid of the spirits in her house.</t>
  </si>
  <si>
    <t>a. Its building originally served a different purpose.</t>
  </si>
  <si>
    <t>a. A $250 check will do little to improve the situation of most seniors.</t>
  </si>
  <si>
    <t>a. His flight had to make a detour to avoid Iceland.</t>
  </si>
  <si>
    <t>a. The countryside of the region where she is now.</t>
  </si>
  <si>
    <t>a. Traditionally, men had more free time to engage in hobbies or collecting.</t>
  </si>
  <si>
    <t>a. She regrets that there are so few women on British TV.</t>
  </si>
  <si>
    <t>a. twins should try to take more reponsibility for each other.</t>
  </si>
  <si>
    <t>a. She accepted the disease as an opportunity to better herself.</t>
  </si>
  <si>
    <t>a. Most parents are just making excuses for not wanting to discipline their children.</t>
  </si>
  <si>
    <t>a. They inspire other publishers to try to copy his style of writing.</t>
  </si>
  <si>
    <t>a. Certain songs trigger melancholic feelings in her.</t>
  </si>
  <si>
    <t>a. Future governments will be able to afford to build high-speed rail lines.</t>
  </si>
  <si>
    <t>a. Because they are viewed by the people as being progressive.</t>
  </si>
  <si>
    <t>a. What point is the speaker trying to make in this excerpt?</t>
  </si>
  <si>
    <t>a. are utilizing the information found on social networking websites.</t>
  </si>
  <si>
    <t>a. Alternatives to a surge, such as the use of unmanned vehicles, should be considered.</t>
  </si>
  <si>
    <t>a. People are now able to experience 3D effects even on a home theater system.</t>
  </si>
  <si>
    <t>a. People mistakenly think past drinking levels were lower than they actually were.</t>
  </si>
  <si>
    <t>a. It's the real-life version of the classic American immigrant story.</t>
  </si>
  <si>
    <t>a. They are mistrustful of any attempts to win their favor.</t>
  </si>
  <si>
    <t>a. By placing other priorities ahead of classes.</t>
  </si>
  <si>
    <t>a. They should be brought into line with the modern space industry’s needs.</t>
  </si>
  <si>
    <t>a. Children are really only open to music that has a young spin on it.</t>
  </si>
  <si>
    <t>a. Webster was in favor of much more radical spelling reform than actually took place.</t>
  </si>
  <si>
    <t>a. Because of the future responsibilities that a teacher will have.</t>
  </si>
  <si>
    <t>a. Women are necessary on boards to get a female perspective</t>
  </si>
  <si>
    <t>a. Her business suffered due to the street remodelling</t>
  </si>
  <si>
    <t>a. She had wanted to be a politician since she was a child.</t>
  </si>
  <si>
    <t>a. The audience shows no signs of tiring of big, loud action movies.</t>
  </si>
  <si>
    <t>a. People in the past idealized children and didn't like to think about them in economic terms</t>
  </si>
  <si>
    <t>b. It will connect the area with various important cities.</t>
  </si>
  <si>
    <t>b. To occupy an area controlled by the Taliban.</t>
  </si>
  <si>
    <t>b. He no longer works for N. Arizona University</t>
  </si>
  <si>
    <t>b. was subject to a series of rigid rules</t>
  </si>
  <si>
    <t>b. They interviewed two survivors of the earthquake for a report.</t>
  </si>
  <si>
    <t>b. It can be used with all types of cell phones.</t>
  </si>
  <si>
    <t>b. They talk about their private life.</t>
  </si>
  <si>
    <t>b. They are not found outside Russia nowadays.</t>
  </si>
  <si>
    <t>b. is a good example of progress in rural areas.</t>
  </si>
  <si>
    <t>b. finally found a reasonable explanation for the strange noises.</t>
  </si>
  <si>
    <t>b. Its architect’s works can be seen all over England.</t>
  </si>
  <si>
    <t>b. The U.S. government spends too much time and money appeasing seniors.</t>
  </si>
  <si>
    <t>b. He took spectacular photos of the volcano during the flight.</t>
  </si>
  <si>
    <t>b. Her most recent hiking experience in England.</t>
  </si>
  <si>
    <t>b. The traditional roles of men and women didn't allow women to develop an interest in collecting</t>
  </si>
  <si>
    <t>b. She calls into question the relevance of the quoted statistics.</t>
  </si>
  <si>
    <t>b. twins are strongly affected by each other's feelings and perspectives.</t>
  </si>
  <si>
    <t>b. She did not spend much time worrying about her her problems and moved on.</t>
  </si>
  <si>
    <t>b. In general, parents can be trusted to make decisions for their own children.</t>
  </si>
  <si>
    <t>b. They increase the amount of money that writers get as advances.</t>
  </si>
  <si>
    <t>b. It is difficult for her to remember the tune of certain pieces.</t>
  </si>
  <si>
    <t>b. Britain might not need the offer provided by high-speed trains.</t>
  </si>
  <si>
    <t>b. Because of the influence they have on the Communist Party.</t>
  </si>
  <si>
    <t>b. That it is unfair to protest against the Chinese Olympics but continue to buy.</t>
  </si>
  <si>
    <t>b. are creating new web applications in order to communicate.</t>
  </si>
  <si>
    <t>b. More troops should be provided, but only if they're dedicated to counter-terrorism activities.</t>
  </si>
  <si>
    <t>b. It's due to an effort to lure people away from television programming.</t>
  </si>
  <si>
    <t>b. Although English people have always drunk a lot, binge drinking is a modern phenomenon.</t>
  </si>
  <si>
    <t>b. The amazing fact that he arrived in the United States on his birthday.</t>
  </si>
  <si>
    <t>b. They believe that it is an attempt to gain support for Israel in the region</t>
  </si>
  <si>
    <t>b. By changing the policies in areas like the dormitories</t>
  </si>
  <si>
    <t>b. They should be made more precise in their restrictions</t>
  </si>
  <si>
    <t>b. It's better just to play the music since children get bored of lengthy explanations about the history of music</t>
  </si>
  <si>
    <t>b. Webster was finally able to change American spelling by introducing it in schoolbooks</t>
  </si>
  <si>
    <t>b. Because teachers are more critical of other teachers</t>
  </si>
  <si>
    <t>b. Women are more cooperative than men during boardroom meetings</t>
  </si>
  <si>
    <t>b. The cobblestone surface damages tyres of cars and buses</t>
  </si>
  <si>
    <t>b. After failing as a teacher and a social worker, she decided to become a politician.</t>
  </si>
  <si>
    <t>b. The system doesn't do enough to encourage small, low-budget films</t>
  </si>
  <si>
    <t>b. Considering children in economic terms makes people worse parents</t>
  </si>
  <si>
    <t>c. It is being met with scepticism by the local population.</t>
  </si>
  <si>
    <t>c. To prevent civilian deaths caused by insurgents’ attacks.</t>
  </si>
  <si>
    <t>c. He doesn’t have any interesting material to use.</t>
  </si>
  <si>
    <t>c. was secretly given food by the housekeeper</t>
  </si>
  <si>
    <t>c. They interviewed a TV-correspondent about Haiti.</t>
  </si>
  <si>
    <t>c. Its users can receive calls free of charge.</t>
  </si>
  <si>
    <t>c. They address environmental issues.</t>
  </si>
  <si>
    <t>c. They can often be seen flying near the sea shore.</t>
  </si>
  <si>
    <t>c. is gradually being abandoned by the farmers.</t>
  </si>
  <si>
    <t>c. tried to profit from the experience by selling the ghosts.</t>
  </si>
  <si>
    <t>c. Its art collection has always remained in England.</t>
  </si>
  <si>
    <t>c. The government needs to put the priorities of working people before those of seniors.</t>
  </si>
  <si>
    <t>c. His flight was altered to get a better view of the volcano.</t>
  </si>
  <si>
    <t>c. The fauna of the area where she is travelling.</t>
  </si>
  <si>
    <t>c. Collecting is simply a way to satisfy men's primal desire to hunt.</t>
  </si>
  <si>
    <t>c. She says that women find lots of career obstacles in the media.</t>
  </si>
  <si>
    <t>c. twins tend to bring each other down more than they help each other.</t>
  </si>
  <si>
    <t>c. She tried to focus on the positive as the only way to deal with difficult times in life.</t>
  </si>
  <si>
    <t>c. Parents ought to be much stricter about the amount of time children watch television.</t>
  </si>
  <si>
    <t>c. Their success provides publishers with funding for higher-quality literary works.</t>
  </si>
  <si>
    <t>c. Music has helped her through difficult times in life.</t>
  </si>
  <si>
    <t>c. High-speed lines will encourage more people to use trains.</t>
  </si>
  <si>
    <t>c. Because the Communist Party is gaining popularity.</t>
  </si>
  <si>
    <t>c. That China is too important economically to effectively protest against.</t>
  </si>
  <si>
    <t>c. are using the internet to reach new communities of people.</t>
  </si>
  <si>
    <t>c. Alternatives to a troop surge will likely not accomplish their goals</t>
  </si>
  <si>
    <t>c. There's a huge market of people who can't afford quality home theaters.</t>
  </si>
  <si>
    <t>c. The amount that people drink changes quite a bit over time.</t>
  </si>
  <si>
    <t>c. The fact that he was committed to a prison in Turkey but he was able to turn his life around in the U.S.</t>
  </si>
  <si>
    <t>c. They are waiting to see actions that should accompany his words.</t>
  </si>
  <si>
    <t>c. By using her connections in the school administration</t>
  </si>
  <si>
    <t>c. They should be enforced more vigorously</t>
  </si>
  <si>
    <t>c. Children are more open to music if they have an idea of its context</t>
  </si>
  <si>
    <t>c. Webster was reluctant to change spelling too much from its British origins</t>
  </si>
  <si>
    <t>c. Because of the economic impact that teachers make on a nation</t>
  </si>
  <si>
    <t>c. Most boards have a balanced number of men and women</t>
  </si>
  <si>
    <t>c. Closing the street to cars has made traffic problems worse</t>
  </si>
  <si>
    <t>c. She wanted to help people who weren't as priveleged as she was.</t>
  </si>
  <si>
    <t>c. Most people have lost the habit of going to the cinema since the films are so similiar</t>
  </si>
  <si>
    <t>c. Parents in the past thought about their chilren more in economic terms than they do nowadays</t>
  </si>
  <si>
    <t>d. It is welcomed by commuters who work in London.</t>
  </si>
  <si>
    <t>d. To test the effectiveness of the Afghan police.</t>
  </si>
  <si>
    <t>d. He doesn’t have tourism classes this semester.</t>
  </si>
  <si>
    <t>d. felt uncomfortable about his lifestyle</t>
  </si>
  <si>
    <t>d. They received two Haitian students at their school</t>
  </si>
  <si>
    <t>d. It has to be loaded up before use.</t>
  </si>
  <si>
    <t>d. They listen more to regular people’s opinions.</t>
  </si>
  <si>
    <t>d. The males and females are both quite large.</t>
  </si>
  <si>
    <t>d. is representative of India’s underdeveloped areas.</t>
  </si>
  <si>
    <t>d. offered to pay someone to take away the captured ghosts.</t>
  </si>
  <si>
    <t>d. Its paintings were brought to England from Poland.</t>
  </si>
  <si>
    <t>d. Social Security is not doing enough to provide financial stability to seniors.</t>
  </si>
  <si>
    <t>d. He was amazed by the extraordinary sight of the volcano.</t>
  </si>
  <si>
    <t>d. Her attempts at mountaineering in South England.</t>
  </si>
  <si>
    <t>d. Evidence has shown that men collected objects when they could not hunt.</t>
  </si>
  <si>
    <t>d. She feels young women in the media lack ambition and experience.</t>
  </si>
  <si>
    <t>d. whenever twins are together they share the same experiences.</t>
  </si>
  <si>
    <t>d. She thinks positive thinking has taken over the culture, sometimes in ridiculous ways.</t>
  </si>
  <si>
    <t>d. Parents need to find alternative activities for their children while they are indoors.</t>
  </si>
  <si>
    <t>d. They influence the literary preferences of publishers.</t>
  </si>
  <si>
    <t>d. Some music pieces bring back memories from times gone by.</t>
  </si>
  <si>
    <t>d. The building of high-speed lines will boost Britain’s railway industry.</t>
  </si>
  <si>
    <t>d. Because they are the institution preferred by the Cuban State.</t>
  </si>
  <si>
    <t>d. That boycotting Chinese airlines is the best way to influence its actions.</t>
  </si>
  <si>
    <t>d. are using online social networks to communicate amongst themselves.</t>
  </si>
  <si>
    <t>d. The surge should take place only if there is a plan for a withdrawal afterwards.</t>
  </si>
  <si>
    <t>d. The special experience of 3D is a way to get people back into theaters.</t>
  </si>
  <si>
    <t>d. People drink about the same nowadays as in the past.</t>
  </si>
  <si>
    <t>d. The fact that he embodies both the best and worst aspects of the American immigrant story</t>
  </si>
  <si>
    <t>d. They are impressed with the change in tone and rhetoric</t>
  </si>
  <si>
    <t>d. By organizing and including many students in her plans.</t>
  </si>
  <si>
    <t>d. They should be made more restrictive on space technologies</t>
  </si>
  <si>
    <t>d. It's best to explain about a lot of composers and instruments and let the children choose what to hear.</t>
  </si>
  <si>
    <t>d. Webster's first dictionary was unsuccessful because it was too close to British spelling</t>
  </si>
  <si>
    <t>d. Because they will be working with children.</t>
  </si>
  <si>
    <t>d. Nowadays boards select members based on merit</t>
  </si>
  <si>
    <t>d. Vehicle traffic has caused the paving to deteriorate quickly</t>
  </si>
  <si>
    <t>d. She wanted to work in a profession in which she could help people in need</t>
  </si>
  <si>
    <t>d. Most movies nowadays are formulaic and predictable</t>
  </si>
  <si>
    <t>d. Children were more of an economic burden on their parents in the past</t>
  </si>
  <si>
    <t>1. What does the speaker say about the building of the new railway line?</t>
  </si>
  <si>
    <t>2. What is the overall objective of the mentioned military operation?</t>
  </si>
  <si>
    <t>3. Why has he NOT recorded any podcasts for so long?</t>
  </si>
  <si>
    <t>4. As a child, the man…</t>
  </si>
  <si>
    <t>5. What did the students from London do?</t>
  </si>
  <si>
    <t>6. What do we learn about the Go SIM-Card?</t>
  </si>
  <si>
    <t>7. According to the extract, what is new about British politicians?</t>
  </si>
  <si>
    <t>8. What do we learn about Great Bustard birds?</t>
  </si>
  <si>
    <t>9. According to the speaker, this area…</t>
  </si>
  <si>
    <t>10. Ms Woodbree…</t>
  </si>
  <si>
    <t>11. What do we learn about the gallery?</t>
  </si>
  <si>
    <t>12. What does the speaker state about senior citizens in the U.S.?</t>
  </si>
  <si>
    <t>13. What do we find out about the man?</t>
  </si>
  <si>
    <t>14. What does the woman describe in this extract?</t>
  </si>
  <si>
    <t>15. According to the speaker, why are there more men who collect?</t>
  </si>
  <si>
    <t>16. What does the woman say about women in the media?</t>
  </si>
  <si>
    <t>17. The speaker says that…</t>
  </si>
  <si>
    <t>18. What can be inferred from the speaker’s comment?</t>
  </si>
  <si>
    <t>19. What does the speaker say about rationing television?</t>
  </si>
  <si>
    <t>20. According to the speaker, what effect do Dan Brown’s books have on the publishing world?</t>
  </si>
  <si>
    <t>21. Which statement is true about the woman?</t>
  </si>
  <si>
    <t>22. Which statement reflects the interviewee’s opinion?</t>
  </si>
  <si>
    <t>23. According to the speaker, why are the armed forces of Cuba the ‘key to the future’ of change in Cuba?</t>
  </si>
  <si>
    <t>24. What point is the speaker trying to make in this excerpt?</t>
  </si>
  <si>
    <t>25. According to the speaker, governmental organizations and NGOs:</t>
  </si>
  <si>
    <t>26. What is the speaker’s opinion about a surge in troops in Afghanistan?</t>
  </si>
  <si>
    <t>27. According to the speaker, why is there currently a boom in 3D films at movie theaters?</t>
  </si>
  <si>
    <t>28. According to the interview, which of the following is true?</t>
  </si>
  <si>
    <t>29. What does the speaker appreciate about this immigrant’s story?</t>
  </si>
  <si>
    <t>30. According to the speaker, what do people in the Arab world think of US President Barack Obama’s reconciliatory efforts?</t>
  </si>
  <si>
    <t>31. How does the speaker propose to deal with the budget problems at the school?</t>
  </si>
  <si>
    <t>32. According to the interviewee, what should be done about the export control laws in the Unites States?</t>
  </si>
  <si>
    <t>33. What does the violinist say about playing music for children?</t>
  </si>
  <si>
    <t>34. According to the passage, which of the following is true?</t>
  </si>
  <si>
    <t>35. According to the woman, why is educating teachers such a serious responsibility?</t>
  </si>
  <si>
    <t>37. What does May complain about?</t>
  </si>
  <si>
    <t>38. Which statement is true?</t>
  </si>
  <si>
    <t>39. What does the filmmaker say about films nowadays?</t>
  </si>
  <si>
    <t>40. According to the interview, which of the following is true?</t>
  </si>
  <si>
    <t>EXAMEN 105</t>
  </si>
  <si>
    <t>EXAMEN 105/MP3/Q-1.mp3</t>
  </si>
  <si>
    <t>EXAMEN 105/MP3/Q-2.mp3</t>
  </si>
  <si>
    <t>EXAMEN 105/MP3/Q-3.mp3</t>
  </si>
  <si>
    <t>EXAMEN 105/MP3/Q-4.mp3</t>
  </si>
  <si>
    <t>EXAMEN 105/MP3/Q-5.mp3</t>
  </si>
  <si>
    <t>EXAMEN 105/MP3/Q-6.mp3</t>
  </si>
  <si>
    <t>EXAMEN 105/MP3/Q-7.mp3</t>
  </si>
  <si>
    <t>EXAMEN 105/MP3/Q-8.mp3</t>
  </si>
  <si>
    <t>EXAMEN 105/MP3/Q-9.mp3</t>
  </si>
  <si>
    <t>EXAMEN 105/MP3/Q-10.mp3</t>
  </si>
  <si>
    <t>EXAMEN 105/MP3/Q-11.mp3</t>
  </si>
  <si>
    <t>EXAMEN 105/MP3/Q-12.mp3</t>
  </si>
  <si>
    <t>EXAMEN 105/MP3/Q-13.mp3</t>
  </si>
  <si>
    <t>EXAMEN 105/MP3/Q-14.mp3</t>
  </si>
  <si>
    <t>EXAMEN 105/MP3/Q-15.mp3</t>
  </si>
  <si>
    <t>EXAMEN 105/MP3/Q-16.mp3</t>
  </si>
  <si>
    <t>EXAMEN 105/MP3/Q-17.mp3</t>
  </si>
  <si>
    <t>EXAMEN 105/MP3/Q-18.mp3</t>
  </si>
  <si>
    <t>EXAMEN 105/MP3/Q-19.mp3</t>
  </si>
  <si>
    <t>EXAMEN 105/MP3/Q-20.mp3</t>
  </si>
  <si>
    <t>EXAMEN 105/MP3/Q-21.mp3</t>
  </si>
  <si>
    <t>EXAMEN 105/MP3/Q-22.mp3</t>
  </si>
  <si>
    <t>EXAMEN 105/MP3/Q-23.mp3</t>
  </si>
  <si>
    <t>EXAMEN 105/MP3/Q-24.mp3</t>
  </si>
  <si>
    <t>EXAMEN 105/MP3/Q-25.mp3</t>
  </si>
  <si>
    <t>EXAMEN 105/MP3/Q-26.mp3</t>
  </si>
  <si>
    <t>EXAMEN 105/MP3/Q-27.mp3</t>
  </si>
  <si>
    <t>EXAMEN 105/MP3/Q-28.mp3</t>
  </si>
  <si>
    <t>EXAMEN 105/MP3/Q-29.mp3</t>
  </si>
  <si>
    <t>EXAMEN 105/MP3/Q-30.mp3</t>
  </si>
  <si>
    <t>EXAMEN 105/MP3/Q-31.mp3</t>
  </si>
  <si>
    <t>EXAMEN 105/MP3/Q-32.mp3</t>
  </si>
  <si>
    <t>EXAMEN 105/MP3/Q-33.mp3</t>
  </si>
  <si>
    <t>EXAMEN 105/MP3/Q-34.mp3</t>
  </si>
  <si>
    <t>EXAMEN 105/MP3/Q-35.mp3</t>
  </si>
  <si>
    <t>EXAMEN 105/MP3/Q-36.mp3</t>
  </si>
  <si>
    <t>EXAMEN 105/MP3/Q-37.mp3</t>
  </si>
  <si>
    <t>EXAMEN 105/MP3/Q-38.mp3</t>
  </si>
  <si>
    <t>EXAMEN 105/MP3/Q-39.mp3</t>
  </si>
  <si>
    <t>EXAMEN 105/MP3/Q-40.mp3</t>
  </si>
  <si>
    <t>T TE. D. ANDRES TORRES CASO</t>
  </si>
  <si>
    <t>28800128</t>
  </si>
  <si>
    <t>TCOL. JERÓNIMO DELGADO DE LUQUE</t>
  </si>
  <si>
    <t>28683622</t>
  </si>
  <si>
    <t>TCOL. D. GABRIEL AIZPURU DIAZ DE TERAN</t>
  </si>
  <si>
    <t>EXAMEN DE NOV 12</t>
  </si>
  <si>
    <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</si>
  <si>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</si>
  <si>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 He was off the Bahamas as part of his official tour of the Caribbean and was supposed to join the crew of a Royal Bahamian Defense Force patrol boat on a naval exercise. He eventually landed on tiny Harbor Island, where he met crowds of tourists and locals.</t>
  </si>
  <si>
    <t xml:space="preserve">A six-year-old girl has survived after being trapped under ice in a river and spending four days in a coma. The girl and her brother were playing on ice when it gave way. Medics say that the girl has not suffered any injuries and that she has been sitting up in bed and enjoying an ice cream. </t>
  </si>
  <si>
    <t>Two daring commando raids by two nations in one day against Somali pirates show that some naval forces are taking a harder line, perhaps because nothing else they have tried has stopped the rise of lawlessness off the east coast of Africa.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</si>
  <si>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but has escaped any kind of sanction because of the significant political connections of its senior management.</t>
  </si>
  <si>
    <t>Japan’s government is set to suspend all cattle shipments from Fukushima as concerns over radiation-tainted beef escalate.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t>
  </si>
  <si>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But the discovery has sparked a public debate, with many believing the items should be put in museums or sold and the profits used for the public good. </t>
  </si>
  <si>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</si>
  <si>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“Compelling evidence was presented to the jury, including testimony from hospital witnesses that confirmed the hospitals were not financially damaged as they asserted.”</t>
  </si>
  <si>
    <t>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 People with these management skills “can only be found in India – they have the expertise and they were there a couple of years ahead of us,” says Mr. Borja.</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</si>
  <si>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Tucked inside the embassy, where the Cuban Interests Section resides, the bar has a strict invitation-only list. It will be used for entertaining guest of the Interest Section, so tourists hoping to catch happy hour are out of luck. It’s illegal for the bar to conduct any commerce, but the embassy is free from the trade embargo that forbids importing products from the communist country. So drinks were free, made with Cuban rum that’s normally impossible to find in the U.S.</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</si>
  <si>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The boom has been driven by the legalization of slot machines which have overtaken lotteries, horses and football to account for more than half of today’s total spending. “Until the 1990s it was disapproved of and the government’s tendency was to control it,” said sociologist Maurizio Fiasco. “Then it became a useful revenue.” While the gambling parlors provide a revenue for the cash-strapped government, the mafia has also moved in for its cut – allegedly using front companies to obtain licenses then laundering drug money through operations.</t>
  </si>
  <si>
    <t xml:space="preserve">A National Trust farm is to be run by online subscribers voting on which crops to grow and livestock to rear. For a 30-pound annual fee, 10,000 farm followers will help manage Wimpole Home Farm, in Cambridgeshire. The ‘My Farm’ project aims to reconnect people with where their food comes from. 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The options put to members will be within parameters dictated by climate, 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</si>
  <si>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</si>
  <si>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Along with efficient macroeconomic management, a key lesson from the Botswana experience is ensuring that economic growth translates into tangible social benefits for all.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</si>
  <si>
    <t xml:space="preserve">Global warming has already harmed the world’s food production and has driven up food prices by as much as 20% over recent decades, new research has revealed. The drop in the productivity of crop plants around the world was not caused by changes in rainfall but was because higher temperatures can cause dehydration, prevent pollination and lead to slowed photosynthesis.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The scientists say their work shows how crucial it is to find ways to adapt farming to a warmer world, 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</si>
  <si>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Later, the rule was relaxed, allowing the drink to be sold as long as it was not called absinthe, and instead labelled “a spirit made from extracts of the absinthe plant.” Now the ban is expected to be lifted entirely any day now, after the French Senate voted in favour of the move in mid-April. While drinkers like Clement Arnoux are relieved that the stigma of illegality has gone, not everyone sees the change of law as cause for celebration.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t>
  </si>
  <si>
    <t xml:space="preserve">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This includes the pink dolphins, which, according to surveys conducted in March, have seen their numbers increased by nearly 10%, compared to the same period last year, prior to the drought. The number of grey dolphins is also up from March 2010 – by 30%. The research is being carried out in a national reserve in the Amazon. “This reserve is flooded forest, where we get high levels and low levels in the rivers every year,” says Dr. Bodmer. “But the 2010 drought and the record floods the previous year were much worse.” Now the water levels are extremely high again and local officials have declared a state of emergency. “We are being hit on both sides – extremely high levels of water or droughts,” says Dr. Bodmer. </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</si>
  <si>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The routine testifies to the adoration Thai people feel for both their nation and their king.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Human rights groups, as well as the U.S, E.U. and U.N, have voiced concern over the way the law is used.</t>
  </si>
  <si>
    <t>1.- Which of the following is true?</t>
  </si>
  <si>
    <t xml:space="preserve">2.- Which of the following is true? </t>
  </si>
  <si>
    <t xml:space="preserve">3.-When did Prince Harry’s boat break? </t>
  </si>
  <si>
    <t xml:space="preserve">4.- What happened to the young girl? </t>
  </si>
  <si>
    <t>5.- The report states that;</t>
  </si>
  <si>
    <t>8.- According to the report;</t>
  </si>
  <si>
    <t>6.- It is stated in the article that Aurora;</t>
  </si>
  <si>
    <t xml:space="preserve">7.- According to the report; </t>
  </si>
  <si>
    <t>9.- According to the report;</t>
  </si>
  <si>
    <t xml:space="preserve">10.- One of the reasons that the hospitals lost the case appears to be that; </t>
  </si>
  <si>
    <t>11.- According to the report;</t>
  </si>
  <si>
    <t xml:space="preserve">13.- Which of the following is true? </t>
  </si>
  <si>
    <t>15.- What is said about gambling in Italy?</t>
  </si>
  <si>
    <t>17.- The ‘My Farm’ project was set up partly to;</t>
  </si>
  <si>
    <t>10.- The problem in Uravi has been worsened by;</t>
  </si>
  <si>
    <t>21.- According to the article, one of the most important reasons for Botswana’s success is that;</t>
  </si>
  <si>
    <t xml:space="preserve">23.- Food production has been negatively affected by; </t>
  </si>
  <si>
    <t xml:space="preserve">25.- The plan to legalize absinthe in France; </t>
  </si>
  <si>
    <t xml:space="preserve">27.- According to the article; </t>
  </si>
  <si>
    <t>20.- Which of the following is true?</t>
  </si>
  <si>
    <t xml:space="preserve">12.- The report states: </t>
  </si>
  <si>
    <t>14.- What is said about the bar, ‘Hemingway’s’?</t>
  </si>
  <si>
    <t xml:space="preserve">16.- What is said about the mafia? </t>
  </si>
  <si>
    <t>18.- When making decisions about the farm, subscribers will be obliged to consider;</t>
  </si>
  <si>
    <t xml:space="preserve">20.- What is said about the local population in Uravi? </t>
  </si>
  <si>
    <t xml:space="preserve">24.- In the future, it will be important to; </t>
  </si>
  <si>
    <t>26.- Previously in France;</t>
  </si>
  <si>
    <t xml:space="preserve">28.- It is stated in the article that the Amazon Rainforest; </t>
  </si>
  <si>
    <t>30.- What is stated in the report regarding Thai society?</t>
  </si>
  <si>
    <t>EXAMEN 8</t>
  </si>
  <si>
    <t>EXAMEN DE EMID/2012</t>
  </si>
  <si>
    <t>a) The summit on Afghanistan’s future is the first of its kind</t>
  </si>
  <si>
    <t>b) President Karzai has condemned the lack of progress in Afghanistan</t>
  </si>
  <si>
    <t>d) Pakistan spurned the proceedings</t>
  </si>
  <si>
    <t>a) The Honduran Congress is moving to protect privacy</t>
  </si>
  <si>
    <t>b) Efforts are being made to eliminate corruption in the military</t>
  </si>
  <si>
    <t>c) The military is now active in tackling crime problems in Honduras</t>
  </si>
  <si>
    <t>d) Motorbike riding will be banned for six months in Honduras</t>
  </si>
  <si>
    <t>a) When he was leaving the Bahamas</t>
  </si>
  <si>
    <t>b) When he arrived on Harbor Island</t>
  </si>
  <si>
    <t>c) During a naval exercise</t>
  </si>
  <si>
    <t xml:space="preserve">d) When he was close to the Bahamas </t>
  </si>
  <si>
    <t>a) She was wounded by the ice</t>
  </si>
  <si>
    <t>b) She was stuck under the ice</t>
  </si>
  <si>
    <t>c) She was pushed under the ice</t>
  </si>
  <si>
    <t>d) She was drowned under the ice</t>
  </si>
  <si>
    <t>a) The raids are reducing acts of piracy</t>
  </si>
  <si>
    <t>b) The European Union’s naval force participates in raids</t>
  </si>
  <si>
    <t>c) Hostages are increasingly being used as human shields</t>
  </si>
  <si>
    <t>d) The raids are carried out as a last resort</t>
  </si>
  <si>
    <t>a) Has been exempt from penalties because of its ties</t>
  </si>
  <si>
    <t>a) The tainted beef has been sold in Fukushima only</t>
  </si>
  <si>
    <t>b) Transportation of cattle from Fukushima has been postponed</t>
  </si>
  <si>
    <t>c) The radioactive material is no longer leaking out of the facilities</t>
  </si>
  <si>
    <t>d) Distributors are boycotting the purchase of beef</t>
  </si>
  <si>
    <t>a) Sundar Rajan didn’t have confidence in the state.</t>
  </si>
  <si>
    <t>b) There is contention over the fortune.</t>
  </si>
  <si>
    <t>c) Sundar Rajan was opposed to the opening of the vaults.</t>
  </si>
  <si>
    <t xml:space="preserve">d) The temple was never believed to contain such wealth. </t>
  </si>
  <si>
    <t>a) KaBOOM! has received the support of policy makers</t>
  </si>
  <si>
    <t>b) KaBOOM!’s beginning was influenced by budget cuts</t>
  </si>
  <si>
    <t>c) KaBOOM ! trains locals in fundraising methods</t>
  </si>
  <si>
    <t>d) KaBOOM! was founded in a previous era</t>
  </si>
  <si>
    <t>a) The Philippines has now taken the lead in the call centre business</t>
  </si>
  <si>
    <t>b) India has been the leader in the call centre business due to its high level of English</t>
  </si>
  <si>
    <t>c) Philippine success in the call centre business is due to its business skills</t>
  </si>
  <si>
    <t>a) The celebration took place in Havana</t>
  </si>
  <si>
    <t>b) Drinks were served free of charge</t>
  </si>
  <si>
    <t>c) Cuban rum was not available</t>
  </si>
  <si>
    <t>d) Tourists enjoy coming to the bar for ‘Happy Hour’</t>
  </si>
  <si>
    <t>a) It is making Italians progressively richer</t>
  </si>
  <si>
    <t>b) U.K. has more gamblers than Italy</t>
  </si>
  <si>
    <t>c) Slot machines dominate the gambling scene</t>
  </si>
  <si>
    <t>d) Gambling is still widely disapproved of</t>
  </si>
  <si>
    <t>a) Reacquaint people with food production</t>
  </si>
  <si>
    <t>b) Inspire people to grow their own food</t>
  </si>
  <si>
    <t>c) To encourage people to participate in the game Farmville</t>
  </si>
  <si>
    <t>d) To compete with the ‘My Football Club’ project</t>
  </si>
  <si>
    <t>a) The fall of the Soviet Union</t>
  </si>
  <si>
    <t>b) The fact that it is short of funds</t>
  </si>
  <si>
    <t>c) The nature of its landscape</t>
  </si>
  <si>
    <t>d) The fact that it has a predominantly young population</t>
  </si>
  <si>
    <t>b) The advantages of economic growth have reached many people</t>
  </si>
  <si>
    <t>a) Thai people commonly criticize their king</t>
  </si>
  <si>
    <t>b) Some organizations are disturbed by Article 112</t>
  </si>
  <si>
    <t>c) Kanthoop has been sentenced to jail</t>
  </si>
  <si>
    <t>d) Article 112 has been used to promote discussions</t>
  </si>
  <si>
    <t>c) The US was in opposition to the summit</t>
  </si>
  <si>
    <t xml:space="preserve">a) Many of the call centers are under Indian management </t>
  </si>
  <si>
    <t>b) American customers find it easier to speak with Indian agents</t>
  </si>
  <si>
    <t>c) Some Filipino call centers are moving to India</t>
  </si>
  <si>
    <t xml:space="preserve">d) More Filipinos are being trained for management positions </t>
  </si>
  <si>
    <t>a) It is now open to the public</t>
  </si>
  <si>
    <t>b) It is very conventional</t>
  </si>
  <si>
    <t>c) Access to it is restricted</t>
  </si>
  <si>
    <t xml:space="preserve">d) It turns over a large profit </t>
  </si>
  <si>
    <t>a) They have taken over the gambling business</t>
  </si>
  <si>
    <t>b) They access the gambling business through false enterprises</t>
  </si>
  <si>
    <t>c) Gambling is their main source of revenue</t>
  </si>
  <si>
    <t>d) They are rarely able to obtain licenses for businesses</t>
  </si>
  <si>
    <t>a) The opinions of experts</t>
  </si>
  <si>
    <t>c) Climatic conditions</t>
  </si>
  <si>
    <t>d) The rarity of the livestock breeds</t>
  </si>
  <si>
    <t>a) They are not being well-informed about the problem</t>
  </si>
  <si>
    <t>b) They are actively resolving the problem</t>
  </si>
  <si>
    <t>c) They are protesting the government’s inaction</t>
  </si>
  <si>
    <t xml:space="preserve">d) They are leaving the area </t>
  </si>
  <si>
    <t>a) Suffers a drought every year</t>
  </si>
  <si>
    <t>b) Rarely suffers flooding</t>
  </si>
  <si>
    <t>c) Suffered its worst drought in 2009</t>
  </si>
  <si>
    <t xml:space="preserve">d) Regularly suffers droughts and floods </t>
  </si>
  <si>
    <t>a) It venerates its monarchy</t>
  </si>
  <si>
    <t>b) It is hostile to outsiders</t>
  </si>
  <si>
    <t>c) It doesn’t value its youth</t>
  </si>
  <si>
    <t xml:space="preserve">d) Outsiders don’t understand it </t>
  </si>
  <si>
    <t>a) Mandula was quite fat when she was found.</t>
  </si>
  <si>
    <t>b) Csilla now has 7 cats living with her.</t>
  </si>
  <si>
    <t>c) Mandula likes eating almonds and watching TV.</t>
  </si>
  <si>
    <t>d) Csilla found homes for all of Mandula’s kittens.</t>
  </si>
  <si>
    <t>a) The landing could be easily seen and heard by the enemy.</t>
  </si>
  <si>
    <t>b) They tried to land the men and the equipment without being seen.</t>
  </si>
  <si>
    <t>c) They had muffled the equipment so that no light could be seen.</t>
  </si>
  <si>
    <t>d) They used secret codes so as to surprise the enemy.</t>
  </si>
  <si>
    <t>a) Some land mines have been found near the Iron Curtain.</t>
  </si>
  <si>
    <t>b) There has been a proposal to protect the Iron Curtain from demolition.</t>
  </si>
  <si>
    <t>c) The land around the Iron Curtain is home to many types of wildlife.</t>
  </si>
  <si>
    <t>d) Some German states want to develop the Iron Curtain area.</t>
  </si>
  <si>
    <t>a) He/she changes plans easily.</t>
  </si>
  <si>
    <t>b) He/she is domineering.</t>
  </si>
  <si>
    <t>c) He/she is firm.</t>
  </si>
  <si>
    <t>d) He/she has a masculine nature.</t>
  </si>
  <si>
    <t>a) They receive a check for $20,000 in prize money.</t>
  </si>
  <si>
    <t>b) They receive a green jacket which they keep for life.</t>
  </si>
  <si>
    <t>c) They present a green jacket to the next year’s winner.</t>
  </si>
  <si>
    <t>d) They can wear their green jacket to other golf tournaments.</t>
  </si>
  <si>
    <t>a) warm the alioli sauce.</t>
  </si>
  <si>
    <t>b) make a paste with the asparagus.</t>
  </si>
  <si>
    <t>c) add the alioli sauce before serving.</t>
  </si>
  <si>
    <t>d) fry the asparagus.</t>
  </si>
  <si>
    <t>a) Mr. Karnis used to have to wait to travel across borders.</t>
  </si>
  <si>
    <t>b) Central Europeans have to show their passports at borders.</t>
  </si>
  <si>
    <t>c) Mr. Karnis enjoys travelling with his neighbor on holidays.</t>
  </si>
  <si>
    <t>d) Rudolf Karnis and Peter Svancar both live in Poland.</t>
  </si>
  <si>
    <t>a) A health inspector closed a restaurant selling poison mushrooms.</t>
  </si>
  <si>
    <t>b) A restaurant manager’s attempt to save money caused a big problem.</t>
  </si>
  <si>
    <t>c) Several people became ill after eating mushrooms they collected.</t>
  </si>
  <si>
    <t>d) Several people have accused the manager of poisoning them.</t>
  </si>
  <si>
    <t>a) Burning biomass produces more electricity than burning fossil fuels.</t>
  </si>
  <si>
    <t>b) There should be more credits available for funding biomass projects.</t>
  </si>
  <si>
    <t>c) Fears about the efficiency of biomass need to be considered.</t>
  </si>
  <si>
    <t>d) Replacing fossil fuels with biomass would reduce our carbon footprint.</t>
  </si>
  <si>
    <t>a) The line between renewable and non-renewable energies is very thin.</t>
  </si>
  <si>
    <t>b) Carbon dioxide produced by burning biomass and fossil fuel cannot be equated.</t>
  </si>
  <si>
    <t>c) Biomass energy has become a cheap and competitive alternative fuel.</t>
  </si>
  <si>
    <t>d) Scientists need to study and clarify the benefits of biomass energy.</t>
  </si>
  <si>
    <t>a) New methods of testing have exposed much higher numbers of microbes in water and
air supplies than previously suspected.</t>
  </si>
  <si>
    <t>b) There are no effective ways to decrease the amount of bacteria you are exposed to in
the shower.</t>
  </si>
  <si>
    <t>c) Bacteria builds up over time, so the longer your shower, the more bacteria you are
exposed to.</t>
  </si>
  <si>
    <t>d) There are some simple steps you can take to greatly reduce the amount of bacteria
inhaled while in the shower.</t>
  </si>
  <si>
    <t>a) He doesn't understand how someone could undertake this kind of disgusting research.</t>
  </si>
  <si>
    <t>b) Even though this type of research is important, we shouldn't think about it in our day to
day lives.</t>
  </si>
  <si>
    <t>c) We would be better off if scientists didn't undertake this kind of research because it just
makes us more paranoid.</t>
  </si>
  <si>
    <t>d) The research is rather pointless since so much of the bacteria can't be identified with
current techniques.</t>
  </si>
  <si>
    <t>a) Young stars have come to expect the same treatment and paychecks as established
stars.</t>
  </si>
  <si>
    <t>b) Among older viewers, films starring young actors are still not as popular as adult
dramas.</t>
  </si>
  <si>
    <t>c) Some flawed films have proven to be very popular based on the appeal of LaBeouf.</t>
  </si>
  <si>
    <t>d) Adults' taste in films are now more aligned with those of younger viewers.</t>
  </si>
  <si>
    <t>a) LaBeouf is representative of a youth fad that will pass quickly.</t>
  </si>
  <si>
    <t>b) The failure of recent adult dramas to perform at the box office is clearly due to the
quality of the films themselves.</t>
  </si>
  <si>
    <t>c) LaBeouf and other young stars are displacing more talented actors because they are
so much in demand.</t>
  </si>
  <si>
    <t>d) LaBeouf and other young stars are displacing more talented actors because they are
so much in demand.</t>
  </si>
  <si>
    <t>a) Many U.S. citizens have recently begun demanding insurance for illegal workers,
especially those working dangerous jobs.</t>
  </si>
  <si>
    <t>b) Having illegal workers take part in a universal care system would likely benefit the
whole system.</t>
  </si>
  <si>
    <t>c) It makes financial sense to develop a separate system of health care solely for illegal
immigrants.</t>
  </si>
  <si>
    <t>d) Importing legal workers from other countries would be more beneficial than insuring
illegal workers already in the U.S.</t>
  </si>
  <si>
    <t>a) Insuring illegal workers is a good idea as long as we oblige them to leave before they
get old.</t>
  </si>
  <si>
    <t>b) Insuring illegal workers would only encourage more to come to the U.S., which over
time, would burden the system.</t>
  </si>
  <si>
    <t>c) The fact that many of the workers are criminals makes the plan politically untenable.</t>
  </si>
  <si>
    <t>d) Though a good idea, his plan to insure illegal immigrants is unlikely to ever take place.</t>
  </si>
  <si>
    <t>a) The rise of computers and cellphones should take most of the blame for the decline.</t>
  </si>
  <si>
    <t>b) Nothing good comes out of learning to write on computers and text messages.</t>
  </si>
  <si>
    <t>c) The unreliability of early ballpoint pens discouraged people from learning to write well.</t>
  </si>
  <si>
    <t>d) The skills improved by learning to handwrite are more useful than those improved by
learning to type.</t>
  </si>
  <si>
    <t>a) Handwriting, like many other skills in human history, will likely pass into obscurity.</t>
  </si>
  <si>
    <t>b) Handwriting will become a hobby that people will develop despite its anachronism.</t>
  </si>
  <si>
    <t>c) Sending children to handwriting schools would be useful only if other subjects were
taught.</t>
  </si>
  <si>
    <t>d) Like horseback riding and sailing, handwriting will likely develop into a pastime for the
elite.</t>
  </si>
  <si>
    <t>a) Canadians still remain skeptical of the U.S.’s governing style.</t>
  </si>
  <si>
    <t>b) Canadians generally support their American counterparts.</t>
  </si>
  <si>
    <t>c) Canadians have softened their views towards the U.S.</t>
  </si>
  <si>
    <t>d) Canadians have placed great expectations in America’s new government.</t>
  </si>
  <si>
    <t>a) Canadians share the same anti-American sentiments as those of other countries.</t>
  </si>
  <si>
    <t>b) The capitalist market in America is just as cruel and outdated as it ever was.</t>
  </si>
  <si>
    <t>c) Canadians have begun shedding some of their fearful anti-Americanism.</t>
  </si>
  <si>
    <t>d) Canada's own financial disaster has caused them sympathy for the American plight.</t>
  </si>
  <si>
    <t>a) solutions for global warming must be developed in the First World and disseminated to
developing countries.</t>
  </si>
  <si>
    <t>b) contraception campaigns in the developing world will solve the problem of global
warming.</t>
  </si>
  <si>
    <t>c) a cap-and-trade program for babies could be a viable solution to curb population
growth.</t>
  </si>
  <si>
    <t>d) in poor countries, women control the number of children that a family has.</t>
  </si>
  <si>
    <t>a) Limits should be palced on the number of children per family in those places.</t>
  </si>
  <si>
    <t>b) The developed nations must restrict their industrialization.</t>
  </si>
  <si>
    <t>c) They must develope using new, cleaner technologies.</t>
  </si>
  <si>
    <t>d) Contraception and education campaigns should reduce the population before they
industrialize</t>
  </si>
  <si>
    <t>a) Special-interest groups abuse the system to further their own goals.</t>
  </si>
  <si>
    <t>b) The same progressives who created the system have, over time, crippled it to the point
of ineffectiveness.</t>
  </si>
  <si>
    <t>c) California´s system means that anyone can propose a spending bill as long as they
have enough public support.</t>
  </si>
  <si>
    <t>d) California´s system of democracy encourages spending while making it difficult to raise
money.</t>
  </si>
  <si>
    <t>a) Though the system had admirable goals at its creation, nowadays it is ineffective.</t>
  </si>
  <si>
    <t>b) Unions should have done more to prevent rich people and business from taking
advantage of the system.</t>
  </si>
  <si>
    <t>c) The idea of the initiative system was flawed from the start.</t>
  </si>
  <si>
    <t>d) California is an example of how the power of demoncracy works in practice.</t>
  </si>
  <si>
    <t>a) We must focus on issues of the mistreatment of animals before opening such an
expensive health centre.</t>
  </si>
  <si>
    <t>b) The centre should be opened, but should not include facilities for euthanasia.</t>
  </si>
  <si>
    <t>c) Given the amount of money spent on the treatment of humans, we can afford to help
animals.</t>
  </si>
  <si>
    <t>d) The centre should be opened, but the money should not come from the NHS budget.</t>
  </si>
  <si>
    <t>a) Even if animals didn´t feel the same emotional range as humans, we would still have to
care for them</t>
  </si>
  <si>
    <t>b) It´s only acceptable to euthanize those animals which have been mistreated,
abandoned, or live in pain.</t>
  </si>
  <si>
    <t>c) It is immoral to spend money on expensive veterinarian facilities while many humans
are in need of health care.</t>
  </si>
  <si>
    <t>d) We must provide care for domesticated animals because we have made them
dependent on us.</t>
  </si>
  <si>
    <t>a) Documentary filmmakers have been unjustly accused of manipulating facts.</t>
  </si>
  <si>
    <t>b) The truth presented in documentary films may be more skewed than the viewer
expected.</t>
  </si>
  <si>
    <t>c) Documentary filmmakers are solely interested in presenting the facts and the higher
truth.</t>
  </si>
  <si>
    <t>d) The conventional ethics learned at the school of journalists was corroborated.</t>
  </si>
  <si>
    <t>a) Some documentary filmmmakers find it acceptable to manipulate small facts in the
name of social justice.</t>
  </si>
  <si>
    <t>b) Documentary filmmakers seeking an audience or funding should manipulate facts.</t>
  </si>
  <si>
    <t>c) Documentaries, which concern issues of social justice, have a greater responsibility to
be accurate.</t>
  </si>
  <si>
    <t>d) Filmmakers who are passionate about their subject matter shouldn't be restricted by
the truth.</t>
  </si>
  <si>
    <t>a) has run into problems finding volunteers willing to live the rest of their lives on Mars.</t>
  </si>
  <si>
    <t>b) is unlikely to be carried out in the coming decades due to its prohibitive cost.</t>
  </si>
  <si>
    <t>c) has been regarded with suspicion by the scientific community.</t>
  </si>
  <si>
    <t>d) has met with interest despite some misinformation surrounding the idea.</t>
  </si>
  <si>
    <t>a) NASA has done a good job maintaining public interest in the space program despite
some unexciting missions.</t>
  </si>
  <si>
    <t>b) NASA needs to have a bold, exciting mission to recapture the public interest.</t>
  </si>
  <si>
    <t>c) NASA needs to undertake smaller missions with a reduced budget before considering
his Mars plan.</t>
  </si>
  <si>
    <t>d) NASA should excite the public by returning to the Moon, then set its sights on Mars.</t>
  </si>
  <si>
    <t>1.- According to the text, …</t>
  </si>
  <si>
    <t>2.-What happened the night of the operation?</t>
  </si>
  <si>
    <t>3.- Which statement is true?</t>
  </si>
  <si>
    <t>4.- Which of these statements is true about a Taurus person?</t>
  </si>
  <si>
    <t>5.- Which statement is true about winners of the Masters Golf Tournament?</t>
  </si>
  <si>
    <t>6.- To prepare this dish you have to..</t>
  </si>
  <si>
    <t>7.- Which statement is true?</t>
  </si>
  <si>
    <t>8.- Which statement is true?</t>
  </si>
  <si>
    <t>9.- According to the text, which of the following is true?</t>
  </si>
  <si>
    <t>10.- Which of the following is NOT true?</t>
  </si>
  <si>
    <t>11.- What was one conclusion of the article?</t>
  </si>
  <si>
    <t>12.- What is the writer's opinion of this type of microbiological research?</t>
  </si>
  <si>
    <t>13.- According to the article, what are some of the recent changes taking place in Hollywood?</t>
  </si>
  <si>
    <t>15.- According to the article, which of the following statements are true?</t>
  </si>
  <si>
    <t>17.- What is the writer's opinion about the decline of handwriting skills?</t>
  </si>
  <si>
    <t>19.- Which of the following statements is true?</t>
  </si>
  <si>
    <t>21.- It can be concluded from the article that:</t>
  </si>
  <si>
    <t>23.- Which of these statements, according to the article, is NOT true?</t>
  </si>
  <si>
    <t>25.- Which of the following statements best reflects the writer’s opinion about the veterinarian
health centre?</t>
  </si>
  <si>
    <t>27.- According to what is stated in the article:</t>
  </si>
  <si>
    <t>29.- The author´s proposed plan…</t>
  </si>
  <si>
    <t>14.- The writer of the article believes that:</t>
  </si>
  <si>
    <t>16.- Which of the following statements best reflects the writer's opinion?</t>
  </si>
  <si>
    <t>18.- What are the writer's thoughts about the future of handwriting?</t>
  </si>
  <si>
    <t>20.- Which of the following statements best reflects the writer's opinion?</t>
  </si>
  <si>
    <t>22.- Which of following opinions on how to prevent global warming in the developing world best
reflects that of the author:</t>
  </si>
  <si>
    <t>24.- Which of the following statements best reflects the writer's opinion?</t>
  </si>
  <si>
    <t>26.- What does the writer believe about the moral relationship between humans and animals?</t>
  </si>
  <si>
    <t>28.- According to the article, which of the following statements is true?</t>
  </si>
  <si>
    <t>30.- The author believes that…</t>
  </si>
  <si>
    <t>EXAMEN 9</t>
  </si>
  <si>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Much of the money came from the National Heritage Memorial Fund (NHMF) through an 894,700 pound grant.</t>
  </si>
  <si>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Regular diving expeditions to cull lionfish have been authorized by Cayman Islands Department of the Environment in collaboration with the Institute. But no-one is sure that anyone can catch enough lionfish to make a difference. One study in the Bahamas showed that lionfish reduced native species populations on one reef by almost 80%.</t>
  </si>
  <si>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Prosecutors say the fraudsters used false identities to transfer money back to Romania from abroad.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</si>
  <si>
    <t>Somewhere in the Netherlands, a post woman is in trouble. When I visited her, bad health, snow and ice and chaos in her personal life had left her months behind on her deliveries. She rents a privatized ex-council flat with her partner and so many crates of mail had built up that is was getting hard to move around. Twice a week, one of the private mail companies she was working for dropped off three or four crates of letters, magazines and catalogues. She was sorting and delivering the new crates but the winter backlog was difficult to clear.</t>
  </si>
  <si>
    <t>A national newspaper has been accused of hacking into the mobile phones of crime victims. Journalists at the News of the World have already been caught secretly listening to voicemails of celebs to get stories. But now it seems things might have gone further and police are investigating. In one case, it’s claimed people listened to the messages of parents desperately trying to find their missing daughter.</t>
  </si>
  <si>
    <t xml:space="preserve">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The researchers used a nerve graft to form a bridge across the scar at the same time as injecting an enzyme which attacked the inhibitory molecules. Three months later, tests showed the mice had recovered 80-100% of breathing function. Researchers hope to begin trials in humans. </t>
  </si>
  <si>
    <t>In 1957 a 30-year-old engineer named Max Mathews got an IBM 704 mainframe computer at the Bell Telephone Laboratories in Murray Hill, N. J., to generate 17 seconds of music, then recorded the result for prosperity. While not the first person to make sound with a computer, Max was the first one to do so with a combination of hardware and software that allowed the user to specify what tones he wanted to hear.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t>
  </si>
  <si>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 Children are going to fail at stuff. They do not have to be taught how to do it. But it probably doesn’t hurt them to see that it happens to everyone. And, particularly when the kids who don’t shine in the classroom get a chance to show off in some other arena, I reckon that affording them a moment of glory is an admirable thing.</t>
  </si>
  <si>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 so that giant losses from their investment operations would not force the tax payers to step in again.</t>
  </si>
  <si>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 If it comes to that, Ms. Lagarde’s objective will shift from preventing a restructuring to managing it.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</si>
  <si>
    <t>A Libyan-owned merchant cargo ship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Somali attacks accounted for more than half of all hijackings worldwide last year, the bureau said, with the numbers of attacks and hijackings both rising sharply compared to 2008.</t>
  </si>
  <si>
    <t>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 People live with conflict and poverty, but there’s so much humanity, a deep instinct to help one another.”                                                                                                                                                      The subjects of Rankin’s photos stare out of the white canvas. It is only reading the captions that you get a sense of the reality: a country wracked by violence, lives shattered by loss and upheaval. But these people are not presented as victims but ordinary folk,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 I wanted it to be like looking in the mirror.”</t>
  </si>
  <si>
    <t xml:space="preserve">President Mahmoud Ahmadinejad claimed today that Iran has produced its first batch of uranium enriched to a higher level, just two days after it said it began the process as part of its controversial nuclear program.                                                                                                                                                                                                                                                                           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 But western countries say Tehran is not capable of turning the material into the fuel rods needed by the reactor and fear that Iran wants to enrich the uranium to make nuclear weapons.                                                                                            </t>
  </si>
  <si>
    <t>The strangest of all the strange things about North Korea, is that it’s surprisingly easy to go there.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 but because, as becomes clear when we see the luggage carousel, we’re the only passengers who’ve failed to pack at least two flat-screen TVs.  And when we meet our guides by the departures board they’re smiling expansively.</t>
  </si>
  <si>
    <t>Leaving the house in your pyjamas is nothing unusual in Shanghai, where locals blame their not getting dressed on high temperatures.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 The first- the wealthy, who wore pyjamas to demonstrate that they enjoyed an easy life. The second - people who worked in the entertainment industry, such as dancers, because they thought it charming. Up to the 1970s, wearing pyjamas became increasingly more popular, and seeing them in the street became part of the urban landscape of Shanghai.</t>
  </si>
  <si>
    <t xml:space="preserve">Kathryn Bigelow has become the first woman to win the best directing Oscar, as her Iraq war drama ‘The Hurt Locker’ took six prizes, including best film.                                                                            “It’s the moment of a lifetime,” said Bigelow – only the fifth woman to be nominated in Academy Awards history.                                                                                                                                             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Bullock picked up the coveted best actress award, just a day after winning the Razzie for worst actress, for her role in ‘All About Steve.’                                                                                                                   Christoph Waltz and Mo’Nique were winners of the supporting acting awards, categories they were both widely tipped to win. Waltz won for his role as a diabolical SS officer in ‘Inglorious Bastards’, while Mo’ Nique triumphed for her role in ‘Precious.’ </t>
  </si>
  <si>
    <t xml:space="preserve">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And if they get caught, a robber can expect to be killed before the authorities arrive. The police say the presence of vigilante groups is “welcome.” “They pre-date the police, and they compliment our efforts.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t>
  </si>
  <si>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 Ken and Frankie Tilmouth, who are his ritual caretakers, related through a maternal line. He can’t tell stories in his land or make decisions about the land without their presence and approval. And he fulfills the same role for them on their land.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What amazes me about John is that he’s still open-hearted, not bitter or angry, though he’d be more than justified. He wants to share his story, wants to invite outsiders to his land, wants different peoples to understand each other.  </t>
  </si>
  <si>
    <t xml:space="preserve">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“I don’t mind them really,” says Viera. “We put up with them pretty well actually, considering they’ve built their homes on land which doesn’t belong to them. 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 But the public money is also used to help the Roma. We help some people one day, others the next.” </t>
  </si>
  <si>
    <t xml:space="preserve">The European Commission has cleared the way for a genetically modified potato to be grown in the E.U.-only the second GM product it has allowed. The starch of the Amflora potato can be utilised for industrial uses like making paper, and animal feed- but not for human consumption.                                                                                                                                                      Environmental groups have strongly opposed the introduction of GM crops. But the Commission insisted its decision was based on “a considerable volume of sound science.”                              The Amflora variety was developed by German chemical and biotechnology firm BASF, for the special qualities of its starch. But it has been a political hot potato for seven years.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and that it is very hard to stop them cross-pollinating with non-GM crops. </t>
  </si>
  <si>
    <t xml:space="preserve">1.- The Jane Austen manuscript; </t>
  </si>
  <si>
    <t xml:space="preserve">2.- According to the report; </t>
  </si>
  <si>
    <t xml:space="preserve">3.- Which of the following is true? </t>
  </si>
  <si>
    <t xml:space="preserve">4.- Which of the following is true?                                                                                                   </t>
  </si>
  <si>
    <t>5.- Which of the following is true?</t>
  </si>
  <si>
    <t>6.- The article claims that;</t>
  </si>
  <si>
    <t xml:space="preserve">7.- The report claims;  </t>
  </si>
  <si>
    <t>8.- The article appears to support the view that;</t>
  </si>
  <si>
    <t>9.- The report suggest that;</t>
  </si>
  <si>
    <t xml:space="preserve">10.- According to the report;  </t>
  </si>
  <si>
    <t xml:space="preserve">11.- The ship named the Rim is normally used; </t>
  </si>
  <si>
    <t>13.- What comment did Rankin make about the people of the Congo?</t>
  </si>
  <si>
    <t xml:space="preserve">15.- According to the article, Iran claims to be in the process of; </t>
  </si>
  <si>
    <t xml:space="preserve">17.- The writer discovered that North Korea is; </t>
  </si>
  <si>
    <t xml:space="preserve">19.- It seems that Shanghai residents claim their unusual habit is due to; </t>
  </si>
  <si>
    <t xml:space="preserve">21.- Katherine Bigelow is; </t>
  </si>
  <si>
    <t xml:space="preserve">23.- The article states that the vigilante groups in Nigeria; </t>
  </si>
  <si>
    <t xml:space="preserve">25.- According to the article traditional landowners; </t>
  </si>
  <si>
    <t xml:space="preserve">27.- Viera states that she; </t>
  </si>
  <si>
    <t>29.- According to the article, the decision to grow a genetically modified potato in Europe;</t>
  </si>
  <si>
    <t xml:space="preserve">12.- From the article, we know; </t>
  </si>
  <si>
    <t xml:space="preserve"> 14.- Rankin wanted to portray;</t>
  </si>
  <si>
    <t xml:space="preserve">16.- The western countries; </t>
  </si>
  <si>
    <t xml:space="preserve">18.- The travelers are delayed at customs because; </t>
  </si>
  <si>
    <t xml:space="preserve">20.- According to Xialdong Du, the habit was originally a symbol of; </t>
  </si>
  <si>
    <t xml:space="preserve">22.- Sandra Bullock has; </t>
  </si>
  <si>
    <t xml:space="preserve">24.- What is said about the vigilante groups? </t>
  </si>
  <si>
    <t xml:space="preserve">26.- What is said about John? </t>
  </si>
  <si>
    <t xml:space="preserve">28.- According to the Mayor of Ostrovany; </t>
  </si>
  <si>
    <t>30.-  One of the reasons given for the opposition to GM crops is;</t>
  </si>
  <si>
    <t>a) Was sold by the National Heritage Memorial Fund.</t>
  </si>
  <si>
    <t>b) Fetched 300,000 pounds.</t>
  </si>
  <si>
    <t>c) Is set in 1804.</t>
  </si>
  <si>
    <t>d) Was purchased by subsidy.</t>
  </si>
  <si>
    <t>a) Attempts to reduce the lionfish population are having an effect.</t>
  </si>
  <si>
    <t>b) The prospect of reducing the lionfish population remains in doubt.</t>
  </si>
  <si>
    <t>c) The native species populations are beginning to reduce the lionfish population.</t>
  </si>
  <si>
    <t xml:space="preserve">d) It is doubtful that the lionfish could survive in Venezuelan waters. </t>
  </si>
  <si>
    <t>a) The goods were being sold on fictitious websites</t>
  </si>
  <si>
    <t>b) Suspects have been arrested in the USA</t>
  </si>
  <si>
    <t xml:space="preserve">c) The professed merchants used counterfeit credentials </t>
  </si>
  <si>
    <t>d) The victims were over charged for their purchases</t>
  </si>
  <si>
    <t>a) The post woman has separated from her partner</t>
  </si>
  <si>
    <t>b) The post woman has an excess of mail to deliver</t>
  </si>
  <si>
    <t>c) The post woman delivers mail to private companies</t>
  </si>
  <si>
    <t>d) The post woman has to leave her flat</t>
  </si>
  <si>
    <t>a) The newspaper has been accused of listening to celebrities’ voicemails</t>
  </si>
  <si>
    <t>b) The newspaper has been charged with listening to crime victim’s voicemails</t>
  </si>
  <si>
    <t>c) The situation is being examined</t>
  </si>
  <si>
    <t>d) The parents couldn’t find their missing daughter</t>
  </si>
  <si>
    <t>a) It is not overly complicated to repair the spinal cord.</t>
  </si>
  <si>
    <t>b) Human trials on patients with damaged spinal cords have begun.</t>
  </si>
  <si>
    <t>c) Techniques to heal arms and legs have been completely unsuccessful with the spinal cord.</t>
  </si>
  <si>
    <t xml:space="preserve">d) Researchers have found a way to bypass blemished tissue.  </t>
  </si>
  <si>
    <t>a) Max Mathews was the first person to select pitch on a computer.</t>
  </si>
  <si>
    <t>b) Max Mathews was the foremost person to make sound with a computer.</t>
  </si>
  <si>
    <t>c) “The Silver Scale” is said to be the work of a genius.</t>
  </si>
  <si>
    <t xml:space="preserve">d)  “The Silver Scale” is still widely listened to today.  </t>
  </si>
  <si>
    <t>a) Traditional school sports are politically correct.</t>
  </si>
  <si>
    <t>b) Traditional school sports are now obsolete.</t>
  </si>
  <si>
    <t>c) It does no harm to expose children to failure.</t>
  </si>
  <si>
    <t xml:space="preserve">d) A child’s academic achievements should be valued above all else. </t>
  </si>
  <si>
    <t>a) Revenge is the reason that the banks are being overhauled.</t>
  </si>
  <si>
    <t>b) Politicians have tried to be lenient with the banks.</t>
  </si>
  <si>
    <t>c) Mr. Osborne supports the protection of the tax payer from the banks’ potential losses.</t>
  </si>
  <si>
    <t xml:space="preserve">d) Mr. Osborne has generated worry among bankers.  </t>
  </si>
  <si>
    <t>a) Ms. Lagarde’s focus as managing director will depend on circumstances.</t>
  </si>
  <si>
    <t>b) The selection of Ms Lagarde by the IMF has been met with unanimous approval.</t>
  </si>
  <si>
    <t>c) The developing countries have confidence in Ms. Lagarde’s objectives.</t>
  </si>
  <si>
    <t xml:space="preserve">d) Ms. Lagarde will aim to prevent a restructuring of Greece’s government debt.   </t>
  </si>
  <si>
    <t>a) To carry out anti-piracy attacks</t>
  </si>
  <si>
    <t>b) To transport goods</t>
  </si>
  <si>
    <t>c) To help provide aid to developing countries</t>
  </si>
  <si>
    <t>d) As a cruise liner</t>
  </si>
  <si>
    <t>a) They complain more than people in London</t>
  </si>
  <si>
    <t>b) They see themselves as victims</t>
  </si>
  <si>
    <t>c) They show great compassion</t>
  </si>
  <si>
    <t>d) They are very analytical</t>
  </si>
  <si>
    <t>a) Enriching its uranium supply</t>
  </si>
  <si>
    <t>b) Preparing fuel for its research reactor</t>
  </si>
  <si>
    <t>c) Producing nuclear weapons</t>
  </si>
  <si>
    <t xml:space="preserve">d) Generating electricity  </t>
  </si>
  <si>
    <t>a) Hostile to Western visitors</t>
  </si>
  <si>
    <t>b) Complicated to visit</t>
  </si>
  <si>
    <t>c) Readily accessible</t>
  </si>
  <si>
    <t>d) Overrun with tourists</t>
  </si>
  <si>
    <t>a) The approaching expo</t>
  </si>
  <si>
    <t>b) A special campaign</t>
  </si>
  <si>
    <t>c) The local authorities’ orders</t>
  </si>
  <si>
    <t xml:space="preserve">d) The heat  </t>
  </si>
  <si>
    <t>a) The first woman to be nominated for an Oscar</t>
  </si>
  <si>
    <t>b) One of five women who have won an Oscar</t>
  </si>
  <si>
    <t>c) The first woman to direct a film</t>
  </si>
  <si>
    <t xml:space="preserve">d) One of five women who have been nominated for an Oscar </t>
  </si>
  <si>
    <t>a) Are a hindrance to the police</t>
  </si>
  <si>
    <t>b) Are a form of assistance to the police</t>
  </si>
  <si>
    <t>c) Have completely replaced the police</t>
  </si>
  <si>
    <t>d) Are rapidly disappearing</t>
  </si>
  <si>
    <t>a) Make decisions independently</t>
  </si>
  <si>
    <t>b) Often exchange land</t>
  </si>
  <si>
    <t>c) Always approve of each others’ decisions</t>
  </si>
  <si>
    <t>d) Make decisions together</t>
  </si>
  <si>
    <t>a) Condones the Roma</t>
  </si>
  <si>
    <t>b) Tolerates the Roma</t>
  </si>
  <si>
    <t>c) Supports the Roma</t>
  </si>
  <si>
    <t xml:space="preserve">d) Is opposed to the Roma </t>
  </si>
  <si>
    <t>a) Has been met with conflicting viewpoints</t>
  </si>
  <si>
    <t>b) Has been met with enthusiasm all round</t>
  </si>
  <si>
    <t>c) Has already been the reason for several protests</t>
  </si>
  <si>
    <t xml:space="preserve">d) Has been rejected </t>
  </si>
  <si>
    <t>a) The confirmed nationalities on board are Romanian and Libyan</t>
  </si>
  <si>
    <t>b) The ship belongs to North Korea</t>
  </si>
  <si>
    <t>c) More than 50% of hijackings were carried out by Somali pirates in 2009</t>
  </si>
  <si>
    <t xml:space="preserve">d) The number of attacks is generally decreasing       </t>
  </si>
  <si>
    <t>a) They suffering of the Congolese</t>
  </si>
  <si>
    <t>b) The resilience of the Congolese</t>
  </si>
  <si>
    <t>c) The Congolese conflict</t>
  </si>
  <si>
    <t>d) The normality of the Congolese</t>
  </si>
  <si>
    <t>a) Don’t believe Iran is capable of enriching uranium</t>
  </si>
  <si>
    <t>b) Don’t believe Iran can prepare the reactor for its designated task</t>
  </si>
  <si>
    <t>c) Don’t want to place more sanctions on Iran</t>
  </si>
  <si>
    <t xml:space="preserve">d) Want to study Iran’s cancer treatment program </t>
  </si>
  <si>
    <t>a) They are not carrying electronic gadgets</t>
  </si>
  <si>
    <t>b) They are being interrogated by officials</t>
  </si>
  <si>
    <t>c) They are being searched by police</t>
  </si>
  <si>
    <t xml:space="preserve">d) Their plane is being inspected </t>
  </si>
  <si>
    <t>a) Poverty</t>
  </si>
  <si>
    <t>b) A comfortable life</t>
  </si>
  <si>
    <t>c) The entertainment industry</t>
  </si>
  <si>
    <t>d) Refinement</t>
  </si>
  <si>
    <t>a) Won awards for best and worst actress</t>
  </si>
  <si>
    <t>b) Won an award for best actress only</t>
  </si>
  <si>
    <t>c) Won an award for worst actress only</t>
  </si>
  <si>
    <t>d) Not won an award</t>
  </si>
  <si>
    <t>a) They always hand robbers over to the police</t>
  </si>
  <si>
    <t>b) They are above the law</t>
  </si>
  <si>
    <t>c) They sometimes consist of policemen</t>
  </si>
  <si>
    <t>d) They sometimes punish robbers themselves</t>
  </si>
  <si>
    <t>a) His story was made into a movie</t>
  </si>
  <si>
    <t>b) He is now bitter about his experience</t>
  </si>
  <si>
    <t>c) He is surprisingly warm and friendly</t>
  </si>
  <si>
    <t xml:space="preserve">d) He remains wary of outsiders </t>
  </si>
  <si>
    <t>a) The Roma are prevented from accessing public facilities</t>
  </si>
  <si>
    <t>b) The wall was built to segregate the Roma</t>
  </si>
  <si>
    <t>c) The public are angry about the building of the wall</t>
  </si>
  <si>
    <t>d) The Roma are not exempt from financial assistance</t>
  </si>
  <si>
    <t>a) They promote disease</t>
  </si>
  <si>
    <t>b) They require more care than traditional crops</t>
  </si>
  <si>
    <t>c) They may mix with traditional crops</t>
  </si>
  <si>
    <t>d) They are already found in all the EU countries</t>
  </si>
  <si>
    <t>EXAMEN 7</t>
  </si>
  <si>
    <t>EXAMEN 8/MP3/Q-01 EXAMEN 8.mp3</t>
  </si>
  <si>
    <t>a) A healthy, affectionate child</t>
  </si>
  <si>
    <t>b) A boy to play with their son</t>
  </si>
  <si>
    <t>c) A child that had been severely neglected</t>
  </si>
  <si>
    <t>d) A  child that could not see or hear</t>
  </si>
  <si>
    <t>EXAMEN DPTº 2012</t>
  </si>
  <si>
    <t>EXAMEN 8/MP3/Q-02 EXAMEN 8.mp3</t>
  </si>
  <si>
    <t>a) It is dome-shaped</t>
  </si>
  <si>
    <t>b) The windows are huge</t>
  </si>
  <si>
    <t>c) The seats are more comfortable</t>
  </si>
  <si>
    <t>d) You can find things to play with</t>
  </si>
  <si>
    <t>EXAMEN 8/MP3/Q-03 EXAMEN 8.mp3</t>
  </si>
  <si>
    <t>a) Women still do not earn the same as men</t>
  </si>
  <si>
    <t>b) Women have to support the household alone</t>
  </si>
  <si>
    <t>c) Women earn less and less each year</t>
  </si>
  <si>
    <t>d) Husbands are beginning to earn less</t>
  </si>
  <si>
    <t>EXAMEN 8/MP3/Q-04 EXAMEN 8.mp3</t>
  </si>
  <si>
    <t>a) It was previously a retirement home</t>
  </si>
  <si>
    <t>b) It has been robbed on several occasions</t>
  </si>
  <si>
    <t>c) Lots of people want to buy it</t>
  </si>
  <si>
    <t>d) The playing fields it overlooks are a nightmare</t>
  </si>
  <si>
    <t>EXAMEN 8/MP3/Q-05 EXAMEN 8.mp3</t>
  </si>
  <si>
    <t>a) There are few really successful people in society</t>
  </si>
  <si>
    <t>b) Names of influential people are at times not known</t>
  </si>
  <si>
    <t>c) All business people influence society a lot</t>
  </si>
  <si>
    <t>d) Discount products are the most influential</t>
  </si>
  <si>
    <t>EXAMEN 8/MP3/Q-06 EXAMEN 8.mp3</t>
  </si>
  <si>
    <t>a) Cone snail shells are already in use</t>
  </si>
  <si>
    <t>b) The invertebrate world is limited</t>
  </si>
  <si>
    <t>c) New species are crucial to progress in medicine</t>
  </si>
  <si>
    <t>d) There are few resources left for use in medicine</t>
  </si>
  <si>
    <t>EXAMEN 8/MP3/Q-07 EXAMEN 8.mp3</t>
  </si>
  <si>
    <t>a) He wasn’t interested in his studies</t>
  </si>
  <si>
    <t>b) He does not have a degree</t>
  </si>
  <si>
    <t>c) He concentrated on his band</t>
  </si>
  <si>
    <t>d) He failed to make the most of his studies</t>
  </si>
  <si>
    <t>EXAMEN 8/MP3/Q-08 EXAMEN 8.mp3</t>
  </si>
  <si>
    <t>a) The speakers work in the same office</t>
  </si>
  <si>
    <t>b) One of the speakers goes running after work</t>
  </si>
  <si>
    <t>c) The second speaker works in a shop</t>
  </si>
  <si>
    <t>d) Both speakers enjoy chatting with clients</t>
  </si>
  <si>
    <t>EXAMEN 8/MP3/Q-09 EXAMEN 8.mp3</t>
  </si>
  <si>
    <t>a) He was a follower of Slobodan Milosevic</t>
  </si>
  <si>
    <t>b) He believes in non-violent struggle</t>
  </si>
  <si>
    <t>c) He learned his strategies from Arab revolutionaries</t>
  </si>
  <si>
    <t>d) He is a preacher from Belgrade</t>
  </si>
  <si>
    <t>EXAMEN 8/MP3/Q-10 EXAMEN 8.mp3</t>
  </si>
  <si>
    <t>a) Abdul Nasser Garem  is schizophrenic</t>
  </si>
  <si>
    <t>b) He attended art school in Saudi Arabia</t>
  </si>
  <si>
    <t>c) He taught art in the Saudi Arabian Army</t>
  </si>
  <si>
    <t>d) He  taught himself about art</t>
  </si>
  <si>
    <t>EXAMEN 8/MP3/Q-11 EXAMEN 8.mp3</t>
  </si>
  <si>
    <t>a) The role of NGOs is being questioned</t>
  </si>
  <si>
    <t>b) Haiti needs more NGOs</t>
  </si>
  <si>
    <t>c) There was an earthquake in Haiti 5 years ago</t>
  </si>
  <si>
    <t>d) The NGOs have set up a republic in Haiti</t>
  </si>
  <si>
    <t>EXAMEN 8/MP3/Q-12 EXAMEN 8.mp3</t>
  </si>
  <si>
    <t>a) Little girls in Iran love Barbie dolls</t>
  </si>
  <si>
    <t>b) Some shops in  Iran were closed for selling Barbie dolls</t>
  </si>
  <si>
    <t>c) The authorities wanted an Iranian Barbie doll</t>
  </si>
  <si>
    <t>d) The Iranian Barbie doll has a horse and soldiers</t>
  </si>
  <si>
    <t>EXAMEN 8/MP3/Q-13 EXAMEN 8.mp3</t>
  </si>
  <si>
    <t>a) A virus is similar to a bacteria</t>
  </si>
  <si>
    <t>b) Bacteria  cause only minor illnesses</t>
  </si>
  <si>
    <t>c) In five hours a virus can destroy its surroundings</t>
  </si>
  <si>
    <t>d) A virus cannot make copies of itself</t>
  </si>
  <si>
    <t>EXAMEN 8/MP3/Q-14 EXAMEN 8.mp3</t>
  </si>
  <si>
    <t>a) Carter’s decree allowed them to return home</t>
  </si>
  <si>
    <t>b) Those in prison  would be released</t>
  </si>
  <si>
    <t>c) Deserters would be pardoned</t>
  </si>
  <si>
    <t>d) All of those who resisted the draft lived in Canada</t>
  </si>
  <si>
    <t>EXAMEN 8/MP3/Q-15 EXAMEN 8.mp3</t>
  </si>
  <si>
    <t>a) Visiting all the principal museums free of charge</t>
  </si>
  <si>
    <t>b) People are too lazy to travel</t>
  </si>
  <si>
    <t>c) Virtual tourism would improve the world</t>
  </si>
  <si>
    <t>d) Almost everyone has travelled the world</t>
  </si>
  <si>
    <t>EXAMEN 8/MP3/Q-16 EXAMEN 8.mp3</t>
  </si>
  <si>
    <t>a) Reading is not important anymore</t>
  </si>
  <si>
    <t>b) Reading is a boring activity</t>
  </si>
  <si>
    <t>c) The best novel worldwide wins the Booker prize</t>
  </si>
  <si>
    <t xml:space="preserve">d) A large number of British adults struggle to read </t>
  </si>
  <si>
    <t>EXAMEN 8/MP3/Q-17 EXAMEN 8.mp3</t>
  </si>
  <si>
    <t>a) Other countries are growing</t>
  </si>
  <si>
    <t>b) Small farmers in Africa are not protected</t>
  </si>
  <si>
    <t>c) Local people receive more land</t>
  </si>
  <si>
    <t>d) Ninety-nine deals have been made</t>
  </si>
  <si>
    <t>EXAMEN 8/MP3/Q-18 EXAMEN 8.mp3</t>
  </si>
  <si>
    <t>a) Anthrax infection could cause loss of life</t>
  </si>
  <si>
    <t>b) The military have yet to be tested</t>
  </si>
  <si>
    <t>c) An anthrax infection is spread in one way only</t>
  </si>
  <si>
    <t>d) Adults have been tested several times</t>
  </si>
  <si>
    <t>EXAMEN 8/MP3/Q-19 EXAMEN 8.mp3</t>
  </si>
  <si>
    <t>a) One per cent of the population receives half of it</t>
  </si>
  <si>
    <t>b) It has gone down for the majority of people</t>
  </si>
  <si>
    <t>c) In the 1970s there was income equality</t>
  </si>
  <si>
    <t>d) Americans got incredibly rich over the last 30 years</t>
  </si>
  <si>
    <t>EXAMEN 8/MP3/Q-20 EXAMEN 8.mp3</t>
  </si>
  <si>
    <t>a) He likes wearing suits</t>
  </si>
  <si>
    <t>b) The clubs he goes to are formal</t>
  </si>
  <si>
    <t>c) He is twenty-five years old</t>
  </si>
  <si>
    <t>d) He couldn’t live without sports shoes</t>
  </si>
  <si>
    <t>EXAMEN 8/MP3/Q-21 EXAMEN 8.mp3</t>
  </si>
  <si>
    <t>a) To make their parents angry</t>
  </si>
  <si>
    <t>b) To convince parents to buy</t>
  </si>
  <si>
    <t>c) To advertise new toys</t>
  </si>
  <si>
    <t>d) To make trick adverts</t>
  </si>
  <si>
    <t>EXAMEN 8/MP3/Q-22 EXAMEN 8.mp3</t>
  </si>
  <si>
    <t>a) Wearing uniforms stops brainwashing</t>
  </si>
  <si>
    <t>b) Advertisers come to the school on Fridays</t>
  </si>
  <si>
    <t>c) Advertising compels parents to spend money</t>
  </si>
  <si>
    <t xml:space="preserve">d) Adidas and Nike give out free stuff on Fridays </t>
  </si>
  <si>
    <t>EXAMEN 8/MP3/Q-23 EXAMEN 8.mp3</t>
  </si>
  <si>
    <t>a) She is very motivated</t>
  </si>
  <si>
    <t>b) She and her sister will buy a flat in Tuscany</t>
  </si>
  <si>
    <t>c) She has bought a flat with her sister</t>
  </si>
  <si>
    <t>d) She’s going to work in the BBC</t>
  </si>
  <si>
    <t>EXAMEN 8/MP3/Q-24 EXAMEN 8.mp3</t>
  </si>
  <si>
    <t>a) He was a Dell employee</t>
  </si>
  <si>
    <t>b) He complained every day about Dell</t>
  </si>
  <si>
    <t>c) In the end he got his money back</t>
  </si>
  <si>
    <t xml:space="preserve">d) Other people objected to his criticisms </t>
  </si>
  <si>
    <t>EXAMEN 8/MP3/Q-25 EXAMEN 8.mp3</t>
  </si>
  <si>
    <t>a) He left his previous job</t>
  </si>
  <si>
    <t>b) He likes his new job</t>
  </si>
  <si>
    <t>c) He has a yearly contract now</t>
  </si>
  <si>
    <t>d) He will retire in four years</t>
  </si>
  <si>
    <t>EXAMEN 8/MP3/Q-26 EXAMEN 8.mp3</t>
  </si>
  <si>
    <t>a) He was born and brought up in the USA</t>
  </si>
  <si>
    <t>b) He has admitted his guilt</t>
  </si>
  <si>
    <t>c) He has worked for prominent firms in the USA</t>
  </si>
  <si>
    <t>d) He was a captain in the Indian Army</t>
  </si>
  <si>
    <t>EXAMEN 8/MP3/Q-27 EXAMEN 8.mp3</t>
  </si>
  <si>
    <t>a) They are paid by the government</t>
  </si>
  <si>
    <t>b) Few people work at the fire stations</t>
  </si>
  <si>
    <t>c) Volunteers make up the majority</t>
  </si>
  <si>
    <t>d) They all work in hospitals during the day</t>
  </si>
  <si>
    <t>EXAMEN 8/MP3/Q-28 EXAMEN 8.mp3</t>
  </si>
  <si>
    <t>a) Swimming is something very new for her</t>
  </si>
  <si>
    <t>b) She takes children to a swimming pool once a week</t>
  </si>
  <si>
    <t>c) All the children have intensive swimming lessons</t>
  </si>
  <si>
    <t xml:space="preserve">d) She takes the children to the beach </t>
  </si>
  <si>
    <t>EXAMEN 8/MP3/Q-29 EXAMEN 8.mp3</t>
  </si>
  <si>
    <t>a) We are exposed to flavours and odours before we are born</t>
  </si>
  <si>
    <t>b) After we are born we begin to distinguish flavours</t>
  </si>
  <si>
    <t>c) The maternal diet has little influence on our reaction to foods</t>
  </si>
  <si>
    <t>d) Chemicals affect what food we like later in life</t>
  </si>
  <si>
    <t>EXAMEN 8/MP3/Q-30 EXAMEN 8.mp3</t>
  </si>
  <si>
    <t>a) It is dealing with the principal issues</t>
  </si>
  <si>
    <t>b) It does not want to interfere in so many areas</t>
  </si>
  <si>
    <t>c) It even deals with minor issues in Pakistani society</t>
  </si>
  <si>
    <t>d) Pakistani people are tired of its interference</t>
  </si>
  <si>
    <t>EXAMEN 8/MP3/Q-31 EXAMEN 8.mp3</t>
  </si>
  <si>
    <t>a) Pupils organize question and answer sessions</t>
  </si>
  <si>
    <t>b) Teenage  pupils are extremely curious about science</t>
  </si>
  <si>
    <t>c) The speaker does not like  pupils to question him</t>
  </si>
  <si>
    <t>d) In science class the teacher has no weak point</t>
  </si>
  <si>
    <t>EXAMEN 8/MP3/Q-32 EXAMEN 8.mp3</t>
  </si>
  <si>
    <t>a) He picked up an intestinal infection</t>
  </si>
  <si>
    <t>b) He was left alone with a high temperature</t>
  </si>
  <si>
    <t>c) It took some time for him to get medication</t>
  </si>
  <si>
    <t>d) He could only eat a little</t>
  </si>
  <si>
    <t>EXAMEN 8/MP3/Q-33 EXAMEN 8.mp3</t>
  </si>
  <si>
    <t>a) She hopes to do very well in her A-levels</t>
  </si>
  <si>
    <t>b) She is very optimistic about her future career</t>
  </si>
  <si>
    <t>c) She has already got a manager in London</t>
  </si>
  <si>
    <t>d) Her parents live in London</t>
  </si>
  <si>
    <t>EXAMEN 8/MP3/Q-34 EXAMEN 8.mp3</t>
  </si>
  <si>
    <t>a) The world no longer depends on coal</t>
  </si>
  <si>
    <t>b) Using natural gas is controversial</t>
  </si>
  <si>
    <t>c) Alternative energy sources have ousted coal</t>
  </si>
  <si>
    <t>d) The world is still greatly reliant on coal</t>
  </si>
  <si>
    <t>EXAMEN 8/MP3/Q-35 EXAMEN 8.mp3</t>
  </si>
  <si>
    <t>a) They appeared in very populated urban areas</t>
  </si>
  <si>
    <t>b) They were similar to a comfortable room</t>
  </si>
  <si>
    <t>c) They worked like a railway</t>
  </si>
  <si>
    <t>d) Posh hotels were against machines</t>
  </si>
  <si>
    <t>EXAMEN 8/MP3/Q-36 EXAMEN 8.mp3</t>
  </si>
  <si>
    <t>a) People are speaking  openly about it</t>
  </si>
  <si>
    <t>b) People have protested in the streets about it</t>
  </si>
  <si>
    <t>c) It has  made little difference to population size</t>
  </si>
  <si>
    <t xml:space="preserve">d) The rules are going to be relaxed now </t>
  </si>
  <si>
    <t>EXAMEN 8/MP3/Q-37 EXAMEN 8.mp3</t>
  </si>
  <si>
    <t>a) Premiums for bad drivers</t>
  </si>
  <si>
    <t>b) How people drive in general</t>
  </si>
  <si>
    <t>c) A mobile phone application</t>
  </si>
  <si>
    <t>d) Insurance companies</t>
  </si>
  <si>
    <t>EXAMEN 8/MP3/Q-38 EXAMEN 8.mp3</t>
  </si>
  <si>
    <t>a) It visits the sites of events in World War II</t>
  </si>
  <si>
    <t>b) Its vessels are normal but computerized</t>
  </si>
  <si>
    <t>c) It offers customers a tour on land and water</t>
  </si>
  <si>
    <t>d) It limits the sightseeing experience</t>
  </si>
  <si>
    <t>EXAMEN 8/MP3/Q-39 EXAMEN 8.mp3</t>
  </si>
  <si>
    <t>a) Her grandmother was Russian</t>
  </si>
  <si>
    <t>b) She was very close to her grandmother</t>
  </si>
  <si>
    <t>c) Her grandmother witnessed historical events</t>
  </si>
  <si>
    <t>d) She regrets having thrown personal letters away</t>
  </si>
  <si>
    <t>EXAMEN 8/MP3/Q-40 EXAMEN 8.mp3</t>
  </si>
  <si>
    <t>a) The speaker worked as an engineer for Bosch</t>
  </si>
  <si>
    <t>b) The job in Germany was interesting for him</t>
  </si>
  <si>
    <t>c) His parents encouraged him to leave home</t>
  </si>
  <si>
    <t>d) He was fed up with his current job</t>
  </si>
  <si>
    <t>EXAMEN 8 SCRIPT</t>
  </si>
  <si>
    <t xml:space="preserve">5. Influential business people  
 Interviewer: So what is it that makes a businessman or business woman influential? 
DS: Well, first we ought to think about what we mean by influential. Lots of business people enjoy success but relatively few become influential, really have an influence, on the people around them, on society, on the world - 
Interviewer. Ok, so who would you say were influential? What names come to mind? 
DS. Well, sometimes it isn’t the names that come to mind, sometimes it’s the product. Obviously we’ve got the big names - Bill Gates, Henry Ford, people like that. Sometimes the names are not familiar at all - like Sam Walton. 
Interviewer: Sam who? 
DS: Exactly! (both laugh) Sam Walton was the man who perfected the idea of the discount store. The Wal-Mart stores are his.
Which statement is correct?
</t>
  </si>
  <si>
    <t xml:space="preserve">6. Nature’s Medicine Cabinet                                                                
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…..There’s an immense array of things that people are now discovering in the invertebrate world that are of use to us in medicine.                                                                                                                                       
Which of the following is of new species discovered?                                                                                                        
</t>
  </si>
  <si>
    <t xml:space="preserve">8. What does work demand?   
Stacey Monroe, who's an executive assistant, does what I do most of the day: She sits at a computer keyboard. 
Stacey Monroe: I am definitely sitting in front of the computer 90 percent of the time. But that other 10 percent is a lot of physical running...  ...through my office to track down my boss, to tell him he's late for a meeting...  ...or that he has a phone call. 
Christine Hart: My name is Christine Hart, and I am a cashier. In my position, I would say I interact with people a lot, especially because I work at a higher-end, sort of typical retail store. You ask people, you know, where they're from, what convention they're in town for, you know, how their day is going so far. So that's probably the most enjoyable part of the job, the small talk. 
Which sentence is correct according to what you have heard?
</t>
  </si>
  <si>
    <t xml:space="preserve">9. A Serb teaches Arab revolutionaries      
The Arab world delivered a surprising message this year. Revolts across the region revealed a generation willing to use non-violent protests to oust unpopular leaders. But that did not surprise Srdja Popovic, a campaigner for non-violent strategies. He was the student leader of a movement that toppled Serbian dictator Slobodan Milosevic in 2000. He also helped train Arab revolutionaries
He seems an unlikely international trouble maker, a lanky biologist from Belgrade, Srdja Popovic preaches the gospel of non-violent struggle to a class at Columbia University in New York. He is passionate about the success of young Arab revolutionaries who came to learn from him in Belgrade
The history really proves that there are fair chances that most of the Arab world will end up in some kind of democracy.
What can we say about Srdja Popovic?
</t>
  </si>
  <si>
    <t xml:space="preserve">10. Saudi army officer            
First, Abdul Nassar Garem . has two personalities. By day he’s a Lieutenant Colonel in the Saudi Arabian Army and by night he’s a conceptual artist. His installation Message/messenger  recently sold for a record price of almost eight hundred and fifty thousand dollars at  auction in Dubai. He donated the proceeds to a charity called Edge of Arabia which he co-founded to encourage art education. Abdul Nasser has become one of the Gulf’s most talked about he artists. He was rejected by art school in Saudi Arabia. He learned about art through books and the internet but saw no career path, so he joined the Army, where he had to hide his other life.
Which of the following statements is correct according to what you have heard?
</t>
  </si>
  <si>
    <t xml:space="preserve">11. NGOs in Haiti      
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
Which statement is correct according to the extract?
</t>
  </si>
  <si>
    <t xml:space="preserve">14. Vietnam draft dodgers       
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
What can be said about the draft dodgers of the Vietnam War?
</t>
  </si>
  <si>
    <t xml:space="preserve">15. Virtual world wonders    
Something that would make the world a better place is a website financed by philanthropists to make available to anyone with access to the internet high quality videos containing guided tours of the world’s most spectacular natural sites, museums, monuments and art and artefact collections. The videos would be narrated by leading experts and translated into as many languages as possible. Through this website seeing the world would cease being the preserve of the rich. At the click of a mouse anyone could go on a virtual helicopter tour of the Grand Canyon, walk virtually through the Louvre or virtually attend a ritual ceremony of the whirling dervishes. With such a website no one would be denied an opportunity to see Vienna’s art treasures merely for lack of money.
What is the speaker suggesting?
</t>
  </si>
  <si>
    <t xml:space="preserve">16. Reading       
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
What does the speaker say?
</t>
  </si>
  <si>
    <t xml:space="preserve">18. Anthrax vaccination   
Melissa Block, host: Vaccinations for children are controversial to begin with, so imagine the concerns surrounding a vaccine for anthrax. The Obama administration is in the midst of a debate over whether to test the existing anthrax vaccine on kids. It's already been tested on adults and administered to millions of members of the military, especially those involved in bioterrorism defense. 
Well, tomorrow, a government advisory group is scheduled to vote on a recommendation that the vaccine be tested on kids. Washington Post science reporter Rob Stein is following the story. And Rob, first of all, remind us just what anthrax is, what it can do. 
Rob Stein: Yeah. Anthrax can be a life threatening infection that's caused by a bacterium that produces a toxin and it can be very, very dangerous and very serious. There are several ways to get exposed to it. You can get exposed to it through your skin, by ingesting it or by inhaling it, which can be the most serious way of getting infected
Which statement is true according to the extract?
</t>
  </si>
  <si>
    <t xml:space="preserve">20. The way men dress  
A journalist is asking questions about the way men dress
J: Hello. I’m doing some research for an article about the way men dress. Can I ask you some questions?
M: Yeah, no problem
J: Do you mind telling me what you wear to go out in the evening?
M: In the evening? What? You mean clubs and that sort of thing?
J: Yes, when you go clubbing.
M: Well, I dress exactly like this.
J: You don’t dress up then?
M: Well, put it this way – I don’t put a suit on. The clubs I go to don’t let men in if they’re wearing suits.
J: Really? Well, how strange. One more question. I’d just like to know if there’s an item of clothing you couldn’t live without.
M: Trainers. Definitely couldn’t live without them. I’ve got about twenty-five pairs.
What can be said about the man?
</t>
  </si>
  <si>
    <t xml:space="preserve">22. The effects of advertising on children    
A teacher talks about the effects of advertising on children in her school
Basically children nowadays are being constantly brainwashed by all the advertising that goes on around them. Usually, the pupils at our school wear uniforms, but Friday is a non-uniform day, and that’s when you really see the power of advertising. The kids are dressed from head to toe in labels, mainly sports stuff like Adidas, Nike, that sort of thing. And they all look the same. There’s a great deal of pressure on parents to buy children all these labels and gadgets. I feel sorry for the families who don’t have much money, because the pressure is just the same.
Which statement is correct according to the extract?
</t>
  </si>
  <si>
    <t xml:space="preserve">23. Making plans          
Listen to a woman talk about things she hopes to do 
I’m having a holiday in Italy for a couple of weeks, staying in a villa in Tuscany. Then I’m going to look for a job. I want to work in the media – advertising or the BBC would be perfect. My sister and I are going to buy a flat together, somewhere central, so we’ll have to start looking soon. I’m very excited about the future and I’m also highly ambitious.
What can be said about the woman?
</t>
  </si>
  <si>
    <t xml:space="preserve">24. Blogging  
Listen to this extract about a persistent blogger
Jeff Jarvis started his blog in nineteen ninety-five complaining about a Dell computer that he’d just bought. He wrote blogs every week describing the service that he received from Dell.  He was very direct in his criticism and described all the conversations he had, the e-mails he sent and the reactions he received. His blog started to become famous and more and more people started their own blogs complaining about Dell. Finally, Jarvis wrote to the chief marketing officer of Dell. It was only then that he received an apology and was offered a refund.
What can we say about Jeff Jarvis?
</t>
  </si>
  <si>
    <t xml:space="preserve">25. Work situation   
Listen to a man speak about his present work situation
Things haven’t been very easy since I was made redundant. I found a job with another company in the end, but I’m not very keen on it. The new company will only give me a monthly contract. I won’t reach retirement age for another four years so I really need a more reliable source of income, something with more of a guarantee.  
What can be said about the speaker?
</t>
  </si>
  <si>
    <t xml:space="preserve">26. Insider trading   
MELISSA BLOCK, host: And to New York now, where a prominent businessman surrendered to authorities today to face charges of insider trading. Federal prosecutors say Rajat Gupta passed important company secrets about Goldman Sachs and Procter and Gamble to a friend and business partner who ran a hedge fund. Gupta served on the boards of both companies and pleaded not guilty earlier today. 
ILYA MARRITZ: Well, Rajat Gupta is one of the best connected businessmen in the country. He was born in India, but he made his career here in the United States. He was managing director of McKinsey and Company from 1994 to 2007. And in that role, he gave advice to captains of industry, people like Jeffrey Immelt at General Electric. 
Later on, he served on the boards of Procter and Gamble, who make household products; and Goldman Sachs, who make financial products. And it was in that role as director of two major publically traded companies that Gupta allegedly passed these secrets to his friend, Raj Rajaratnam, who ran the New York hedge fund. And then, Rajaratnam traded on that information, prosecutors say ..
Which statement is correct about Rajat Gupta according to what you have heard?
</t>
  </si>
  <si>
    <t xml:space="preserve">27. Guatemala fire fighters   
Now, Guatemala has one of the highest murder rates in the world and drug trafficking and gang violence often lead to shoot-outs on the streets of the capital. The people responsible for picking up the pieces after these incidents are the bomberos at Guatemala City. These fire fighters and paramedics are the first to respond in an emergency but many of them are volunteers who work in offices, clinics and schools during the day and take on emergency work at night. Luis does volunteer shifts at a fire station close to the centre of the capital Guatemala City and next door to one of the country’s biggest public hospitals. Although a handful of paid staff work at the station, the vast majority of the firemen here are volunteers, who give up their time freely to be both paramedics and fire fighters. It’s the same situation at fire stations across the country.
Which sentence is correct about the emergency services staff?
</t>
  </si>
  <si>
    <t xml:space="preserve">28. Swimming lessons      
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
Which sentence is correct according to the speaker?
</t>
  </si>
  <si>
    <t xml:space="preserve">29. What influences food intake ?       
Now the eating habits  we develop early in life can be very hard to change so it’s no wonder that people can struggle to maintain a diet and find it very hard to shift weight that they’ve already gained. Marian Hetherington is Professor of Biopsychology at the University of Leeds where she works on understanding appetite and eating behaviour.  So, Marian, what are the factors that we think influence how we behave towards food?
Well, there’s some evidence to suggest that influences on food intake actually occur very early on in life. In fact inuteral experiences seem to be really interesting and really important. There’s some very elegant data from Joy Monella who’s at the Monel Chemical Census Centre in Philadelphia and she has shown that the foetus is exposed to flavours from the maternal diet. So right from the very beginning of life there’s an experience of flavour, an experience of odours and that these can have an important effect on later food intake.
What does the extract say about how food affects our eating habits?
</t>
  </si>
  <si>
    <t xml:space="preserve">30. Pakistan’s Supreme Court   
In Pakistan, there are longstanding tensions between the elected government and the military intelligence establishment. And now, a third player has entered the fray, Pakistan's Supreme Court. It is led by a firebrand chief justice and it is aggressively taking on social and political topics, as well as sensitive national security issues. As NPR's Jackie Northam reports from Islamabad, some are applauding the court's decisions, while others fear it is overstepping its bounds
Jackie Northam: The high court building, with its modern geometric design, is impressive. Some lawyers say it is also fast becoming a bastion of judicial activism, taking on cases that touch every part of Pakistani society. .. The Supreme Court has even extended its reach into local issues such as traffic control. … Tariq Mehmood, a retired judge, says the high court is filling a gap.
What is said about the Supreme Court in Pakistan?
</t>
  </si>
  <si>
    <t xml:space="preserve">31. Teaching science to teenagers             
The may not all be Einstein but I do think that all children are fascinated by science. When I started teaching as you said in Newcastle I quickly learnt that science lessons were a chance for teenagers to delve into the big philosophical questions about existence and our part and our place in the universe. The chance to engage with the natural curiosity of teenagers has always given me a real buzz. There’s one thing you can guarantee is the last few questions you can’t answer.  And that’s part of being a teacher,  it’s actually being   challenged to re-explain the knowledge you thought you had and to learn it again in such a way that you can actually explain it to somebody else, somebody with a mind very sharply looking for your faults. 
What impression do we get from the extract?
</t>
  </si>
  <si>
    <t xml:space="preserve">32. Travel diary   
While I was travelling I got an incredibly painful tropical ear infection after I fell into a stinking latrine. Feeling like death I lay in bed with a raging fever for what felt like a lifetime. Racked with pain I couldn’t face eating anything and I lost so much weight that I looked like a skeleton. Eventually, I managed to get hold of some antibiotics which brought me back from death’s door.
What can we say about the speaker?
</t>
  </si>
  <si>
    <t xml:space="preserve">33. A girl’s plans for her future     
You’re leaving school now, aren’t you?
Yes, my A-levels start next week but I’m not too bothered about the results because when I Ieave school I’m gonna concentrate on my music career. I’m lead singer in a band and I don’t need any qualifications to be a pop star. I see my future very clearly – I’m going to be incredibly famous and fabulously rich.
So you’ve already got a contract then…
Ah, no, not as such … actually we haven’t got a manager yet …but the minute I’ve taken my last exam I’m gonna find a really good one.
So, do you intend to continue living at home?
No way! I’m moving to London just as soon as I’ve left school. London’s where it all happens in the music industry.
What can we say about the girl?
</t>
  </si>
  <si>
    <t xml:space="preserve">34. The future of coal   
Most of the world is still enthralled to King Coal. It remains the most abundant fossil fuel, but how long can that continue? Coal is also the dirtiest fuel – dirty to dig up, dirty to burn. Despite its huge impact on the environment and on global warming, the world still relies on coal for much of its electricity and will probably go on doing so. But the balance of energy power is changing and coal in many places is on the defensive. Coal is on the defensive because of its environmental impact, because of the impact of carbon dioxide, CO2 on global warming. And coal is also on the defensive because of the rise of alternative forms of energy. There’s wind power, and solar and now the energy balance of power is being transformed in America now, and in many other places soon perhaps, by huge new natural gas reserves uncovered buy the controversial process of fracking – bringing up natural gas trapped thousands of feet below the ground in shale rock.
Which statement is correct?
</t>
  </si>
  <si>
    <t xml:space="preserve">35. Elevators  
The first elevators, where did they come from?
The first passenger elevators were placed in large urban hotels. The ..sort of .. posh urban hotel experience in the nineteenth century was very similar to today. You expected to be treated very well in a very luxurious environment and the idea of a machine that would carry you upstairs was a logical amenity to apply to those hotels .. and you find the first ones in the United States and in Great Britain …and the experience was very, very different to today in that the doors would open with an operator. You would enter, take a seat .. on a very nice cushioned bench. There would be mirrors on the walls , a gas chandelier hanging down from the centre of the car. The doors would close, and everyone would ride up ..slowly …very slowly …gracefully ..and when you reached your floor the process would reverse itself .. which is one reason they were known as movable rooms, in the United States they were called vertical railways and in Great Britain the upstairs omnibus…
Which statement is correct about the first elevators?
</t>
  </si>
  <si>
    <t xml:space="preserve">36. China  
A subject which few Chinese dare to question is now being discussed quite openly all around the country. It’s the notorious one-child policy under which most families are restricted in the number of children they can have. Many are now saying it’s out of date and should be scrapped. The Chinese birth rate has been falling steadily in recent years. In the nineteen eighties there were twenty-five million births a year. Today, that figure, driven down by the policy stands at just fifteen million. Unless the rules are relaxed, some experts believe the population will fall into an irreversible decline.
Which can be said about the one-child policy?
</t>
  </si>
  <si>
    <t xml:space="preserve">37. Monitoring how you drive   
Now it’s bad enough having your partner or your kids monitoring how you drive and offering helpful suggestions but how about your insurance company watching over your shoulder? Aviva is looking for volunteers to install a phone app that records driving habits and creates a profile of your performance behind the wheel. They say it can save up to a fifth of the annual cost of your insurance. In a moment we’ll be looking at other things you could to save  money on your policy but first Steve .. he’s from Aviva. This is a mobile phone app Steve .. what kind of things does it monitor?
Yeah .. hi Peter. It monitors basically your acceleration, braking and cornering so that it basically provides us with an understanding of how people drive..
Couldn’t that end up putting your insurance payments up as well as down..?
Well, the way we’re looking at it is it’ll only drive premiums down .. it gives customers the opportunity to show us what good drivers they are ..
What is being discussed in the extract?
</t>
  </si>
  <si>
    <t xml:space="preserve">38. Tour company  
Interviewer: John Bigos is the managing director of London Duck Tours Limited. This company use Ducks, renovated World War II amphibious vehicles, which can travel on land and water. What makes a Duck Tour better than a normal sightseeing tour?
John: What makes Duck Tours more interesting in terms of the tour as opposed to other tours is the ability to be able to go on the land and the river in one tour at the same time. That has a great benefit for all our clients. We also have a very small vessel which only takes thirty people and that allows you to have a much more intimate relationship with your clients, which makes it a wonderful experience, which you don’t get when you go on ordinary, pre-determined computerized tours.
Which sentence is correct about the man’s company?
</t>
  </si>
  <si>
    <t xml:space="preserve">39. My grandmother   
I really wish I’d been able to know my grandmother better. She died when I was twelve and since then I’ve discovered that she must have been a fascinating person, and there are so many things I would love to have been able to talk to her about. She was Polish but she was in Russia, in St. Petersburg, during the Russian Revolution and she knew all sorts of interesting people at the time - painters, writers, people like that. I was only a child so I never asked her much about her own life. Now I’m discovering all about her through reading her old letters and papers, but I wish she had lived longer so I could have talked to her about those things face-to-face.
Which sentence is correct about the speaker?
</t>
  </si>
  <si>
    <t xml:space="preserve">40. A lost opportunity  
When I was a young man, about seventeen, I was working in Spain as an electrician for the German car company, Mercedes. A man from the engineering company, Bosch, visited Mercedes and he liked the way that I worked and he offered me a job in Germany. I suppose it is what you would call an ‘apprenticeship’. I would have learnt to become an engineer. I really wanted to do it, but my parents didn’t want me to leave home and go and work in a foreign country. In those days, not many people did that. So in the end, I didn’t go. But I really wish that I’d taken that job because I think it would have opened doors for me and my professional life would have been more fulfilling.
Which statement is correct?
</t>
  </si>
  <si>
    <t>2. BOEING’S 787  .-
Which sentence is correct about the Boeing 787?</t>
  </si>
  <si>
    <t>3. Women breadwinners  .-
Which statement is correct according to what you have heard?</t>
  </si>
  <si>
    <t>4. Ruth’s House .-              
What is the problem with Ruth’s house?</t>
  </si>
  <si>
    <t>1. The feral child .-                                                                                                                                                                                                                                                                                                                        
According to the extract, what child did Diane and Bernie adopt?</t>
  </si>
  <si>
    <t>5. Influential business people .- 
Which statement is correct?</t>
  </si>
  <si>
    <t xml:space="preserve">6. Nature’s Medicine Cabinet.-                                                                                                                                                                                                   
Which of the following is of new species discovered?   </t>
  </si>
  <si>
    <t>7. Regrets .-     
What can be said about the speaker?</t>
  </si>
  <si>
    <t>8. What does work demand?   .-   
Which sentence is correct according to what you have heard?</t>
  </si>
  <si>
    <t>9. A Serb teaches Arab revolutionaries    .-     
What can we say about Srdja Popovic?</t>
  </si>
  <si>
    <t>10. Saudi army officer .-              
Which of the following statements is correct according to what you have heard?</t>
  </si>
  <si>
    <t>11. NGOs in Haiti .-       
Which statement is correct according to the extract?</t>
  </si>
  <si>
    <t>12. Barbie in Iran .-       
Which statement is correct according to the extract?</t>
  </si>
  <si>
    <t>13. Viruses and bacteria  .-        
Which statement is true according to the extract?</t>
  </si>
  <si>
    <t>14. Vietnam draft dodgers  .-        
What can be said about the draft dodgers of the Vietnam War?</t>
  </si>
  <si>
    <t>15. Virtual world wonders .-       
What is the speaker suggesting?</t>
  </si>
  <si>
    <t>16. Reading   .-       
What does the speaker say?</t>
  </si>
  <si>
    <t>17. Foreign investment in Africa  .-        
What is a consequence of foreign investment in African land?</t>
  </si>
  <si>
    <t>18. Anthrax vaccination  .-    
Which statement is true according to the extract?</t>
  </si>
  <si>
    <t>19. CBO Report – top earners  .-    
What can be said about the share of the national income?</t>
  </si>
  <si>
    <t>20. The way men dress .-    
What can be said about the man?</t>
  </si>
  <si>
    <t>21. Advertising through children   .-   
According to the speaker, in what way can children be used in advertising?</t>
  </si>
  <si>
    <t>22. The effects of advertising on children  .-     
Which statement is correct according to the extract?</t>
  </si>
  <si>
    <t>23. Making plans   .-          
What can be said about the woman?</t>
  </si>
  <si>
    <t>24. Blogging .-    
What can we say about Jeff Jarvis?</t>
  </si>
  <si>
    <t>25. Work situation   .-   
What can be said about the speaker?</t>
  </si>
  <si>
    <t>26. Insider trading .-     
Which statement is correct about Rajat Gupta according to what you have heard?</t>
  </si>
  <si>
    <t>27. Guatemala fire fighters   .-   
Which sentence is correct about the emergency services staff?</t>
  </si>
  <si>
    <t>28. Swimming lessons   .-      
Which sentence is correct according to the speaker?</t>
  </si>
  <si>
    <t>29. What influences food intake ?  .-        
What does the extract say about how food affects our eating habits?</t>
  </si>
  <si>
    <t>30. Pakistan’s Supreme Court  .-    
What is said about the Supreme Court in Pakistan?</t>
  </si>
  <si>
    <t>31. Teaching science to teenagers .-         
What impression do we get from the extract?</t>
  </si>
  <si>
    <t>32. Travel diary  .-    
What can we say about the speaker?</t>
  </si>
  <si>
    <t>33. A girl’s plans for her future   .-   
What can we say about the girl?</t>
  </si>
  <si>
    <t>34. The future of coal   .-   
Which statement is correct?</t>
  </si>
  <si>
    <t>35. Elevators  .-   
Which statement is correct about the first elevators?</t>
  </si>
  <si>
    <t>36. China  .-   
Which can be said about the one-child policy?</t>
  </si>
  <si>
    <t>37. Monitoring how you drive   .-   
What is being discussed in the extract?</t>
  </si>
  <si>
    <t>38. Tour company  .-   
Which sentence is correct about the man’s company?</t>
  </si>
  <si>
    <t>39. My grandmother   .-   
Which sentence is correct about the speaker?</t>
  </si>
  <si>
    <t>40. A lost opportunity .-    
Which statement is correct?</t>
  </si>
  <si>
    <t>d) Companies favor the Philippines over India regarding language aptitude</t>
  </si>
  <si>
    <t>b) The method of hedgerows cultivation</t>
  </si>
  <si>
    <t xml:space="preserve">22.- The article implies that to improve their situation, African countries need to; </t>
  </si>
  <si>
    <t>EXAMEN 8 SELFCORRECTION</t>
  </si>
  <si>
    <t>EXAMEN 9 SELFCORRECTION</t>
  </si>
  <si>
    <r>
      <t xml:space="preserve">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t>
    </r>
    <r>
      <rPr>
        <u/>
        <sz val="11"/>
        <color theme="1"/>
        <rFont val="Calibri"/>
        <family val="2"/>
        <scheme val="minor"/>
      </rPr>
      <t>But key player Pakistan is boycotting this round in protest at a Nato attack on a border checkpoint.</t>
    </r>
    <r>
      <rPr>
        <sz val="11"/>
        <color theme="1"/>
        <rFont val="Calibri"/>
        <family val="2"/>
        <scheme val="minor"/>
      </rPr>
      <t xml:space="preserve">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r>
  </si>
  <si>
    <r>
      <t xml:space="preserve">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t>
    </r>
    <r>
      <rPr>
        <u/>
        <sz val="11"/>
        <color theme="1"/>
        <rFont val="Calibri"/>
        <family val="2"/>
        <scheme val="minor"/>
      </rPr>
      <t>In November the Honduran authorities began deploying troops to carry out policing duties. T</t>
    </r>
    <r>
      <rPr>
        <sz val="11"/>
        <color theme="1"/>
        <rFont val="Calibri"/>
        <family val="2"/>
        <scheme val="minor"/>
      </rPr>
      <t>he police force itself is undergoing a purge amid efforts to root out officers with links to organized crime.</t>
    </r>
  </si>
  <si>
    <r>
      <t>Prince Harry had to swap boats during his Jubilee tour when the speed boat he was travelling on broke down. Harry ‘abandoned ship’ and hopped on board a press and media boat following the tour</t>
    </r>
    <r>
      <rPr>
        <u/>
        <sz val="11"/>
        <color theme="1"/>
        <rFont val="Calibri"/>
        <family val="2"/>
        <scheme val="minor"/>
      </rPr>
      <t>. He was off the Bahamas</t>
    </r>
    <r>
      <rPr>
        <sz val="11"/>
        <color theme="1"/>
        <rFont val="Calibri"/>
        <family val="2"/>
        <scheme val="minor"/>
      </rPr>
      <t xml:space="preserve"> as part of his official tour of the Caribbean and was supposed to join the crew of a Royal Bahamian Defense Force patrol boat on a naval exercise. He eventually landed on tiny Harbor Island, where he met crowds of tourists and locals.</t>
    </r>
    <r>
      <rPr>
        <i/>
        <sz val="11"/>
        <color theme="1"/>
        <rFont val="Calibri"/>
        <family val="2"/>
        <scheme val="minor"/>
      </rPr>
      <t>Note: When we say that someone is ‘off’ or ‘just off’ a location, we mean that they are close to it.</t>
    </r>
  </si>
  <si>
    <r>
      <t>A six-year-old girl has survived after being trapped</t>
    </r>
    <r>
      <rPr>
        <sz val="11"/>
        <color theme="1"/>
        <rFont val="Calibri"/>
        <family val="2"/>
        <scheme val="minor"/>
      </rPr>
      <t xml:space="preserve"> under ice in a river and spending four days in a coma. The girl and her brother were playing on ice when it gave way. Medics say that the girl has not suffered any injuries and that she has been sitting up in bed and enjoying an ice cream. </t>
    </r>
    <r>
      <rPr>
        <i/>
        <sz val="11"/>
        <color theme="1"/>
        <rFont val="Calibri"/>
        <family val="2"/>
        <scheme val="minor"/>
      </rPr>
      <t>Note: To be ‘stuck’ is to be trapped meaning that escape is impossible or difficult.</t>
    </r>
  </si>
  <si>
    <r>
      <t xml:space="preserve">Two daring commando raids by two nations in one day against Somali pirates show that some </t>
    </r>
    <r>
      <rPr>
        <u/>
        <sz val="11"/>
        <color theme="1"/>
        <rFont val="Calibri"/>
        <family val="2"/>
        <scheme val="minor"/>
      </rPr>
      <t>naval forces are taking a harder line, perhaps because nothing else they have tried has stopped the rise of lawlessness off the east coast of Africa.</t>
    </r>
    <r>
      <rPr>
        <sz val="11"/>
        <color theme="1"/>
        <rFont val="Calibri"/>
        <family val="2"/>
        <scheme val="minor"/>
      </rPr>
      <t xml:space="preserve">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 </t>
    </r>
    <r>
      <rPr>
        <i/>
        <sz val="11"/>
        <color theme="1"/>
        <rFont val="Calibri"/>
        <family val="2"/>
        <scheme val="minor"/>
      </rPr>
      <t>Note: When we do something as a ‘last resort’, it usually means we don’t really want to do it but we have tried everything else and nothing else works.</t>
    </r>
  </si>
  <si>
    <r>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t>
    </r>
    <r>
      <rPr>
        <u/>
        <sz val="11"/>
        <color theme="1"/>
        <rFont val="Calibri"/>
        <family val="2"/>
        <scheme val="minor"/>
      </rPr>
      <t>, but has escaped any kind of sanction because of the significant political connections of its senior management</t>
    </r>
    <r>
      <rPr>
        <sz val="11"/>
        <color theme="1"/>
        <rFont val="Calibri"/>
        <family val="2"/>
        <scheme val="minor"/>
      </rPr>
      <t>.</t>
    </r>
  </si>
  <si>
    <r>
      <t>Japan’s government is set to suspend all cattle shipments from Fukushima as concerns over radiation-tainted beef escalate.</t>
    </r>
    <r>
      <rPr>
        <sz val="11"/>
        <color theme="1"/>
        <rFont val="Calibri"/>
        <family val="2"/>
        <scheme val="minor"/>
      </rPr>
      <t xml:space="preserv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 </t>
    </r>
    <r>
      <rPr>
        <i/>
        <sz val="11"/>
        <color theme="1"/>
        <rFont val="Calibri"/>
        <family val="2"/>
        <scheme val="minor"/>
      </rPr>
      <t>Note: ‘Suspend’ is a synonym for ‘postpone’.</t>
    </r>
  </si>
  <si>
    <r>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t>
    </r>
    <r>
      <rPr>
        <u/>
        <sz val="11"/>
        <color theme="1"/>
        <rFont val="Calibri"/>
        <family val="2"/>
        <scheme val="minor"/>
      </rPr>
      <t>But the discovery has sparked a public debate,</t>
    </r>
    <r>
      <rPr>
        <sz val="11"/>
        <color theme="1"/>
        <rFont val="Calibri"/>
        <family val="2"/>
        <scheme val="minor"/>
      </rPr>
      <t xml:space="preserve"> with many believing the items should be put in museums or sold and the profits used for the public good. </t>
    </r>
    <r>
      <rPr>
        <i/>
        <sz val="11"/>
        <color theme="1"/>
        <rFont val="Calibri"/>
        <family val="2"/>
        <scheme val="minor"/>
      </rPr>
      <t>Note: ‘Contention’ here  means ‘disagreement’.</t>
    </r>
  </si>
  <si>
    <r>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
    </r>
    <r>
      <rPr>
        <u/>
        <sz val="11"/>
        <color theme="1"/>
        <rFont val="Calibri"/>
        <family val="2"/>
        <scheme val="minor"/>
      </rPr>
      <t>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t>
    </r>
    <r>
      <rPr>
        <sz val="11"/>
        <color theme="1"/>
        <rFont val="Calibri"/>
        <family val="2"/>
        <scheme val="minor"/>
      </rPr>
      <t xml:space="preserve">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r>
    <r>
      <rPr>
        <i/>
        <sz val="11"/>
        <color theme="1"/>
        <rFont val="Calibri"/>
        <family val="2"/>
        <scheme val="minor"/>
      </rPr>
      <t>Note: The statement is saying that KaBooM raised private funds in response to budget cuts</t>
    </r>
  </si>
  <si>
    <r>
      <t xml:space="preserve">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t>
    </r>
    <r>
      <rPr>
        <u/>
        <sz val="11"/>
        <color theme="1"/>
        <rFont val="Calibri"/>
        <family val="2"/>
        <scheme val="minor"/>
      </rPr>
      <t>“Compelling evidence was presented to the jury, including testimony from hospital witnesses that confirmed the hospitals were not financially damaged as they asserted.”</t>
    </r>
  </si>
  <si>
    <r>
      <t xml:space="preserve">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
    </r>
    <r>
      <rPr>
        <u/>
        <sz val="11"/>
        <color theme="1"/>
        <rFont val="Calibri"/>
        <family val="2"/>
        <scheme val="minor"/>
      </rPr>
      <t>To American ears, Filipinos often sound clearer than agents in India – the king of the call centre industry. Mr. Borja says. “That’s the reason some companies in India are moving to the Philippines.”</t>
    </r>
    <r>
      <rPr>
        <sz val="11"/>
        <color theme="1"/>
        <rFont val="Calibri"/>
        <family val="2"/>
        <scheme val="minor"/>
      </rPr>
      <t xml:space="preserve"> </t>
    </r>
    <r>
      <rPr>
        <u/>
        <sz val="11"/>
        <color theme="1"/>
        <rFont val="Calibri"/>
        <family val="2"/>
        <scheme val="minor"/>
      </rPr>
      <t>Some are even run by Indians, and many employ a high number of Indian expatriates on their management staff.</t>
    </r>
    <r>
      <rPr>
        <sz val="11"/>
        <color theme="1"/>
        <rFont val="Calibri"/>
        <family val="2"/>
        <scheme val="minor"/>
      </rPr>
      <t xml:space="preserve"> People with these management skills “can only be found in India – they have the expertise and they were there a couple of years ahead of us,” says Mr. Borja.</t>
    </r>
  </si>
  <si>
    <r>
      <t xml:space="preserve">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
    </r>
    <r>
      <rPr>
        <u/>
        <sz val="11"/>
        <color theme="1"/>
        <rFont val="Calibri"/>
        <family val="2"/>
        <scheme val="minor"/>
      </rPr>
      <t>Tucked inside the embassy, where the Cuban Interests Section resides, the bar has a strict invitation-only list. It will be used for entertaining guests of the Interest Section, so tourists hoping to catch happy hour are out of luck</t>
    </r>
    <r>
      <rPr>
        <sz val="11"/>
        <color theme="1"/>
        <rFont val="Calibri"/>
        <family val="2"/>
        <scheme val="minor"/>
      </rPr>
      <t xml:space="preserve">. It’s illegal for the bar to conduct any commerce, but the embassy is free from the trade embargo that forbids importing products from the communist country. </t>
    </r>
    <r>
      <rPr>
        <u/>
        <sz val="11"/>
        <color theme="1"/>
        <rFont val="Calibri"/>
        <family val="2"/>
        <scheme val="minor"/>
      </rPr>
      <t xml:space="preserve">So drinks were free, made with Cuban rum that’s normally impossible to find in the U.S. </t>
    </r>
    <r>
      <rPr>
        <i/>
        <u/>
        <sz val="11"/>
        <color theme="1"/>
        <rFont val="Calibri"/>
        <family val="2"/>
        <scheme val="minor"/>
      </rPr>
      <t>Note: The first question is answered in the last sentence and the answer to the second question appears earlier in the text.</t>
    </r>
  </si>
  <si>
    <r>
      <t xml:space="preserve">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
    </r>
    <r>
      <rPr>
        <u/>
        <sz val="11"/>
        <color theme="1"/>
        <rFont val="Calibri"/>
        <family val="2"/>
        <scheme val="minor"/>
      </rPr>
      <t>The boom has been driven by the legalization of slot machines which have overtaken lotteries, horses and football to account for more than half of today’s total spending.</t>
    </r>
    <r>
      <rPr>
        <sz val="11"/>
        <color theme="1"/>
        <rFont val="Calibri"/>
        <family val="2"/>
        <scheme val="minor"/>
      </rPr>
      <t xml:space="preserve"> “Until the 1990s it was disapproved of and the government’s tendency was to control it,” said sociologist Maurizio Fiasco. “Then it became a useful revenue.” While the gambling parlors provide a revenue for the cash-strapped government</t>
    </r>
    <r>
      <rPr>
        <u/>
        <sz val="11"/>
        <color theme="1"/>
        <rFont val="Calibri"/>
        <family val="2"/>
        <scheme val="minor"/>
      </rPr>
      <t xml:space="preserve">, the mafia has also moved in for its cut – allegedly using front companies to obtain licenses then laundering drug money through operations. </t>
    </r>
    <r>
      <rPr>
        <i/>
        <u/>
        <sz val="11"/>
        <color theme="1"/>
        <rFont val="Calibri"/>
        <family val="2"/>
        <scheme val="minor"/>
      </rPr>
      <t>Note: ‘Front companies’ are ‘false companies’ and the mafia’s ‘cut’ means its profit.</t>
    </r>
  </si>
  <si>
    <r>
      <t>A National Trust farm is to be run by online subscribers voting on which crops to grow and livestock to rear. For a 30-pound annual fee, 10,000 farm followers will help manage Wimpole Home Farm, in Cambridgeshire</t>
    </r>
    <r>
      <rPr>
        <u/>
        <sz val="11"/>
        <color theme="1"/>
        <rFont val="Calibri"/>
        <family val="2"/>
        <scheme val="minor"/>
      </rPr>
      <t xml:space="preserve">. The ‘My Farm’ project aims to reconnect people with where their food comes from. </t>
    </r>
    <r>
      <rPr>
        <sz val="11"/>
        <color theme="1"/>
        <rFont val="Calibri"/>
        <family val="2"/>
        <scheme val="minor"/>
      </rPr>
      <t xml:space="preserve">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
    </r>
    <r>
      <rPr>
        <u/>
        <sz val="11"/>
        <color theme="1"/>
        <rFont val="Calibri"/>
        <family val="2"/>
        <scheme val="minor"/>
      </rPr>
      <t>The options put to members will be within parameters dictated by climate,</t>
    </r>
    <r>
      <rPr>
        <sz val="11"/>
        <color theme="1"/>
        <rFont val="Calibri"/>
        <family val="2"/>
        <scheme val="minor"/>
      </rPr>
      <t xml:space="preserve"> legislation, and the requirements of the environmental stewardship scheme which the farm is signed up to, as well as the heritage protection given to the estate. </t>
    </r>
  </si>
  <si>
    <r>
      <t xml:space="preserve">Arsenic mines and factories in Georgia abandoned after the fall of the Soviet Union are leaking toxic chemicals, and scientific studies show high rates of illness in local children. But it seems villagers in Uravi, high in the Caucasus mountains in north-west Georgia, </t>
    </r>
    <r>
      <rPr>
        <u/>
        <sz val="11"/>
        <color theme="1"/>
        <rFont val="Calibri"/>
        <family val="2"/>
        <scheme val="minor"/>
      </rPr>
      <t>are being kept in the dark and locals know nothing about the harm the pollution could be doing to their young.</t>
    </r>
    <r>
      <rPr>
        <sz val="11"/>
        <color theme="1"/>
        <rFont val="Calibri"/>
        <family val="2"/>
        <scheme val="minor"/>
      </rPr>
      <t xml:space="preserve"> </t>
    </r>
    <r>
      <rPr>
        <u/>
        <sz val="11"/>
        <color theme="1"/>
        <rFont val="Calibri"/>
        <family val="2"/>
        <scheme val="minor"/>
      </rPr>
      <t>The government is aware of the problem, but with its economy still only 60% of what it was in Soviet times, the country just does not have the necessary resources, says environment minister Giorgi Khachidze.</t>
    </r>
    <r>
      <rPr>
        <sz val="11"/>
        <color theme="1"/>
        <rFont val="Calibri"/>
        <family val="2"/>
        <scheme val="minor"/>
      </rPr>
      <t xml:space="preserv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 </t>
    </r>
    <r>
      <rPr>
        <i/>
        <sz val="11"/>
        <color theme="1"/>
        <rFont val="Calibri"/>
        <family val="2"/>
        <scheme val="minor"/>
      </rPr>
      <t>Note: The first part of the underlined text answers the second question. If someone is ‘kept in the dark’,  about something, they are not informed about it. The second sentence of underlined text answers the first question as it refers to the country not having enough resources. This is reinforced later by the speaker who says ‘ We just don’t have enough money.’</t>
    </r>
  </si>
  <si>
    <r>
      <t xml:space="preserve">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t>
    </r>
    <r>
      <rPr>
        <u/>
        <sz val="11"/>
        <color theme="1"/>
        <rFont val="Calibri"/>
        <family val="2"/>
        <scheme val="minor"/>
      </rPr>
      <t>Along with efficient macroeconomic management, a key lesson from the Botswana experience is ensuring that economic growth translates into tangible social benefits for all.</t>
    </r>
    <r>
      <rPr>
        <sz val="11"/>
        <color theme="1"/>
        <rFont val="Calibri"/>
        <family val="2"/>
        <scheme val="minor"/>
      </rPr>
      <t xml:space="preserve">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
    </r>
    <r>
      <rPr>
        <u/>
        <sz val="11"/>
        <color theme="1"/>
        <rFont val="Calibri"/>
        <family val="2"/>
        <scheme val="minor"/>
      </rPr>
      <t>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r>
  </si>
  <si>
    <r>
      <t xml:space="preserve">Global warming has already harmed the world’s food production and has driven up food prices by as much as 20% over recent decades, new research has revealed. </t>
    </r>
    <r>
      <rPr>
        <u/>
        <sz val="11"/>
        <color theme="1"/>
        <rFont val="Calibri"/>
        <family val="2"/>
        <scheme val="minor"/>
      </rPr>
      <t xml:space="preserve">The drop in the productivity of crop plants around the world was not caused by changes in rainfall but was because higher temperatures can cause dehydration, prevent pollination and lead to slowed photosynthesis.                                                                                                                                                             </t>
    </r>
    <r>
      <rPr>
        <sz val="11"/>
        <color theme="1"/>
        <rFont val="Calibri"/>
        <family val="2"/>
        <scheme val="minor"/>
      </rPr>
      <t xml:space="preserve">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
    </r>
    <r>
      <rPr>
        <u/>
        <sz val="11"/>
        <color theme="1"/>
        <rFont val="Calibri"/>
        <family val="2"/>
        <scheme val="minor"/>
      </rPr>
      <t xml:space="preserve">The scientists say their work shows how crucial it is to find ways to adapt farming to a warmer world, </t>
    </r>
    <r>
      <rPr>
        <sz val="11"/>
        <color theme="1"/>
        <rFont val="Calibri"/>
        <family val="2"/>
        <scheme val="minor"/>
      </rPr>
      <t>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t>
    </r>
  </si>
  <si>
    <r>
      <t xml:space="preserve">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t>
    </r>
    <r>
      <rPr>
        <u/>
        <sz val="11"/>
        <color theme="1"/>
        <rFont val="Calibri"/>
        <family val="2"/>
        <scheme val="minor"/>
      </rPr>
      <t>Later, the rule was relaxed, allowing the drink to be sold as long as it was not called absinthe</t>
    </r>
    <r>
      <rPr>
        <sz val="11"/>
        <color theme="1"/>
        <rFont val="Calibri"/>
        <family val="2"/>
        <scheme val="minor"/>
      </rPr>
      <t>, and instead labelled “a spirit made from extracts of the absinthe plant.” Now the ban is expected to be lifted entirely any day now, after the French Senate voted in favour of the move in mid-April</t>
    </r>
    <r>
      <rPr>
        <u/>
        <sz val="11"/>
        <color theme="1"/>
        <rFont val="Calibri"/>
        <family val="2"/>
        <scheme val="minor"/>
      </rPr>
      <t>. While drinkers like Clement Arnoux are relieved that the stigma of illegality has gone, not everyone sees the change of law as cause for celebration.</t>
    </r>
    <r>
      <rPr>
        <sz val="11"/>
        <color theme="1"/>
        <rFont val="Calibri"/>
        <family val="2"/>
        <scheme val="minor"/>
      </rPr>
      <t xml:space="preserve">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 </t>
    </r>
    <r>
      <rPr>
        <i/>
        <sz val="11"/>
        <color theme="1"/>
        <rFont val="Calibri"/>
        <family val="2"/>
        <scheme val="minor"/>
      </rPr>
      <t>Note: The second question is answered by the first piece of underlined text. The use of ‘ as long as’ indicates that there is a special condition. The first question is answered by the second piece of underlined text.</t>
    </r>
  </si>
  <si>
    <r>
      <t>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t>
    </r>
    <r>
      <rPr>
        <u/>
        <sz val="11"/>
        <color theme="1"/>
        <rFont val="Calibri"/>
        <family val="2"/>
        <scheme val="minor"/>
      </rPr>
      <t>. This includes the pink dolphins, which, according to surveys conducted in March, have seen their numbers increased by nearly 10%, compared to the same period last year, prior to the drought</t>
    </r>
    <r>
      <rPr>
        <sz val="11"/>
        <color theme="1"/>
        <rFont val="Calibri"/>
        <family val="2"/>
        <scheme val="minor"/>
      </rPr>
      <t xml:space="preserve">. The number of grey dolphins is also up from March 2010 – by 30%. The research is being carried out in a national reserve in the Amazon. </t>
    </r>
    <r>
      <rPr>
        <u/>
        <sz val="11"/>
        <color theme="1"/>
        <rFont val="Calibri"/>
        <family val="2"/>
        <scheme val="minor"/>
      </rPr>
      <t>“This reserve is flooded forest, where we get high levels and low levels in the rivers every year,” says Dr. Bodmer.</t>
    </r>
    <r>
      <rPr>
        <sz val="11"/>
        <color theme="1"/>
        <rFont val="Calibri"/>
        <family val="2"/>
        <scheme val="minor"/>
      </rPr>
      <t xml:space="preserve"> “But the 2010 drought and the record floods the previous year were much worse.” Now the water levels are extremely high again and local officials have declared a state of emergency. </t>
    </r>
    <r>
      <rPr>
        <u/>
        <sz val="11"/>
        <color theme="1"/>
        <rFont val="Calibri"/>
        <family val="2"/>
        <scheme val="minor"/>
      </rPr>
      <t>“We are being hit on both sides – extremely high levels of water or droughts,” says Dr. Bodmer</t>
    </r>
    <r>
      <rPr>
        <sz val="11"/>
        <color theme="1"/>
        <rFont val="Calibri"/>
        <family val="2"/>
        <scheme val="minor"/>
      </rPr>
      <t xml:space="preserve">. </t>
    </r>
    <r>
      <rPr>
        <i/>
        <sz val="11"/>
        <color theme="1"/>
        <rFont val="Calibri"/>
        <family val="2"/>
        <scheme val="minor"/>
      </rPr>
      <t>Note: The second two pieces of underlined text answer both answer the second question.</t>
    </r>
  </si>
  <si>
    <r>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t>
    </r>
    <r>
      <rPr>
        <u/>
        <sz val="11"/>
        <color theme="1"/>
        <rFont val="Calibri"/>
        <family val="2"/>
        <scheme val="minor"/>
      </rPr>
      <t xml:space="preserve">. The routine testifies to the adoration Thai people feel for both their nation and their king. </t>
    </r>
    <r>
      <rPr>
        <sz val="11"/>
        <color theme="1"/>
        <rFont val="Calibri"/>
        <family val="2"/>
        <scheme val="minor"/>
      </rPr>
      <t xml:space="preserve">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t>
    </r>
    <r>
      <rPr>
        <u/>
        <sz val="11"/>
        <color theme="1"/>
        <rFont val="Calibri"/>
        <family val="2"/>
        <scheme val="minor"/>
      </rPr>
      <t xml:space="preserve">Human rights groups, as well as the U.S, E.U. and U.N, have voiced concern over the way the law is used. </t>
    </r>
    <r>
      <rPr>
        <i/>
        <u/>
        <sz val="11"/>
        <color theme="1"/>
        <rFont val="Calibri"/>
        <family val="2"/>
        <scheme val="minor"/>
      </rPr>
      <t>Note: The first piece of underlined text answers the second question. We know that the royal family is venerated because of the use of words such as ‘adoration’ and ‘reverence’. The first question is answered by the second piece of underlined text.</t>
    </r>
  </si>
  <si>
    <t>EXAMEN DPT 2012</t>
  </si>
  <si>
    <t xml:space="preserve">19.  Report – top earners   
Melissa Block, host: Well, that Congressional Budget Office report that David mentioned has provided new ammunition for protestors whose signs declare: We Are The 99 Percent. The study found that the richest 1 percent of Americans more than doubled their share of national income in the last 30 years. And the vast majority of the population is getting a smaller slice of the economic pie. 
NPR's Scott Horsley joins us now with more. And, Scott, when it comes to income inequality, how unequal are we? 
Scott Horsley: Well, Melissa, we are getting more unequal. More and more of the income is being concentrated in the top tier. If you go back to 1979, which was the starting point for that CBO study, at that point, the top 20 percent - the richest 20 percent of households - were collecting about 43 percent of all the income in the country. Now, that's over half. 
And a lot of that increase was the very tippy top - the 1 percent at the top of the income distribution. As their share of national income has soared, the share for everyone else - the other 80 percent - has gone down.
What can be said about the share of the national income?
</t>
  </si>
  <si>
    <t>1. The feral child  
For the first seven years of her life, Daniele never saw the sun. She was cooped up in a tiny filthy room in a clapboard shack. She couldn’t speak and recoiled from human contact. American media called her the -feral child-. Danny was taken into care but adoption workers were convinced no one would want to take on the challenge. They hadn’t  reckoned on Diane and Bernie .. who adopted Dani and have now written a book about the experience. It started when the couple attended an adoption event in Florida looking for a companion for their youngest son William. Diane told me they were captivated by a grainy, black and white photograph of Dani pinned to the wall. 
Diane : -Her  eyes were just haunting. There was just something about them that made me want to know more about her. 
Int: But when you started asking people about her you were told just don’t go  there. 
Diane: There was a zillion other children there why would you want to ask about her but I’d already started asking questions about Daniele. It just really came from the heart. I was drawn to her.
According to the extract, what child did Diane and Bernie adopt?</t>
  </si>
  <si>
    <t>2. BOEING'S 787  
Norris: .. There was quite a bit of excitement today when Boeing's much-anticipated 787 made a four-hour, eight-minute flight from Tokyo to Hong Kong. Two-hundred-forty passengers were on today's maiden voyage and we were fortunate to track down one of them. His name is Scott Mayerowitz. He's a reporter for the AP. Welcome to the program. 
Scott Mayerowitz: Thanks for having me. 
Norris: Do me a favor, first. Describe this plane. What does it look like? 
Mayerowitz: The very basics -  it's a regular plane. But then you walk inside and there's a sort of open arching space. They call it the dome. And your eyes just naturally gravitate up. And there are sort of sleek edges to everything, nice colors, and you suddenly feel like, oh, maybe this isn't going to be so bad. You walk a few rows back, find your seat and there's a giant window next to you. Yeah, the seat is just the same old uncomfortable seat as you've had for many flights. But you got this big window and you're too busy playing with it..
Which sentence is correct about the Boeing 787?</t>
  </si>
  <si>
    <t xml:space="preserve">14. Viruses and bacteria       
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
Which statement is true according to the extract?
</t>
  </si>
  <si>
    <t xml:space="preserve">21. Advertising through children   
A marketing executive talks about using children in advertising
Children are much easier to reach with advertising than adults are – they like it and they pick up on it really fast. So it’s the advertiser’s job to capitalise on this. We have a term, -pester-power-which means the marketing potential of children nagging their parents to spend money. And I’m not just talking about toys here – our aim is getting children to pester parents to buy something for the whole family, like a holiday or a car. The trick is to produce adverts that appeal to both children and adults – to split the message in two.
According to the speaker, in what way can children be used in advertising?
</t>
  </si>
  <si>
    <t xml:space="preserve">7. Regrets   
My biggest regret is how I spent my time at university. I studied English Literature which was something I was quite interested in, but it certainly wasn’t the most important thing in my life. I played a lot of sport, I played in a band and listened to a lot of music, but I also spent most of my time either socializing or asleep. And in terms of studying I just did the bare minimum – I read what I had to, but never anything more. I only went to the compulsory lectures never to the optional ones and I left all my essays until the last minute and kept them as short as I could. OK I passed my exams and I got my degree in the end, but I’ve always regretted not taking advantage of those three years.
What can be said about the speaker? 
</t>
  </si>
  <si>
    <t>3. Women breadwinners  
NPR: I’m speaking with Lisa Mundy. Her new book is called -The Richer Sex-. And clearly we would presume that if women are earning more and becoming the primary breadwinner that the glass ceiling in the workplace must have dissipated, no?
LM: No, it hasn’t and you know, women working full time still earn eighty-one percent of what men do, that’s all women in all fields. And so the danger is that women will be supporting households on less than a man might make. What’s interesting is (that) even with this earnings disadvantage women are out-earning their husbands .. you know ..a greater percentage every year.
Which statement is correct according to what you have heard?</t>
  </si>
  <si>
    <t xml:space="preserve">17. Foreign investment in Africa       
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
What is a consequence of foreign investment in African land?
</t>
  </si>
  <si>
    <t>4. Ruth' s House    
Interviewer: Ruth, why do you think you've been burgled so many times?
Ruth: I wish I knew. It's a nightmare. We bought this house because it looks out onto the playing fields and we thought it was the perfect house for our retirement.
Interviewer: When were you first burgled?
Ruth: Oh, three years ago, just a week after we had moved in. It was as if the burglars were waiting for us.
Interviewer: Do you feel sorry that you moved there now?
Ruth: Oh definitely. If we had known we were going to have this sort of trouble, we wouldn't be living here.  We would have chosen somewhere safer. But now we can't even sell the house because everyone knows the burglars like it! No one will buy it.                   
What is the problem with Ruth’s house?</t>
  </si>
  <si>
    <t xml:space="preserve">12. Barbie in Iran     
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Which statement is correct according to the extract?
</t>
  </si>
  <si>
    <t>EXAMEN OCT 2012</t>
  </si>
  <si>
    <t>EXAMEN 1000/MP3/Q-01 EXAMEN 1000.mp3</t>
  </si>
  <si>
    <t>a. criticizes religious leaders more than baby boomers do.</t>
  </si>
  <si>
    <t>b. generally lacks religious affiliation</t>
  </si>
  <si>
    <t>c. are more likely to be religious than baby boomers.</t>
  </si>
  <si>
    <t>d. accepts spirituality but rejects official religions.</t>
  </si>
  <si>
    <t>EXAMEN 1000/MP3/Q-02 EXAMEN 1000.mp3</t>
  </si>
  <si>
    <t>a. showering instead of bathing can save water</t>
  </si>
  <si>
    <t>b. modern showers tend to use less water.</t>
  </si>
  <si>
    <t>c. the results of the study contradict popular beliefs</t>
  </si>
  <si>
    <t>d. the study shows people still prefer taking showers.</t>
  </si>
  <si>
    <t>EXAMEN 1000/MP3/Q-03 EXAMEN 1000.mp3</t>
  </si>
  <si>
    <t>a. English people were very kind to him.</t>
  </si>
  <si>
    <t>b. arriving in Britain was an exciting experience</t>
  </si>
  <si>
    <t>c. Britain exceeded his expectations</t>
  </si>
  <si>
    <t>d. his first day was sad</t>
  </si>
  <si>
    <t>EXAMEN 1000/MP3/Q-04 EXAMEN 1000.mp3</t>
  </si>
  <si>
    <t>a. spent a period outside of his country</t>
  </si>
  <si>
    <t>b. tried to leave his country but couldn’t</t>
  </si>
  <si>
    <t>c. has always lived in a warlike situation</t>
  </si>
  <si>
    <t>d. fought against the Taliban some years ago</t>
  </si>
  <si>
    <t>EXAMEN 1000/MP3/Q-05 EXAMEN 1000.mp3</t>
  </si>
  <si>
    <t>a. It had been worn by Monroe when she sang for Kennedy</t>
  </si>
  <si>
    <t>b. It achieved the highest price ever for a movie dress</t>
  </si>
  <si>
    <t>c. It was bought at an auction by a famous Hollywood star</t>
  </si>
  <si>
    <t>d. It had been exhibited at a museum before being sold</t>
  </si>
  <si>
    <t>EXAMEN 1000/MP3/Q-06 EXAMEN 1000.mp3</t>
  </si>
  <si>
    <t>a. He is working as a data analyst at present</t>
  </si>
  <si>
    <t>b. He is not qualified for the job he wants</t>
  </si>
  <si>
    <t>c. He is overqualified for his present job</t>
  </si>
  <si>
    <t>d. He is afraid he’ll never find the job he wants</t>
  </si>
  <si>
    <t>EXAMEN 1000/MP3/Q-07 EXAMEN 1000.mp3</t>
  </si>
  <si>
    <t>a. harsh.</t>
  </si>
  <si>
    <t>b. unfair</t>
  </si>
  <si>
    <t>c. welcoming</t>
  </si>
  <si>
    <t>d. unpredictable</t>
  </si>
  <si>
    <t>EXAMEN 1000/MP3/Q-08 EXAMEN 1000.mp3</t>
  </si>
  <si>
    <t>a. Her guest was moody and uncooperative.</t>
  </si>
  <si>
    <t>b. Her guest made disturbing noises</t>
  </si>
  <si>
    <t>c. Her guest spoke too close to the microphone</t>
  </si>
  <si>
    <t>d. Her guest took her pen away</t>
  </si>
  <si>
    <t>EXAMEN 1000/MP3/Q-09 EXAMEN 1000.mp3</t>
  </si>
  <si>
    <t>a. will be held on the twelfth of next month</t>
  </si>
  <si>
    <t>b. are expected to be held within a year's time</t>
  </si>
  <si>
    <t>c. will be supervised by UN peacekeepers</t>
  </si>
  <si>
    <t>d. have generated bloody confrontations</t>
  </si>
  <si>
    <t>EXAMEN 1000/MP3/Q-10 EXAMEN 1000.mp3</t>
  </si>
  <si>
    <t>a. went into the hair business after finishing Law school</t>
  </si>
  <si>
    <t>b. didn’t like the hair business at the beginning</t>
  </si>
  <si>
    <t>c. started in the hair business for want of money</t>
  </si>
  <si>
    <t>d. opened her own beauty parlour after failing at college</t>
  </si>
  <si>
    <t>EXAMEN 1000/MP3/Q-11 EXAMEN 1000.mp3</t>
  </si>
  <si>
    <t>a. Jersey tourism has become more upscale</t>
  </si>
  <si>
    <t>b. people stay longer on Jersey than in the past.</t>
  </si>
  <si>
    <t>c. the beaches are Jersey’s main attraction</t>
  </si>
  <si>
    <t>d. Jersey has improved its image through advertising</t>
  </si>
  <si>
    <t>EXAMEN 1000/MP3/Q-12 EXAMEN 1000.mp3</t>
  </si>
  <si>
    <t>a. The Chinese buy most luxury goods abroad</t>
  </si>
  <si>
    <t>b. China exports many luxury goods to Japan</t>
  </si>
  <si>
    <t>c. China is the biggest producer of fake products</t>
  </si>
  <si>
    <t>d. The sale of luxury goods in China is increasing</t>
  </si>
  <si>
    <t>EXAMEN 1000/MP3/Q-13 EXAMEN 1000.mp3</t>
  </si>
  <si>
    <t>a. society is losing interest in the illness</t>
  </si>
  <si>
    <t>b. new research on schizophrenia has been started</t>
  </si>
  <si>
    <t>c. the symptoms of the illness can vary.</t>
  </si>
  <si>
    <t>d. there is no known treatment for schizophrenia</t>
  </si>
  <si>
    <t>EXAMEN 1000/MP3/Q-14 EXAMEN 1000.mp3</t>
  </si>
  <si>
    <t>a. know how to manage anxiety well.</t>
  </si>
  <si>
    <t>b. have never suffered a major disaster</t>
  </si>
  <si>
    <t>c. don’t have to cope with problems</t>
  </si>
  <si>
    <t>d. experience a certain degree of adversity</t>
  </si>
  <si>
    <t>EXAMEN 1000/MP3/Q-15 EXAMEN 1000.mp3</t>
  </si>
  <si>
    <t>a. spent three days cliff-walking</t>
  </si>
  <si>
    <t>b. met many people on his journey</t>
  </si>
  <si>
    <t>c. spent a lot of time in solitude</t>
  </si>
  <si>
    <t>d. walked through a famous national park</t>
  </si>
  <si>
    <t>EXAMEN 1000/MP3/Q-16 EXAMEN 1000.mp3</t>
  </si>
  <si>
    <t>a. says Israel should trade occupied land for peace treaties</t>
  </si>
  <si>
    <t>b. says Israel should occupy all territories described in the Bible</t>
  </si>
  <si>
    <t>c. feels entitled to live on the West Bank</t>
  </si>
  <si>
    <t>d. is tired of confrontations with Palestinians</t>
  </si>
  <si>
    <t>EXAMEN 1000/MP3/Q-17 EXAMEN 1000.mp3</t>
  </si>
  <si>
    <t>a. An oil deposit found off the Cypriot coast.</t>
  </si>
  <si>
    <t>b. Turkey’s search for oil off the Cypriot coast.</t>
  </si>
  <si>
    <t>c. Cyprus’ search for resources in the sea</t>
  </si>
  <si>
    <t>d. Cyprus’ denial to supply gas to North Cyprus</t>
  </si>
  <si>
    <t>EXAMEN 1000/MP3/Q-18 EXAMEN 1000.mp3</t>
  </si>
  <si>
    <t>a. a lot of space debris</t>
  </si>
  <si>
    <t>b. the creation of two moons</t>
  </si>
  <si>
    <t>c. the formation of the craters of the moon</t>
  </si>
  <si>
    <t>d. the highlands on the visible side of the moon</t>
  </si>
  <si>
    <t>EXAMEN 1000/MP3/Q-19 EXAMEN 1000.mp3</t>
  </si>
  <si>
    <t>a. fought with freedom fighters against the Fascists</t>
  </si>
  <si>
    <t>b. played a part in the liberation of his village</t>
  </si>
  <si>
    <t>c. amazed everyone with his superb trumpet playing</t>
  </si>
  <si>
    <t>d. played a simple piece at the fighters’ funeral</t>
  </si>
  <si>
    <t>EXAMEN 1000/MP3/Q-20 EXAMEN 1000.mp3</t>
  </si>
  <si>
    <t>a. The fast talkers were the most successful</t>
  </si>
  <si>
    <t>b. Pausing between words is not a good idea</t>
  </si>
  <si>
    <t>c. Variations in pitch make one sound more convincing</t>
  </si>
  <si>
    <t>d. The right speed is neither too fast nor too slow</t>
  </si>
  <si>
    <t>EXAMEN 1000/MP3/Q-21 EXAMEN 1000.mp3</t>
  </si>
  <si>
    <t>a. many characters come across as too modern.</t>
  </si>
  <si>
    <t>b. readers like to identify with characters</t>
  </si>
  <si>
    <t>c. creating historically authentic characters isn’t her main purpose</t>
  </si>
  <si>
    <t>d. we wouldn’t understand authentic historical characters</t>
  </si>
  <si>
    <t>EXAMEN 1000/MP3/Q-22 EXAMEN 1000.mp3</t>
  </si>
  <si>
    <t>a. his book was successful because of its ironic tone.</t>
  </si>
  <si>
    <t>b. pointing out grammar mistakes made him unpopular</t>
  </si>
  <si>
    <t>c. the book is based on an analysis of errors in newspapers</t>
  </si>
  <si>
    <t>d. the book deals with grammar mistakes in a stern way</t>
  </si>
  <si>
    <t>EXAMEN 1000/MP3/Q-23 EXAMEN 1000.mp3</t>
  </si>
  <si>
    <t>a. of his fondness for reading mystery novels</t>
  </si>
  <si>
    <t>b. of the size and glamour of the cases</t>
  </si>
  <si>
    <t>c. of the complexity and cunning of the schemes</t>
  </si>
  <si>
    <t>d. of the excitement and risky nature of it</t>
  </si>
  <si>
    <t>EXAMEN 1000/MP3/Q-24 EXAMEN 1000.mp3</t>
  </si>
  <si>
    <t>a. it could damage Bill Clinton’s reputation</t>
  </si>
  <si>
    <t>b. it would establish a dangerous precedent</t>
  </si>
  <si>
    <t>c. the investigation was politically motivated</t>
  </si>
  <si>
    <t>d. the results would be too unpredictable</t>
  </si>
  <si>
    <t>EXAMEN 1000/MP3/Q-25 EXAMEN 1000.mp3</t>
  </si>
  <si>
    <t>a. the lack of transparency in the exams</t>
  </si>
  <si>
    <t>b. the lack of objectivity in the selection process</t>
  </si>
  <si>
    <t>c. that many students tend to lie during interviews</t>
  </si>
  <si>
    <t>d. that students are subject to an absurd procedure</t>
  </si>
  <si>
    <t>EXAMEN 1000/MP3/Q-26 EXAMEN 1000.mp3</t>
  </si>
  <si>
    <t>a. Small changes in people's everyday life can make a big difference</t>
  </si>
  <si>
    <t>b. What people say are small sacrifices are actually big efforts</t>
  </si>
  <si>
    <t>c. His effotts will be pointless if certain countries don't reduce their emissions</t>
  </si>
  <si>
    <t>d. Any effort to cut down on emissions and save the planet is futile</t>
  </si>
  <si>
    <t>EXAMEN 1000/MP3/Q-27 EXAMEN 1000.mp3</t>
  </si>
  <si>
    <t>a. was influenced by Protestantism in matters of conscience</t>
  </si>
  <si>
    <t>b. believed in the divinity of Christ</t>
  </si>
  <si>
    <t>c. was against the establishment of a national religion</t>
  </si>
  <si>
    <t>d. was critical of the Church</t>
  </si>
  <si>
    <t>EXAMEN 1000/MP3/Q-28 EXAMEN 1000.mp3</t>
  </si>
  <si>
    <t>a. It has been widely misinterpreted.</t>
  </si>
  <si>
    <t>b. It teaches a productive approach to conflict.</t>
  </si>
  <si>
    <t>c. It can lead to intransigent political positions</t>
  </si>
  <si>
    <t>d. It can lead to more ethical political behavior</t>
  </si>
  <si>
    <t>EXAMEN 1000/MP3/Q-29 EXAMEN 1000.mp3</t>
  </si>
  <si>
    <t>a. is not enough to remember the fallen</t>
  </si>
  <si>
    <t>b. idealizes war, which is despicable</t>
  </si>
  <si>
    <t>c. has become politicized</t>
  </si>
  <si>
    <t>d. has lost its original meaning</t>
  </si>
  <si>
    <t>EXAMEN 1000/MP3/Q-30 EXAMEN 1000.mp3</t>
  </si>
  <si>
    <t>a. describe major events such as war on a human scale</t>
  </si>
  <si>
    <t>b. limit the scope to a short time period.</t>
  </si>
  <si>
    <t>c. portray historical heroes in an objective way.</t>
  </si>
  <si>
    <t>d. show events the way people experienced them at the time.</t>
  </si>
  <si>
    <t>EXAMEN 1000/MP3/Q-31 EXAMEN 1000.mp3</t>
  </si>
  <si>
    <t>a. need the satisfaction given by material goods.</t>
  </si>
  <si>
    <t>b. fear losing their living standard due to the crisis.</t>
  </si>
  <si>
    <t>c. demand greater social justice in times of crisis.</t>
  </si>
  <si>
    <t>d. show acceptance towards limiting consumerism.</t>
  </si>
  <si>
    <t>EXAMEN 1000/MP3/Q-32 EXAMEN 1000.mp3</t>
  </si>
  <si>
    <t>a. does not include a variety of voices</t>
  </si>
  <si>
    <t>b. shows only one side of the issues.</t>
  </si>
  <si>
    <t>c. prioritizes profit over substance</t>
  </si>
  <si>
    <t>d. lacks popular appeal</t>
  </si>
  <si>
    <t>EXAMEN 1000/MP3/Q-33 EXAMEN 1000.mp3</t>
  </si>
  <si>
    <t>a. have a number of priority values.</t>
  </si>
  <si>
    <t>b. are a moral example for Iraqi civilians.</t>
  </si>
  <si>
    <t>c. are neglecting moral values.</t>
  </si>
  <si>
    <t>d. require high-ranking officers to have special values.</t>
  </si>
  <si>
    <t>EXAMEN 1000/MP3/Q-34 EXAMEN 1000.mp3</t>
  </si>
  <si>
    <t>a. has created a niche market.</t>
  </si>
  <si>
    <t>b. causes marital discontent.</t>
  </si>
  <si>
    <t>c. is also suffered by women.</t>
  </si>
  <si>
    <t>d. makes men behave childishly.</t>
  </si>
  <si>
    <t>EXAMEN 1000/MP3/Q-35 EXAMEN 1000.mp3</t>
  </si>
  <si>
    <t>a. lead.</t>
  </si>
  <si>
    <t>b. facilitate.</t>
  </si>
  <si>
    <t>c. incentivize.</t>
  </si>
  <si>
    <t>d. educate.</t>
  </si>
  <si>
    <t>EXAMEN 1000/MP3/Q-36 EXAMEN 1000.mp3</t>
  </si>
  <si>
    <t>a. may be progressive.</t>
  </si>
  <si>
    <t>b. may be based on incorrect assumptions.</t>
  </si>
  <si>
    <t>c. may not be obvious.</t>
  </si>
  <si>
    <t>d. may not represent their congregations.</t>
  </si>
  <si>
    <t>EXAMEN 1000/MP3/Q-37 EXAMEN 1000.mp3</t>
  </si>
  <si>
    <t>a. The FDA should have approved it.</t>
  </si>
  <si>
    <t>b. The FDA should have studied it more carefully.</t>
  </si>
  <si>
    <t>c. The scientific review panel should have recommended it.</t>
  </si>
  <si>
    <t>d. The scientific review panel was politically motivated.</t>
  </si>
  <si>
    <t>EXAMEN 1000/MP3/Q-38 EXAMEN 1000.mp3</t>
  </si>
  <si>
    <t>a. They show little understanding for Tibetan rituals</t>
  </si>
  <si>
    <t>b. They are fascinated by Tibetan mysticism</t>
  </si>
  <si>
    <t>c. They interpret Tibetan traditions from their own viewpoint</t>
  </si>
  <si>
    <t>d. They have surprisingly few prejudices about Tibet</t>
  </si>
  <si>
    <t>EXAMEN 1000/MP3/Q-39 EXAMEN 1000.mp3</t>
  </si>
  <si>
    <t>a. All modern ideals of beauty stem from fascism.</t>
  </si>
  <si>
    <t>b. Too much emphasis is placed on outward beauty</t>
  </si>
  <si>
    <t>c. Beauty should not matter in the modern age.</t>
  </si>
  <si>
    <t>d. Beauty is perceived differently by everyone</t>
  </si>
  <si>
    <t>EXAMEN 1000/MP3/Q-40 EXAMEN 1000.mp3</t>
  </si>
  <si>
    <t>a. They rebel against them and try to find a remedy</t>
  </si>
  <si>
    <t>b. They start pitying themselves</t>
  </si>
  <si>
    <t>c. They project their own failures onto others</t>
  </si>
  <si>
    <t>d. They look for possible faults in their past behaviour</t>
  </si>
  <si>
    <t>EXAMEN NOV 2012</t>
  </si>
  <si>
    <t>EXAMEN 2000/MP3/Q-01 EXAMEN 2000.mp3</t>
  </si>
  <si>
    <t>EXAMEN 2000/MP3/Q-02 EXAMEN 2000.mp3</t>
  </si>
  <si>
    <t>EXAMEN 2000/MP3/Q-03 EXAMEN 2000.mp3</t>
  </si>
  <si>
    <t>EXAMEN 2000/MP3/Q-04 EXAMEN 2000.mp3</t>
  </si>
  <si>
    <t>EXAMEN 2000/MP3/Q-05 EXAMEN 2000.mp3</t>
  </si>
  <si>
    <t>EXAMEN 2000/MP3/Q-06 EXAMEN 2000.mp3</t>
  </si>
  <si>
    <t>EXAMEN 2000/MP3/Q-07 EXAMEN 2000.mp3</t>
  </si>
  <si>
    <t>EXAMEN 2000/MP3/Q-08 EXAMEN 2000.mp3</t>
  </si>
  <si>
    <t>EXAMEN 2000/MP3/Q-09 EXAMEN 2000.mp3</t>
  </si>
  <si>
    <t>EXAMEN 2000/MP3/Q-10 EXAMEN 2000.mp3</t>
  </si>
  <si>
    <t>EXAMEN 2000/MP3/Q-11 EXAMEN 2000.mp3</t>
  </si>
  <si>
    <t>EXAMEN 2000/MP3/Q-12 EXAMEN 2000.mp3</t>
  </si>
  <si>
    <t>EXAMEN 2000/MP3/Q-13 EXAMEN 2000.mp3</t>
  </si>
  <si>
    <t>EXAMEN 2000/MP3/Q-14 EXAMEN 2000.mp3</t>
  </si>
  <si>
    <t>EXAMEN 2000/MP3/Q-15 EXAMEN 2000.mp3</t>
  </si>
  <si>
    <t>EXAMEN 2000/MP3/Q-16 EXAMEN 2000.mp3</t>
  </si>
  <si>
    <t>EXAMEN 2000/MP3/Q-17 EXAMEN 2000.mp3</t>
  </si>
  <si>
    <t>EXAMEN 2000/MP3/Q-18 EXAMEN 2000.mp3</t>
  </si>
  <si>
    <t>EXAMEN 2000/MP3/Q-19 EXAMEN 2000.mp3</t>
  </si>
  <si>
    <t>EXAMEN 2000/MP3/Q-20 EXAMEN 2000.mp3</t>
  </si>
  <si>
    <t>EXAMEN 2000/MP3/Q-21 EXAMEN 2000.mp3</t>
  </si>
  <si>
    <t>EXAMEN 2000/MP3/Q-22 EXAMEN 2000.mp3</t>
  </si>
  <si>
    <t>EXAMEN 2000/MP3/Q-23 EXAMEN 2000.mp3</t>
  </si>
  <si>
    <t>EXAMEN 2000/MP3/Q-24 EXAMEN 2000.mp3</t>
  </si>
  <si>
    <t>EXAMEN 2000/MP3/Q-25 EXAMEN 2000.mp3</t>
  </si>
  <si>
    <t>EXAMEN 2000/MP3/Q-26 EXAMEN 2000.mp3</t>
  </si>
  <si>
    <t>EXAMEN 2000/MP3/Q-27 EXAMEN 2000.mp3</t>
  </si>
  <si>
    <t>EXAMEN 2000/MP3/Q-28 EXAMEN 2000.mp3</t>
  </si>
  <si>
    <t>EXAMEN 2000/MP3/Q-29 EXAMEN 2000.mp3</t>
  </si>
  <si>
    <t>EXAMEN 2000/MP3/Q-30 EXAMEN 2000.mp3</t>
  </si>
  <si>
    <t>EXAMEN 2000/MP3/Q-31 EXAMEN 2000.mp3</t>
  </si>
  <si>
    <t>EXAMEN 2000/MP3/Q-32 EXAMEN 2000.mp3</t>
  </si>
  <si>
    <t>EXAMEN 2000/MP3/Q-33 EXAMEN 2000.mp3</t>
  </si>
  <si>
    <t>EXAMEN 2000/MP3/Q-34 EXAMEN 2000.mp3</t>
  </si>
  <si>
    <t>EXAMEN 2000/MP3/Q-35 EXAMEN 2000.mp3</t>
  </si>
  <si>
    <t>EXAMEN 2000/MP3/Q-36 EXAMEN 2000.mp3</t>
  </si>
  <si>
    <t>EXAMEN 2000/MP3/Q-37 EXAMEN 2000.mp3</t>
  </si>
  <si>
    <t>EXAMEN 2000/MP3/Q-38 EXAMEN 2000.mp3</t>
  </si>
  <si>
    <t>EXAMEN 2000/MP3/Q-39 EXAMEN 2000.mp3</t>
  </si>
  <si>
    <t>EXAMEN 2000/MP3/Q-40 EXAMEN 2000.mp3</t>
  </si>
  <si>
    <t>8 SELFCORRECTION</t>
  </si>
  <si>
    <t>9 SELFCORRECTION</t>
  </si>
  <si>
    <t>09</t>
  </si>
  <si>
    <t>08</t>
  </si>
  <si>
    <t>07</t>
  </si>
  <si>
    <t>06</t>
  </si>
  <si>
    <t>05</t>
  </si>
  <si>
    <t>04</t>
  </si>
  <si>
    <t>03</t>
  </si>
  <si>
    <t>02</t>
  </si>
  <si>
    <t>01</t>
  </si>
  <si>
    <r>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&lt;u&gt;</t>
    </r>
    <r>
      <rPr>
        <u/>
        <sz val="11"/>
        <color theme="1"/>
        <rFont val="Calibri"/>
        <family val="2"/>
        <scheme val="minor"/>
      </rPr>
      <t>Much of the money came from the National Heritage Memorial Fund (NHMF) through an 894,700 pound grant&lt;/u&gt;. &lt;B&gt;</t>
    </r>
    <r>
      <rPr>
        <i/>
        <u/>
        <sz val="11"/>
        <color theme="1"/>
        <rFont val="Calibri"/>
        <family val="2"/>
        <scheme val="minor"/>
      </rPr>
      <t>Note: A ‘grant’ is a form of subsidy&lt;/B&gt;.</t>
    </r>
  </si>
  <si>
    <t>d) &lt;b&gt;Was purchased by subsidy.&lt;/b&gt;</t>
  </si>
  <si>
    <t>1.- Which of the following is &lt;b&gt;true&lt;/b&gt;?</t>
  </si>
  <si>
    <t>a) The &lt;b&gt;summit&lt;/b&gt; on Afghanistan’s future is the first of its kind</t>
  </si>
  <si>
    <r>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&lt;u&gt;</t>
    </r>
    <r>
      <rPr>
        <u/>
        <sz val="11"/>
        <color theme="1"/>
        <rFont val="Calibri"/>
        <family val="2"/>
        <scheme val="minor"/>
      </rPr>
      <t>Prosecutors say the fraudsters used false identities to transfer money back to Romania from abroad&lt;/u&gt;.</t>
    </r>
    <r>
      <rPr>
        <sz val="11"/>
        <color theme="1"/>
        <rFont val="Calibri"/>
        <family val="2"/>
        <scheme val="minor"/>
      </rPr>
      <t xml:space="preserve">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r>
  </si>
  <si>
    <t>b) &lt;b&gt;Efforts are being made to eliminate corruption in the military&lt;/b&gt;</t>
  </si>
  <si>
    <t>c)&lt;b&gt; During a naval exercise&lt;/b&gt;</t>
  </si>
  <si>
    <r>
      <t>Somewhere in the Netherlands, a post woman is in trouble. When I visited her, bad health, snow and ice and chaos in her personal life had left her months behind on her deliveries. &lt;u&gt;</t>
    </r>
    <r>
      <rPr>
        <u/>
        <sz val="11"/>
        <color theme="1"/>
        <rFont val="Calibri"/>
        <family val="2"/>
        <scheme val="minor"/>
      </rPr>
      <t xml:space="preserve">She rents a privatized ex-council flat with her partner and so many crates of mail had built up that is was getting hard to move around&lt;/u&gt;. </t>
    </r>
    <r>
      <rPr>
        <sz val="11"/>
        <color theme="1"/>
        <rFont val="Calibri"/>
        <family val="2"/>
        <scheme val="minor"/>
      </rPr>
      <t>Twice a week, one of the private mail companies she was working for dropped off three or four crates of letters, magazines and catalogues. She was sorting and delivering the new crates but the winter backlog was difficult to clear.</t>
    </r>
    <r>
      <rPr>
        <i/>
        <sz val="11"/>
        <color theme="1"/>
        <rFont val="Calibri"/>
        <family val="2"/>
        <scheme val="minor"/>
      </rPr>
      <t xml:space="preserve"> Note: The mail has built up because she has fallen behind with her deliveries so she has an excess to deliver. &lt;b&gt;</t>
    </r>
    <r>
      <rPr>
        <sz val="11"/>
        <color theme="1"/>
        <rFont val="Calibri"/>
        <family val="2"/>
        <scheme val="minor"/>
      </rPr>
      <t>Note: The mail has built up because she has fallen behind with her deliveries so she has an excess to deliver.&lt;/b&gt;</t>
    </r>
  </si>
  <si>
    <t>b) &lt;b&gt;The post woman has an excess of mail to deliver&lt;/b&gt;</t>
  </si>
  <si>
    <r>
      <t>A national newspaper has been accused of hacking into the mobile phones of crime victims. Journalists at the News of the World have already been caught secretly listening to voicemails of celebs to get stories. z&lt;u&gt;</t>
    </r>
    <r>
      <rPr>
        <u/>
        <sz val="11"/>
        <color theme="1"/>
        <rFont val="Calibri"/>
        <family val="2"/>
        <scheme val="minor"/>
      </rPr>
      <t>But now it seems things might have gone further and police are investigating&lt;/u&gt;.</t>
    </r>
    <r>
      <rPr>
        <sz val="11"/>
        <color theme="1"/>
        <rFont val="Calibri"/>
        <family val="2"/>
        <scheme val="minor"/>
      </rPr>
      <t xml:space="preserve"> In one case, it’s claimed people listened to the messages of parents desperately trying to find their missing daughter.</t>
    </r>
  </si>
  <si>
    <t>c) &lt;b&gt;The situation is being examined&lt;/b&gt;</t>
  </si>
  <si>
    <r>
      <t>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&lt;u&gt;</t>
    </r>
    <r>
      <rPr>
        <u/>
        <sz val="11"/>
        <color theme="1"/>
        <rFont val="Calibri"/>
        <family val="2"/>
        <scheme val="minor"/>
      </rPr>
      <t>The researchers used a nerve graft to form a bridge across the scar&lt;/u&gt;</t>
    </r>
    <r>
      <rPr>
        <sz val="11"/>
        <color theme="1"/>
        <rFont val="Calibri"/>
        <family val="2"/>
        <scheme val="minor"/>
      </rPr>
      <t>at the same time as injecting an enzyme which attacked the inhibitory molecules. Three months later, tests showed the mice had recovered 80-100% of breathing function. Researchers hope to begin trials in humans. &lt;b&gt;</t>
    </r>
    <r>
      <rPr>
        <i/>
        <sz val="11"/>
        <color theme="1"/>
        <rFont val="Calibri"/>
        <family val="2"/>
        <scheme val="minor"/>
      </rPr>
      <t>Note: A ‘scar’ is the result of damaged tissue and the bridge is the means to bypass it.&lt;/b&gt;</t>
    </r>
  </si>
  <si>
    <t xml:space="preserve">d) &lt;b&gt;Researchers have found a way to bypass blemished tissue.&lt;/b&gt;  </t>
  </si>
  <si>
    <r>
      <t>In 1957 a 30-year-old engineer named Max Mathews got an IBM 704 mainframe computer at the Bell Telephone Laboratories in Murray Hill, N. J., to generate 17 seconds of music, then recorded the result for prosperity</t>
    </r>
    <r>
      <rPr>
        <u/>
        <sz val="11"/>
        <color theme="1"/>
        <rFont val="Calibri"/>
        <family val="2"/>
        <scheme val="minor"/>
      </rPr>
      <t>. &lt;u&gt;While not the first person to make sound with a computer, Max was the first one to do so with a combination of hardware and software that allowed the user to specify what tones he wanted to hear</t>
    </r>
    <r>
      <rPr>
        <sz val="11"/>
        <color theme="1"/>
        <rFont val="Calibri"/>
        <family val="2"/>
        <scheme val="minor"/>
      </rPr>
      <t xml:space="preserve">.&lt;/u&gt;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 </t>
    </r>
    <r>
      <rPr>
        <i/>
        <sz val="11"/>
        <color theme="1"/>
        <rFont val="Calibri"/>
        <family val="2"/>
        <scheme val="minor"/>
      </rPr>
      <t>Note: The text states that he wasn’t the first person to make sound but could specify tones, that is pitch.</t>
    </r>
  </si>
  <si>
    <t>a) &lt;b&gt;Max Mathews was the first person to select pitch on a computer.&lt;/b&gt;</t>
  </si>
  <si>
    <r>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t>
    </r>
    <r>
      <rPr>
        <u/>
        <sz val="11"/>
        <color theme="1"/>
        <rFont val="Calibri"/>
        <family val="2"/>
        <scheme val="minor"/>
      </rPr>
      <t xml:space="preserve">. &lt;u&gt;Children are going to fail at stuff. They do not have to be taught how to do it. But it probably doesn’t hurt them to see that it happens to everyone&lt;/u&gt;. </t>
    </r>
    <r>
      <rPr>
        <sz val="11"/>
        <color theme="1"/>
        <rFont val="Calibri"/>
        <family val="2"/>
        <scheme val="minor"/>
      </rPr>
      <t>And, particularly when the kids who don’t shine in the classroom get a chance to show off in some other arena, I reckon that affording them a moment of glory is an admirable thing.</t>
    </r>
  </si>
  <si>
    <t>c) &lt;b&gt;It does no harm to expose children to failure.&lt;/B&gt;</t>
  </si>
  <si>
    <r>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t>
    </r>
    <r>
      <rPr>
        <u/>
        <sz val="11"/>
        <color theme="1"/>
        <rFont val="Calibri"/>
        <family val="2"/>
        <scheme val="minor"/>
      </rPr>
      <t>, &lt;u&gt;so that giant losses from their investment operations would not force the tax payers to step in again.&lt;/u&gt;</t>
    </r>
  </si>
  <si>
    <t>c) &lt;b&gt;Mr. Osborne supports the protection of the tax payer from the banks’ potential losses.&lt;/b&gt;</t>
  </si>
  <si>
    <r>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t>
    </r>
    <r>
      <rPr>
        <u/>
        <sz val="11"/>
        <color theme="1"/>
        <rFont val="Calibri"/>
        <family val="2"/>
        <scheme val="minor"/>
      </rPr>
      <t>.&lt;u&gt; If it comes to that, Ms. Lagarde’s objective will shift from preventing a restructuring to managing it</t>
    </r>
    <r>
      <rPr>
        <sz val="11"/>
        <color theme="1"/>
        <rFont val="Calibri"/>
        <family val="2"/>
        <scheme val="minor"/>
      </rPr>
      <t>.&lt;/u&gt;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r>
  </si>
  <si>
    <t>a) &lt;b&gt;Ms. Lagarde’s focus as managing director will depend on circumstances.&lt;/b&gt;</t>
  </si>
  <si>
    <t>b)&lt;b&gt; To transport goods&lt;/b&gt;</t>
  </si>
  <si>
    <t>c) &lt;b&gt;More than 50% of hijackings were carried out by Somali pirates in 2009&lt;/b&gt;</t>
  </si>
  <si>
    <t>c) &lt;b&gt;They show great compassion&lt;/b&gt;</t>
  </si>
  <si>
    <r>
      <t xml:space="preserve">&lt;u&gt;President Mahmoud Ahmadinejad claimed today that Iran </t>
    </r>
    <r>
      <rPr>
        <u/>
        <sz val="11"/>
        <color theme="1"/>
        <rFont val="Calibri"/>
        <family val="2"/>
        <scheme val="minor"/>
      </rPr>
      <t xml:space="preserve">has produced its first batch of uranium enriched to a higher level, just two days after it said it began the process as part of its controversial nuclear program.&lt;/u&gt;                                                                                                                                                                                                                                                                           </t>
    </r>
    <r>
      <rPr>
        <sz val="11"/>
        <color theme="1"/>
        <rFont val="Calibri"/>
        <family val="2"/>
        <scheme val="minor"/>
      </rPr>
      <t>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t>
    </r>
    <r>
      <rPr>
        <u/>
        <sz val="11"/>
        <color theme="1"/>
        <rFont val="Calibri"/>
        <family val="2"/>
        <scheme val="minor"/>
      </rPr>
      <t>. &lt;u&gt;But western countries say Tehran is not capable of turning the material into the fuel rods needed by the reactor</t>
    </r>
    <r>
      <rPr>
        <sz val="11"/>
        <color theme="1"/>
        <rFont val="Calibri"/>
        <family val="2"/>
        <scheme val="minor"/>
      </rPr>
      <t xml:space="preserve"> and fear that Iran wants to enrich the uranium to make nuclear weapons. &lt;/u&gt;</t>
    </r>
  </si>
  <si>
    <t>a) &lt;b&gt;Enriching its uranium supply&lt;/b&gt;</t>
  </si>
  <si>
    <t>b)&lt;b&gt; Don’t believe Iran can prepare the reactor for its designated task&lt;/b&gt;</t>
  </si>
  <si>
    <r>
      <t>&lt;u&gt;The strangest of all the strange things about North Korea, is that it’s surprisingly easy to go there.&lt;/u&gt;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t>
    </r>
    <r>
      <rPr>
        <u/>
        <sz val="11"/>
        <color theme="1"/>
        <rFont val="Calibri"/>
        <family val="2"/>
        <scheme val="minor"/>
      </rPr>
      <t>, &lt;u&gt;but because, as becomes clear when we see the luggage carousel, we’re the only passengers who’ve failed to pack at least two flat-screen TVs.&lt;/u&gt;</t>
    </r>
    <r>
      <rPr>
        <sz val="11"/>
        <color theme="1"/>
        <rFont val="Calibri"/>
        <family val="2"/>
        <scheme val="minor"/>
      </rPr>
      <t xml:space="preserve">  And when we meet our guides by the departures board they’re smiling expansively. &lt;b&gt;</t>
    </r>
    <r>
      <rPr>
        <i/>
        <sz val="11"/>
        <color theme="1"/>
        <rFont val="Calibri"/>
        <family val="2"/>
        <scheme val="minor"/>
      </rPr>
      <t>Note: The first question is answered by the first sentence of the text and the rest of the first paragraph continues to explain why North Korea is accessible, or easy to visit.&lt;/b&gt;</t>
    </r>
  </si>
  <si>
    <t>c) &lt;b&gt;Readily accessible&lt;/b&gt;</t>
  </si>
  <si>
    <t>a) &lt;b&gt;They are not carrying electronic gadgets&lt;/b&gt;</t>
  </si>
  <si>
    <t>d)&lt;b&gt; The heat  &lt;/b&gt;</t>
  </si>
  <si>
    <t>b)&lt;b&gt; A comfortable life&lt;/b&gt;</t>
  </si>
  <si>
    <r>
      <t>Kathryn Bigelow has become the first woman to win the best directing Oscar, as her Iraq war drama ‘The Hurt Locker’ took six prizes, including best film.                                                                            &lt;u&gt;</t>
    </r>
    <r>
      <rPr>
        <u/>
        <sz val="11"/>
        <color theme="1"/>
        <rFont val="Calibri"/>
        <family val="2"/>
        <scheme val="minor"/>
      </rPr>
      <t xml:space="preserve">“It’s the moment of a lifetime,” said Bigelow – only the fifth woman to be nominated in Academy Awards history.&lt;/u&gt;                                                                                                                                             </t>
    </r>
    <r>
      <rPr>
        <sz val="11"/>
        <color theme="1"/>
        <rFont val="Calibri"/>
        <family val="2"/>
        <scheme val="minor"/>
      </rPr>
      <t>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&lt;u&gt;</t>
    </r>
    <r>
      <rPr>
        <u/>
        <sz val="11"/>
        <color theme="1"/>
        <rFont val="Calibri"/>
        <family val="2"/>
        <scheme val="minor"/>
      </rPr>
      <t xml:space="preserve">Bullock picked up the coveted best actress award, just a day after winning the Razzie for worst actress, for her role in ‘All About Steve.’ &lt;/u&gt;                                                                                                                  </t>
    </r>
    <r>
      <rPr>
        <sz val="11"/>
        <color theme="1"/>
        <rFont val="Calibri"/>
        <family val="2"/>
        <scheme val="minor"/>
      </rPr>
      <t xml:space="preserve">Christoph Waltz and Mo’Nique were winners of the supporting acting awards, categories they were both widely tipped to win. Waltz won for his role as a diabolical SS officer in ‘Inglorious Bastards’, while Mo’ Nique triumphed for her role in ‘Precious.’ </t>
    </r>
  </si>
  <si>
    <t xml:space="preserve">d) &lt;b&gt;One of five women who have been nominated for an Oscar&lt;/b&gt; </t>
  </si>
  <si>
    <t>a) &lt;b&gt;Won awards for best and worst actress&lt;/b&gt;</t>
  </si>
  <si>
    <r>
      <t>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&lt;u&gt;</t>
    </r>
    <r>
      <rPr>
        <u/>
        <sz val="11"/>
        <color theme="1"/>
        <rFont val="Calibri"/>
        <family val="2"/>
        <scheme val="minor"/>
      </rPr>
      <t>And if they get caught, a robber can expect to be killed before the authorities arrive. The police say the presence of vigilante groups is “welcome.” “They pre-date the police, and they compliment our efforts</t>
    </r>
    <r>
      <rPr>
        <sz val="11"/>
        <color theme="1"/>
        <rFont val="Calibri"/>
        <family val="2"/>
        <scheme val="minor"/>
      </rPr>
      <t>.&lt;/u&gt;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&lt;b&gt;</t>
    </r>
    <r>
      <rPr>
        <i/>
        <sz val="11"/>
        <color theme="1"/>
        <rFont val="Calibri"/>
        <family val="2"/>
        <scheme val="minor"/>
      </rPr>
      <t>Note: The first question is answered by the second sentence of underlined text. ‘ They compliment our efforts’ is another way to say: ‘They help us’. The first sentence of underlined text answers the second question as the vigilantes sometimes kill the robbers.&lt;/b&gt;</t>
    </r>
  </si>
  <si>
    <t>b)&lt;b&gt; Are a form of assistance to the police&lt;/b&gt;</t>
  </si>
  <si>
    <t>d) &lt;b&gt;They sometimes punish robbers themselves&lt;/b&gt;</t>
  </si>
  <si>
    <r>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men”,&lt;u&gt; </t>
    </r>
    <r>
      <rPr>
        <u/>
        <sz val="11"/>
        <color theme="1"/>
        <rFont val="Calibri"/>
        <family val="2"/>
        <scheme val="minor"/>
      </rPr>
      <t xml:space="preserve">Ken and Frankie Tilmouth, who are his ritual caretakers, related through a maternal line. He can’t tell stories in his land or make decisions about the land without their presence and approval. And he fulfills the same role for them on their land.&lt;/u&gt;  </t>
    </r>
    <r>
      <rPr>
        <sz val="11"/>
        <color theme="1"/>
        <rFont val="Calibri"/>
        <family val="2"/>
        <scheme val="minor"/>
      </rPr>
      <t xml:space="preserve">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&lt;u&gt;</t>
    </r>
    <r>
      <rPr>
        <u/>
        <sz val="11"/>
        <color theme="1"/>
        <rFont val="Calibri"/>
        <family val="2"/>
        <scheme val="minor"/>
      </rPr>
      <t>What amazes me about John is that he’s still open-hearted, not bitter or angry,</t>
    </r>
    <r>
      <rPr>
        <sz val="11"/>
        <color theme="1"/>
        <rFont val="Calibri"/>
        <family val="2"/>
        <scheme val="minor"/>
      </rPr>
      <t xml:space="preserve"> &lt;/u&gt;though he’d be more than justified. He wants to share his story, wants to invite outsiders to his land, wants different peoples to understand each other.</t>
    </r>
  </si>
  <si>
    <t>c) &lt;b&gt;He is surprisingly warm and friendly&lt;/b&gt;</t>
  </si>
  <si>
    <t>d) &lt;b&gt;Make decisions together&lt;/b&gt;</t>
  </si>
  <si>
    <r>
      <t>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&lt;u&gt;</t>
    </r>
    <r>
      <rPr>
        <u/>
        <sz val="11"/>
        <color theme="1"/>
        <rFont val="Calibri"/>
        <family val="2"/>
        <scheme val="minor"/>
      </rPr>
      <t xml:space="preserve">“I don’t mind them really,” says Viera. “We put up with them pretty well actually, considering they’ve built their homes on land which doesn’t belong to them.&lt;/u&gt; </t>
    </r>
    <r>
      <rPr>
        <sz val="11"/>
        <color theme="1"/>
        <rFont val="Calibri"/>
        <family val="2"/>
        <scheme val="minor"/>
      </rPr>
      <t>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t>
    </r>
    <r>
      <rPr>
        <u/>
        <sz val="11"/>
        <color theme="1"/>
        <rFont val="Calibri"/>
        <family val="2"/>
        <scheme val="minor"/>
      </rPr>
      <t>. &lt;u&gt;But the public money is also used to help the Roma. We help some people one day, others the next.”&lt;/u&gt;   &lt;b&gt;</t>
    </r>
    <r>
      <rPr>
        <i/>
        <u/>
        <sz val="11"/>
        <color theme="1"/>
        <rFont val="Calibri"/>
        <family val="2"/>
        <scheme val="minor"/>
      </rPr>
      <t>Note: The phrasal verb ‘to put up with’ is a synonym for ‘tolerate’.    If you are ‘not exempt’ from something, it means you are included.&lt;/b&gt;</t>
    </r>
  </si>
  <si>
    <t>b) &lt;b&gt;Tolerates the Roma&lt;/b&gt;</t>
  </si>
  <si>
    <t>d) &lt;b&gt;The Roma are not exempt from financial assistance&lt;/b&gt;</t>
  </si>
  <si>
    <r>
      <t>The European Commission has cleared the way for a genetically modified potato to be grown in the E.U.-only the second GM product it has allowed. The starch of the Amflora potato can be utilised for industrial uses like making paper, and animal feed- but not for human consumption.                                                                                                                                                      &lt;u&gt;</t>
    </r>
    <r>
      <rPr>
        <u/>
        <sz val="11"/>
        <color theme="1"/>
        <rFont val="Calibri"/>
        <family val="2"/>
        <scheme val="minor"/>
      </rPr>
      <t>Environmental groups have strongly opposed the introduction of GM crops&lt;/u&gt;</t>
    </r>
    <r>
      <rPr>
        <sz val="11"/>
        <color theme="1"/>
        <rFont val="Calibri"/>
        <family val="2"/>
        <scheme val="minor"/>
      </rPr>
      <t>. But the Commission insisted its decision was based on “a considerable volume of sound science.”                              The Amflora variety was developed by German chemical and biotechnology firm BASF, for the special qualities of its starch</t>
    </r>
    <r>
      <rPr>
        <u/>
        <sz val="11"/>
        <color theme="1"/>
        <rFont val="Calibri"/>
        <family val="2"/>
        <scheme val="minor"/>
      </rPr>
      <t>.&lt;u&gt; But it has been a political hot potato for seven years</t>
    </r>
    <r>
      <rPr>
        <sz val="11"/>
        <color theme="1"/>
        <rFont val="Calibri"/>
        <family val="2"/>
        <scheme val="minor"/>
      </rPr>
      <t>.&lt;/u&gt;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&lt;u&gt;</t>
    </r>
    <r>
      <rPr>
        <u/>
        <sz val="11"/>
        <color theme="1"/>
        <rFont val="Calibri"/>
        <family val="2"/>
        <scheme val="minor"/>
      </rPr>
      <t>and that it is very hard to stop them cross-pollinating with non-GM crops.&lt;/u&gt; &lt;b&gt;Note: The first two underlined sentences answer the first question showing that there are different viewpoints about the genetically modified potato. The second question is answered by the last sentence. ‘Cross-pollinating’ indicates mixing. &lt;/b&gt;</t>
    </r>
  </si>
  <si>
    <t>a)&lt;b&gt; Has been met with conflicting viewpoints&lt;/b&gt;</t>
  </si>
  <si>
    <t>c) &lt;b&gt;They may mix with traditional crops&lt;/b&gt;</t>
  </si>
  <si>
    <r>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&lt;u&gt;</t>
    </r>
    <r>
      <rPr>
        <u/>
        <sz val="11"/>
        <color theme="1"/>
        <rFont val="Calibri"/>
        <family val="2"/>
        <scheme val="minor"/>
      </rPr>
      <t>Regular diving expeditions to cull lionfish have been authorized by Cayman Islands Department of the Environment in collaboration with the Institute. But no-one is sure that anyone can catch enough lionfish to make a difference&lt;/u&gt;.</t>
    </r>
    <r>
      <rPr>
        <sz val="11"/>
        <color theme="1"/>
        <rFont val="Calibri"/>
        <family val="2"/>
        <scheme val="minor"/>
      </rPr>
      <t xml:space="preserve"> One study in the Bahamas showed that lionfish reduced native species populations on one reef by almost 80%.</t>
    </r>
  </si>
  <si>
    <t>b) &lt;b&gt;The prospect of reducing the lionfish population remains in doubt.&lt;/b&gt;</t>
  </si>
  <si>
    <t>c) &lt;b&gt;The professed merchants used counterfeit credentials &lt;/b&gt;</t>
  </si>
  <si>
    <r>
      <t>A Libyan-owned &lt;u&gt;</t>
    </r>
    <r>
      <rPr>
        <u/>
        <sz val="11"/>
        <color theme="1"/>
        <rFont val="Calibri"/>
        <family val="2"/>
        <scheme val="minor"/>
      </rPr>
      <t>merchant cargo ship&lt;/u&gt;</t>
    </r>
    <r>
      <rPr>
        <sz val="11"/>
        <color theme="1"/>
        <rFont val="Calibri"/>
        <family val="2"/>
        <scheme val="minor"/>
      </rPr>
      <t xml:space="preserve">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&lt;U&gt;</t>
    </r>
    <r>
      <rPr>
        <u/>
        <sz val="11"/>
        <color theme="1"/>
        <rFont val="Calibri"/>
        <family val="2"/>
        <scheme val="minor"/>
      </rPr>
      <t>Somali attacks accounted for more than half of all hijackings worldwide last year&lt;/u&gt;,</t>
    </r>
    <r>
      <rPr>
        <sz val="11"/>
        <color theme="1"/>
        <rFont val="Calibri"/>
        <family val="2"/>
        <scheme val="minor"/>
      </rPr>
      <t xml:space="preserve"> the bureau said, with the numbers of attacks and hijackings both rising sharply compared to 2008. &lt;b&gt;</t>
    </r>
    <r>
      <rPr>
        <i/>
        <sz val="11"/>
        <color theme="1"/>
        <rFont val="Calibri"/>
        <family val="2"/>
        <scheme val="minor"/>
      </rPr>
      <t>Note: ‘Last year’ refers to 2009 as the article is dated 2010.&lt;/b&gt;</t>
    </r>
  </si>
  <si>
    <r>
      <t xml:space="preserve">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victim.&lt;u&gt; </t>
    </r>
    <r>
      <rPr>
        <u/>
        <sz val="11"/>
        <color theme="1"/>
        <rFont val="Calibri"/>
        <family val="2"/>
        <scheme val="minor"/>
      </rPr>
      <t xml:space="preserve">People live with conflict and poverty, but there’s so much humanity, a deep instinct to help one another.”&lt;/u&gt;                                                                                                                                                      </t>
    </r>
    <r>
      <rPr>
        <sz val="11"/>
        <color theme="1"/>
        <rFont val="Calibri"/>
        <family val="2"/>
        <scheme val="minor"/>
      </rPr>
      <t>The subjects of Rankin’s photos stare out of the white canvas. It is only reading the captions that you get a sense of the reality: a country wracked by violence, lives shattered by loss and upheaval. &lt;U&lt;</t>
    </r>
    <r>
      <rPr>
        <u/>
        <sz val="11"/>
        <color theme="1"/>
        <rFont val="Calibri"/>
        <family val="2"/>
        <scheme val="minor"/>
      </rPr>
      <t>But these people are not presented as victims but ordinary folk&lt;/u&gt;</t>
    </r>
    <r>
      <rPr>
        <sz val="11"/>
        <color theme="1"/>
        <rFont val="Calibri"/>
        <family val="2"/>
        <scheme val="minor"/>
      </rPr>
      <t>,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t>
    </r>
    <r>
      <rPr>
        <u/>
        <sz val="11"/>
        <color theme="1"/>
        <rFont val="Calibri"/>
        <family val="2"/>
        <scheme val="minor"/>
      </rPr>
      <t>.&lt;u&gt; I wanted it to be like looking in the mirror.&lt;/u&gt;” &lt;b&gt;</t>
    </r>
    <r>
      <rPr>
        <i/>
        <u/>
        <sz val="11"/>
        <color theme="1"/>
        <rFont val="Calibri"/>
        <family val="2"/>
        <scheme val="minor"/>
      </rPr>
      <t>Note: The last two pieces of underlined text answer the second question.&lt;/b&gt;</t>
    </r>
  </si>
  <si>
    <r>
      <t>&lt;u&gt;Leaving the house in your pyjamas is nothing unusual in Shanghai, where locals blame their not getting dressed on high temperatures.&lt;/u&gt;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t>
    </r>
    <r>
      <rPr>
        <u/>
        <sz val="11"/>
        <color theme="1"/>
        <rFont val="Calibri"/>
        <family val="2"/>
        <scheme val="minor"/>
      </rPr>
      <t>. &lt;u&gt;The first- the wealthy, who wore pyjamas to demonstrate that they enjoyed an easy life.</t>
    </r>
    <r>
      <rPr>
        <sz val="11"/>
        <color theme="1"/>
        <rFont val="Calibri"/>
        <family val="2"/>
        <scheme val="minor"/>
      </rPr>
      <t xml:space="preserve"> &lt;/u&gt;The second - people who worked in the entertainment industry, such as dancers, because they thought it charming. Up to the 1970s, wearing pyjamas became increasingly more popular, and seeing them in the street became part of the urban landscape of Shanghai. &lt;b&gt;</t>
    </r>
    <r>
      <rPr>
        <i/>
        <sz val="11"/>
        <color theme="1"/>
        <rFont val="Calibri"/>
        <family val="2"/>
        <scheme val="minor"/>
      </rPr>
      <t>Note: An easy life is a synonym for a comfortable life.&lt;/b&gt;</t>
    </r>
  </si>
  <si>
    <t>a) is used to prevent gatherings of teenagers</t>
  </si>
  <si>
    <t>b) has been proven to be a health hazard</t>
  </si>
  <si>
    <t>a) was accused of breaking a pedicure chair</t>
  </si>
  <si>
    <t>b) was unsatisfied with the treatments</t>
  </si>
  <si>
    <t>c) was charged for services she never received</t>
  </si>
  <si>
    <t>d) was asked by the manageress never to come back</t>
  </si>
  <si>
    <t>a) was unfortunate on his 13th birthday</t>
  </si>
  <si>
    <t>b) was holding an umbrella.</t>
  </si>
  <si>
    <t>c) was treated for burns at the hospital</t>
  </si>
  <si>
    <t>d) was attending an aviation event.</t>
  </si>
  <si>
    <t>a) explained that he would return soon.</t>
  </si>
  <si>
    <t>b) needed no help to escape from the bull.</t>
  </si>
  <si>
    <t>c) was cheered on by the spectators.</t>
  </si>
  <si>
    <t>d) left part of his clothing in the bullring.</t>
  </si>
  <si>
    <t>a) The hat had a plastic soldier with binoculars.</t>
  </si>
  <si>
    <t>b) The boy was proud of American soldiers.</t>
  </si>
  <si>
    <t>c) The plastic soldiers did not look like Americans.</t>
  </si>
  <si>
    <t>d) The principal banned the boy from school.</t>
  </si>
  <si>
    <t>b) wants to stop government aid being spent on soft drinks.</t>
  </si>
  <si>
    <t>c) wants to ban soft drinks as they can cause obesity.</t>
  </si>
  <si>
    <t>d) has started a campaign to fight against diabetes.</t>
  </si>
  <si>
    <t>a) The woman gave the police a poor description of the thief.</t>
  </si>
  <si>
    <t>b) Town residents recognized the thief because of his hair.</t>
  </si>
  <si>
    <t>c) Police released a photo of the wrong suspect.</t>
  </si>
  <si>
    <t>d) Despite some problems, the man in the photo was recognizable.</t>
  </si>
  <si>
    <t>b) The plumbers found her rings in three feet of water.</t>
  </si>
  <si>
    <t>c) The technicians found the wedding band and her earrings.</t>
  </si>
  <si>
    <t>a) used a big stick to threaten his neighbor.</t>
  </si>
  <si>
    <t>c) was confronted while tidying up his backyard.</t>
  </si>
  <si>
    <t>d) was asked to return the bananas he had stolen.</t>
  </si>
  <si>
    <t>a) the sheriff had to wait for the teen to show up.</t>
  </si>
  <si>
    <t>b) the sheriff called the parents before meeting with the teen.</t>
  </si>
  <si>
    <t>d) the teen thought he was meeting with a drug dealer.</t>
  </si>
  <si>
    <t>b) have difficulties combining childcare with work.</t>
  </si>
  <si>
    <t>c) are not usually thoroughly informed about childcare.</t>
  </si>
  <si>
    <t>d) get lots of external pressure about childcare.</t>
  </si>
  <si>
    <t>a) The bad parenting habits that still persist.</t>
  </si>
  <si>
    <t>b) The additives found in baby food.</t>
  </si>
  <si>
    <t>c) The reduction in social welfare.</t>
  </si>
  <si>
    <t>d) The stress that parents pass on to babies.</t>
  </si>
  <si>
    <t>a) politicians are not realistic enough about budgeting.</t>
  </si>
  <si>
    <t>c) there is no room for more cuts in public services</t>
  </si>
  <si>
    <t>d) an expert team should be in charge of balancing the budget.</t>
  </si>
  <si>
    <t>a) indignant.</t>
  </si>
  <si>
    <t>b) objective.</t>
  </si>
  <si>
    <t>c) despondent.</t>
  </si>
  <si>
    <t>d) alarmist.</t>
  </si>
  <si>
    <t>a) are necessary to preserve the welfare state.</t>
  </si>
  <si>
    <t>b) are conducive to reducing debts for future generations.</t>
  </si>
  <si>
    <t>d) particularly punish families with children.</t>
  </si>
  <si>
    <t>a) They will eventually benefit from the current cutbacks.</t>
  </si>
  <si>
    <t>b) Their prospects for the future are rather dismal.</t>
  </si>
  <si>
    <t>c) They will be used to austerity when they grow up.</t>
  </si>
  <si>
    <t>d) Their expectations will be lower than those of today’s adults’.</t>
  </si>
  <si>
    <t>a) the former would suffer a terrible defeat.</t>
  </si>
  <si>
    <t>b) the former would win in the long run.</t>
  </si>
  <si>
    <t>c) the latter would try to invade U.S. territory.</t>
  </si>
  <si>
    <t>d) the latter would attack U.S. allies in Asia</t>
  </si>
  <si>
    <t>a) Because of their mutual economic dependence.</t>
  </si>
  <si>
    <t>b) Because of their fear of each other.</t>
  </si>
  <si>
    <t>c) Because of their supremacy on the world market.</t>
  </si>
  <si>
    <t>d) Because of their collaboration in the economic field.</t>
  </si>
  <si>
    <t>a) leads to better decision-making.</t>
  </si>
  <si>
    <t>b) increases efficiency in the Armed Forces.</t>
  </si>
  <si>
    <t>c) improves motivation among leaders</t>
  </si>
  <si>
    <t>d) leads to difficult choices.</t>
  </si>
  <si>
    <t>a) It leaves little room for improvement by learning from failure</t>
  </si>
  <si>
    <t>b) It leaves little room for a humane approach</t>
  </si>
  <si>
    <t>c) It leads to rigid application of military laws.</t>
  </si>
  <si>
    <t>d) It leads to an increase of complaints about petty mistakes.</t>
  </si>
  <si>
    <t>b) asserts that they pursue a political aim.</t>
  </si>
  <si>
    <t>c) thinks that they are intended to protect bad teachers.</t>
  </si>
  <si>
    <t>d) agrees that they articulate an existing social divide.</t>
  </si>
  <si>
    <t>a) is vital for improving quality at British schools.</t>
  </si>
  <si>
    <t>c) unjustly blames society for bad teaching results.</t>
  </si>
  <si>
    <t>d) should put forward solutions instead of criticising.</t>
  </si>
  <si>
    <t>b) be careful with comments about women.</t>
  </si>
  <si>
    <t>c) defend them against sexist comments.</t>
  </si>
  <si>
    <t>d) open their eyes to sexual discrimination.</t>
  </si>
  <si>
    <t>a) suggests that society's behavior hasn't evolved enough.</t>
  </si>
  <si>
    <t>b) thinks that we have already come a long way.</t>
  </si>
  <si>
    <t>c) laments that we see signs of it in old traditions</t>
  </si>
  <si>
    <t>d) fears that it will never be completely eradicated.</t>
  </si>
  <si>
    <t>a) might not appeal as much to fantasy fans as expected.</t>
  </si>
  <si>
    <t>b) introduces unjustified changes regarding the book.</t>
  </si>
  <si>
    <t>c) follows the recipe for success of former TV series.</t>
  </si>
  <si>
    <t>d) makes innovations that will change the genre of fantasy TV.</t>
  </si>
  <si>
    <t>a) finds the series too demanding on viewers.</t>
  </si>
  <si>
    <t>b) criticises the series for starting in the midst of things.</t>
  </si>
  <si>
    <t>c) says that the series surpasses the books in quality.</t>
  </si>
  <si>
    <t>d) suggests that viewers might get immediately hooked.</t>
  </si>
  <si>
    <t>a) He finds them excessive.</t>
  </si>
  <si>
    <t>b) He finds them positive.</t>
  </si>
  <si>
    <t>c) He expresses no opinion.</t>
  </si>
  <si>
    <t>d) He wants to wait and find out more.</t>
  </si>
  <si>
    <t>a) Nation-wide coordinated immigration policies.</t>
  </si>
  <si>
    <t>b) More liberty for states to design their own policies.</t>
  </si>
  <si>
    <t>c) A realistic analysis of the situation in the country.</t>
  </si>
  <si>
    <t>d) Laws that protect the interests of U.S. citizens.</t>
  </si>
  <si>
    <t>a) has opened up a divide between right and left wing governments.</t>
  </si>
  <si>
    <t>b) is an example of centralised European overregulation.</t>
  </si>
  <si>
    <t>c) shows the benefits of a common European policy.</t>
  </si>
  <si>
    <t>d) is necessary to expand the single European market.</t>
  </si>
  <si>
    <t>a) We should not hastily throw away historical rights.</t>
  </si>
  <si>
    <t>b) Workers need to be protected from exploitation.</t>
  </si>
  <si>
    <t>c) Workers should have more freedom of decision.</t>
  </si>
  <si>
    <t>d) We need a model that combines protection and productivity.</t>
  </si>
  <si>
    <t>5.- According to the article, which statement is true?</t>
  </si>
  <si>
    <t>2.- According to the text, Michelle Fonville</t>
  </si>
  <si>
    <t>7.- According to the article, which statement is true?</t>
  </si>
  <si>
    <t>8.- According to the article, which statement is true?</t>
  </si>
  <si>
    <t>20.- Which of the following drawbacks of a “zero defects” mentality does the author mention?</t>
  </si>
  <si>
    <t>28.- According to the author, what does the U.S. need regarding immigration policies?</t>
  </si>
  <si>
    <t>EXAMEN 1000</t>
  </si>
  <si>
    <t>1.- According to the article, the device</t>
  </si>
  <si>
    <t>3.- According to the article, the boy</t>
  </si>
  <si>
    <t>4.- According to the article, the bullfighter</t>
  </si>
  <si>
    <t>6.- According to the article, Michael Bloomberg</t>
  </si>
  <si>
    <t>9.- According to the article, Winthorp</t>
  </si>
  <si>
    <t>10.- According to the article</t>
  </si>
  <si>
    <t>11.- According to the author, modern parents</t>
  </si>
  <si>
    <t>13.- The author implies that</t>
  </si>
  <si>
    <t>15.- According to the author, the current budgetary policies</t>
  </si>
  <si>
    <t>17.- In the author’s opinion, in the case of a war between U.S. and China</t>
  </si>
  <si>
    <t>19.- According to the writer, a RIF program</t>
  </si>
  <si>
    <t>21.- Regarding Ms. Bousted’s views on class and schools, the writer</t>
  </si>
  <si>
    <t>29.- According to the author, the WTD</t>
  </si>
  <si>
    <t>14.- The tone of this text can be considered</t>
  </si>
  <si>
    <t>22.- The writer suggests that the ATL</t>
  </si>
  <si>
    <t>24.- Regarding sexism, the author</t>
  </si>
  <si>
    <t>26.- The author</t>
  </si>
  <si>
    <t>d) targets teenagers misbehaving in schools</t>
  </si>
  <si>
    <t>c) doesn't affect babies.</t>
  </si>
  <si>
    <t>a) The woman's wedding ring was missing.</t>
  </si>
  <si>
    <t>c) the teen fainted after seeing the sheriff's uniform.</t>
  </si>
  <si>
    <t>a) don't pay enough attention to baby nutrition.</t>
  </si>
  <si>
    <t>16.- How does the author envisage the future of today's children?</t>
  </si>
  <si>
    <t>18.- In the author's opinion, why is an armed conflict between both countries extremely
unlikely?</t>
  </si>
  <si>
    <t>a) finds that they don't correspond to reality.</t>
  </si>
  <si>
    <t>b) defends the teachers' rather than the pupils' interests.</t>
  </si>
  <si>
    <t>a) refrain from praising other women's beauty.</t>
  </si>
  <si>
    <t>30.- Which of the following reflects the author's statements about the labour market?</t>
  </si>
  <si>
    <t>Are Germans ruder than the British? Are Britons more dishonest than Germans? Serious academic research has been done on both sides of the North Sea. There are Britons in Berlin who are shocked by the directness of Germans. 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t>
  </si>
  <si>
    <t>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 Those who do not have a subscription can pay a fee of $100 for the first call, which the company calls its ‘pay-in-a-pinch plan’. Lawyers do not pay to sign on the roster or for the client calls.</t>
  </si>
  <si>
    <t>Lieutenant General James Terry: “I’d like to start by saying thanks for the opportunity to talk to everyone tonight. Now, the insurgents, while still threatening and deadly, are trying hard to stay relevant at this time. What is important is that the insurgents’ position with the people of Afghanistan is continually eroding. 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t>
  </si>
  <si>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After they were hunted almost to extinction in the 1930’s, 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t>
  </si>
  <si>
    <t>The American security manufacturer Armor Holdings has paid a $16 million fine to settle bribery charges.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Florida-based Armor Holdings agreed to pay the fines in order to avoid facing criminal prosecution on charges brought by the US Department of Justice and the Securities and Exchange Commission. (SEC)</t>
  </si>
  <si>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Ancient Egyptians built their houses and structures out of mud brick, which is much denser than the soil that surrounds it, so the shapes of houses, temples and tombs can be seen.</t>
  </si>
  <si>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 “As we have observed on short-haul routes within Asia, low-fare airlines help stimulate demand for travel,” 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t>
  </si>
  <si>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‘Members of ATL met over the weekend, and have taken the view that they wish to minimize disruption but take the pensions issue forward by other means.</t>
  </si>
  <si>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What this is moving toward specifically is implementing improvements in their vetting system-their vetting system that’s been established. It’s also caused them the re-look back to their procedures and then re-look at a number of individuals. In other words, we’re starting to re-look at a number of individuals out there and improve the vetting process. In addition to that, they’re looking at increased efforts to improve the living conditions for their soldiers and also how they prepare their soldiers for leave periods, and then how they address those soldiers once they return from leave.</t>
  </si>
  <si>
    <t xml:space="preserve">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with the evolution from a water to land-based life came a change in diet. For millions of years, the animal’s predecessors had teeth that continuously replaced themselves; new teeth grew into the inner side of the jaw and, when the loosely-connected outer teeth fell out, rose up to take their place. However, the diet of tough plant matter that land-based reptiles began to eat did not lend itself to weak teeth, so animals like L hamatus over millions of years evolved more deeply-anchored teeth. </t>
  </si>
  <si>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 So the decisions were about apportioning that salary in a sensible way.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No, you have to explain why the proposition underlying Western politics since the Second World War –that governments can go on providing more services without significantly higher taxes – is wrong. That game is over. Demography and debts have ended it forever.</t>
  </si>
  <si>
    <t xml:space="preserve">Beneath the forests of western Canada lies the tarry rock that is one of America’s top sources of imported oil. 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                                                                                                                                      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 In a world in which so many oil-producing nations are far away, unstable or hostile to the United States, Canadian oil sands hold great political appeal. “It is undeniable that having a large supply of crude oil available by pipeline from a friendly neighbor is extremely valuable to the energy security of the United States,” a spokesperson said. </t>
  </si>
  <si>
    <t>The complaint says that from July 2007 to September 2009, the doctor, Anthony Galea, illegally distributed human growth hormone and the unapproved drug Actovegin to various athletes. It says that Galea also made false statements to federal authorities.                                                Galea has said Tiger Woods and Alex Rodriguez were among his patients, and he has maintained that he never provided performance-enhancing drugs to them or any other athlete.                                                                                                                                                           However, Galea’s assistant, who is cooperating with federal authorities, created a potentially troublesome issue for Rodriguez in her statements to the authorities, 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t>
  </si>
  <si>
    <t xml:space="preserve">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 there are some key differences – most notably that it’s about 200 miles shorter than the Grand Canyon trip, requires no special permits 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this stretch of flat water is often forgotten by kayakers, rafters and canoeists. And it’s easy to get to. Instead of heading downstream from Lee’s Ferry, where most river trips through the Grand Canyon begin, you go upstream instead. </t>
  </si>
  <si>
    <t xml:space="preserve">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While for Londoners, the news was presumably greeted with little more than a shrug.                                                                                                                                                                  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Bell Book and Candle, which dominates the local market in the sale of rune and casting stones. </t>
  </si>
  <si>
    <t>a) Britons find Germans to be dishonest</t>
  </si>
  <si>
    <t>b) Germans are more likely to enjoy chatting</t>
  </si>
  <si>
    <t>c) Britons are more polite than Germans</t>
  </si>
  <si>
    <t>d) To Britons, Germans appear to be blunt</t>
  </si>
  <si>
    <t>a) It was founded because there is an abundance of criminal lawyers</t>
  </si>
  <si>
    <t>b) It is not necessary to have a subscription to use its services</t>
  </si>
  <si>
    <t>c) It is still in the planning stages</t>
  </si>
  <si>
    <t>d) Lawyers contribute to the cost of running the company</t>
  </si>
  <si>
    <t>a) They are under control</t>
  </si>
  <si>
    <t>b) They are losing local support</t>
  </si>
  <si>
    <t>c) They have infiltrated the Afghan Security Force</t>
  </si>
  <si>
    <t>d) They have limited education</t>
  </si>
  <si>
    <t>a) Villagers are enticing the bears to come to the village</t>
  </si>
  <si>
    <t>b) The bears have reappeared after previous danger of eradication</t>
  </si>
  <si>
    <t>c) It was previously easy to encounter a European brown bear</t>
  </si>
  <si>
    <t>d) The bears are currently close to extinction</t>
  </si>
  <si>
    <t>a) A UN official has been fined for bribery</t>
  </si>
  <si>
    <t>b) BAE Systems has been charged with bribery</t>
  </si>
  <si>
    <t>c) Armor Holdings will not be tried for criminal activities</t>
  </si>
  <si>
    <t xml:space="preserve">d) Armor Holdings will be prosecuted in court                                                                    </t>
  </si>
  <si>
    <t>a) Seventeen lost pyramids have been unearthed</t>
  </si>
  <si>
    <t>b) As of yet, none of the findings have been dug up</t>
  </si>
  <si>
    <t>c) Some of the satellite images have proven incorrect</t>
  </si>
  <si>
    <t>d) It was possible to discern the forms of the buildings</t>
  </si>
  <si>
    <t>a) Has announced details of its services</t>
  </si>
  <si>
    <t>b) Will be administered by Singapore Airlines</t>
  </si>
  <si>
    <t>c) Will only be available for short flights</t>
  </si>
  <si>
    <t xml:space="preserve">d) Is predicted to encourage travel </t>
  </si>
  <si>
    <t>a) The teachers have agreed to call off the strike</t>
  </si>
  <si>
    <t>b) British government ministers are sympathetic to the strike</t>
  </si>
  <si>
    <t>c) The teachers will not capitulate over the matter of their pensions</t>
  </si>
  <si>
    <t>d) During the last strike by Eton teachers, there was a mass walkout</t>
  </si>
  <si>
    <t>a) The ANSF soldiers will be able to apply for extended leave</t>
  </si>
  <si>
    <t>b) The ANSF soldiers have complained about their living conditions</t>
  </si>
  <si>
    <t>c) The Afghan leadership is non-committal regarding insider attacks</t>
  </si>
  <si>
    <t xml:space="preserve">d) The system for checking ANSF soldiers’ backgrounds will be improved </t>
  </si>
  <si>
    <t xml:space="preserve">d) They started to live on the land  </t>
  </si>
  <si>
    <t>It was Milan Kundera who warned young lovers to beware how they behaved in their first nights together. For the pattern they established in those initial hours would govern them ever after. 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Such a warning would seem to apply most naturally to David Cameron and Nick Clegg, already widely likened to a couple joined in civil, if not matrimonial, harmony. In fact, though, Kundera’s advice speaks to Labor as much as the Conservatives. All need to tread carefully through the immediate, post election period. Decisions they take now, when everything appears so flexible, could harden and congeal.</t>
  </si>
  <si>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 They had a right to avoid the draft with academic deferments, occupational deferments and medical deferments obtained from doctors noted for their artistry in taking X-rays of dangerous deformities.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“Oh, I was in….the 173</t>
    </r>
    <r>
      <rPr>
        <vertAlign val="superscript"/>
        <sz val="11"/>
        <color theme="1"/>
        <rFont val="Calibri"/>
        <family val="2"/>
        <scheme val="minor"/>
      </rPr>
      <t>rd</t>
    </r>
    <r>
      <rPr>
        <sz val="11"/>
        <color theme="1"/>
        <rFont val="Calibri"/>
        <family val="2"/>
        <scheme val="minor"/>
      </rPr>
      <t>....”Except there is no 173</t>
    </r>
    <r>
      <rPr>
        <vertAlign val="superscript"/>
        <sz val="11"/>
        <color theme="1"/>
        <rFont val="Calibri"/>
        <family val="2"/>
        <scheme val="minor"/>
      </rPr>
      <t>rd</t>
    </r>
    <r>
      <rPr>
        <sz val="11"/>
        <color theme="1"/>
        <rFont val="Calibri"/>
        <family val="2"/>
        <scheme val="minor"/>
      </rPr>
      <t xml:space="preserve"> in the Marine Corps. I’ve felt embarrassed for them and wondered how empty their lives were that they’d tell such a lie. The fact is that regardless of whether a war was moral, justified, won or meaningful, having served in one – particularly in combat – confers prestige.</t>
    </r>
  </si>
  <si>
    <t xml:space="preserve">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This census, the first in ten years, comes after a decade of rapid economic growth that has led to significant social change.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 It found more than 220 million Chinese had worked away from home for over six months in 2010, almost double the previous figure.                                                                                                                        The government’s strict controls on family size, including its one-child policy for urban families, have reduced annual population growth to below 1%. As it currently stands, most urban couples are limited to one child and rural families to two. </t>
  </si>
  <si>
    <t>Earlier this year, New York Mayor, Michael Bloomberg announced a number of initiatives that are intended to help immigrant-owned enterprises get started and grow, among them a business plan competition and free business courses in Chinese, Korean, Spanish and Russian. In New York, immigrants represent 49% of self-employed workers. Nationwide they are twice as likely to start a business.But, Mr. Bloomberg said, they are also more likely to see their business fail within three-and-a-half years than native-born entrepreneurs.                                                                                                            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 Detroit has a lot of low-cost property which is a great opportunity for immigrants,” says Steven Tobocman, who leads an initiative which looks at how the region can profit from foreign-born talent.</t>
  </si>
  <si>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The main satellite in the launch from the Sriharikota space centre was the remote-sensing Resourcesat-2, which will study the impact of humans on the earth’s natural resources. 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Delhi and Beijing’s Moon missions have gained fresh impetus since last year’s Nasa budget cuts, which dashed US hopes of a lunar return by 2020-more than half a century after the Americans first visit.</t>
  </si>
  <si>
    <t>a) Saving of funds</t>
  </si>
  <si>
    <t>b) Investing of funds</t>
  </si>
  <si>
    <t>c) Distribution of funds</t>
  </si>
  <si>
    <t>d) Reducing taxes</t>
  </si>
  <si>
    <t>a) Is guaranteed to be free of risk</t>
  </si>
  <si>
    <t>b) Is more of a threat to the environment than the extraction of deepwater oil</t>
  </si>
  <si>
    <t xml:space="preserve">d) Is subject to different types of dangers than the extraction of deepwater oil     </t>
  </si>
  <si>
    <t xml:space="preserve">a) He prescribed performance-enhancing drugs </t>
  </si>
  <si>
    <t>c) He has attended  prominent sportsmen</t>
  </si>
  <si>
    <t xml:space="preserve">d) Tiger Woods refused to use performance-enhancing drugs </t>
  </si>
  <si>
    <t>a) It is the longer of the two</t>
  </si>
  <si>
    <t>b) A special permit is not necessary</t>
  </si>
  <si>
    <t>c) It is cheaper</t>
  </si>
  <si>
    <t>d) It requires little preparation</t>
  </si>
  <si>
    <t>a) Surprised about the election of Caroline Lucas</t>
  </si>
  <si>
    <t>a) Decisions need to be made correctly from the beginning</t>
  </si>
  <si>
    <t>b) Decisions should be made with caution</t>
  </si>
  <si>
    <t>c) The Chinese government now permits urban families to have two children</t>
  </si>
  <si>
    <t xml:space="preserve">d) An increased number of rural workers is expected in the future    </t>
  </si>
  <si>
    <t xml:space="preserve">d) The New York City government has declined to fund local businesses </t>
  </si>
  <si>
    <t xml:space="preserve">d) The main satellite was made in Singapore  </t>
  </si>
  <si>
    <t>a) It is a mistake to raise taxes</t>
  </si>
  <si>
    <t>b) The government needs to raise taxes to provide services</t>
  </si>
  <si>
    <t>c) Previous governments should be held responsible for current financial problems</t>
  </si>
  <si>
    <t xml:space="preserve">d) Demography will cease to influence government spending  </t>
  </si>
  <si>
    <t xml:space="preserve">b) Canada has an amicable relationship with the U.S.A </t>
  </si>
  <si>
    <t>c) Most of the middle- eastern countries are well-disposed towards the U.S. A</t>
  </si>
  <si>
    <t>a) Very popular</t>
  </si>
  <si>
    <t>b) Very difficult</t>
  </si>
  <si>
    <t>c) Inaccessible</t>
  </si>
  <si>
    <t>d) Often overlooked</t>
  </si>
  <si>
    <t>a) Be the main seller of rune and casting stones</t>
  </si>
  <si>
    <t xml:space="preserve">d) Have replaced the first branch of the Body Shop </t>
  </si>
  <si>
    <t xml:space="preserve">a) Labor politicians </t>
  </si>
  <si>
    <t>b) Conservative politicians</t>
  </si>
  <si>
    <t>c) Labor and conservative politicians</t>
  </si>
  <si>
    <t xml:space="preserve">d) Married couples </t>
  </si>
  <si>
    <t>c) Have not had a Harvard or Yale education</t>
  </si>
  <si>
    <t xml:space="preserve">d) Left high school early to serve in Vietnam </t>
  </si>
  <si>
    <t xml:space="preserve">d) These areas have smaller populations  </t>
  </si>
  <si>
    <t>1.-  The report indicates that:</t>
  </si>
  <si>
    <t xml:space="preserve">2.- Which of the following is true about the company, Lawyer Up?  </t>
  </si>
  <si>
    <t xml:space="preserve">3.- What does Lieutenant General Terry say about the insurgents? </t>
  </si>
  <si>
    <t>4.- According to the report;</t>
  </si>
  <si>
    <t xml:space="preserve">5.- The article claims that; </t>
  </si>
  <si>
    <t>6.- According to the report;</t>
  </si>
  <si>
    <t xml:space="preserve">7.- The new airline; </t>
  </si>
  <si>
    <t>8.- The report claims;</t>
  </si>
  <si>
    <t xml:space="preserve">9.- Which of the following is stated in the report? </t>
  </si>
  <si>
    <t xml:space="preserve">10.- In previous times, the teeth of reptiles gradually began to evolve because; </t>
  </si>
  <si>
    <t xml:space="preserve">11.- Prior to the new parliament, decisions about spending focused on; </t>
  </si>
  <si>
    <t xml:space="preserve">13.- The article states that the extraction of oil from the oil-sands; </t>
  </si>
  <si>
    <t xml:space="preserve">15.- Galea has claimed that; </t>
  </si>
  <si>
    <t xml:space="preserve">17.- The advantage of the Northern Arizona Colorado River trip over the Grand Canyon trip is; </t>
  </si>
  <si>
    <t xml:space="preserve">19.- The writer believes that Londoners would have been; </t>
  </si>
  <si>
    <t xml:space="preserve">21.- The article warns that: </t>
  </si>
  <si>
    <t xml:space="preserve">23.- Which of the following is not listed in the article as enabling one to be exempt from the draft? </t>
  </si>
  <si>
    <t xml:space="preserve">25.- The article states that; </t>
  </si>
  <si>
    <t xml:space="preserve">27.- The article states that; </t>
  </si>
  <si>
    <t xml:space="preserve">29.- The report states that; </t>
  </si>
  <si>
    <t xml:space="preserve">12.-  The writer concludes that; </t>
  </si>
  <si>
    <t>14.- One of the arguments that the writer puts forward in favor of the oil-sands is;</t>
  </si>
  <si>
    <t>16.- The person briefed on the investigation has asserted that;</t>
  </si>
  <si>
    <t xml:space="preserve">18.- The article says that the Northern Arizona Colorado River trip is; </t>
  </si>
  <si>
    <t xml:space="preserve">20.- The Bell Book and Candle shop appears to; </t>
  </si>
  <si>
    <t xml:space="preserve">22.- The writer then aims the warning at: </t>
  </si>
  <si>
    <t xml:space="preserve">24.- The writer admits to feeling shame for men who: </t>
  </si>
  <si>
    <t xml:space="preserve">26.- The census revealed that; </t>
  </si>
  <si>
    <t xml:space="preserve">28.- What could attract immigrants to “economically distressed” areas? </t>
  </si>
  <si>
    <t xml:space="preserve">30.- India’s space program has benefitted from; </t>
  </si>
  <si>
    <t>EXAMEN DE NOV/2012</t>
  </si>
  <si>
    <t>6 SELFCORRECTION</t>
  </si>
  <si>
    <t>EXAMEN 6 SELFCORRECTION</t>
  </si>
  <si>
    <r>
      <t>Are Germans ruder than the British? Are Britons more dishonest than Germans? Serious academic research has been done on both sides of the North Sea. &lt;u&gt;</t>
    </r>
    <r>
      <rPr>
        <u/>
        <sz val="11"/>
        <color theme="1"/>
        <rFont val="Calibri"/>
        <family val="2"/>
        <scheme val="minor"/>
      </rPr>
      <t xml:space="preserve">There are Britons in Berlin who are shocked by the directness of Germans.&lt;/u&gt; </t>
    </r>
    <r>
      <rPr>
        <sz val="11"/>
        <color theme="1"/>
        <rFont val="Calibri"/>
        <family val="2"/>
        <scheme val="minor"/>
      </rPr>
      <t>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                                                                                                          &lt;b&gt;Note: When describing a person’s manner, being ‘blunt’ is a synonym for being ‘direct’. Also notice the use of the word ‘chatting’. This means talking about nothing in particular, it is a synonym for ‘making small talk’.&lt;/b&gt;</t>
    </r>
  </si>
  <si>
    <r>
      <t xml:space="preserve">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month.&lt;u&gt; </t>
    </r>
    <r>
      <rPr>
        <u/>
        <sz val="11"/>
        <color theme="1"/>
        <rFont val="Calibri"/>
        <family val="2"/>
        <scheme val="minor"/>
      </rPr>
      <t>Those who do not have a subscription can pay a fee of $100 for the first call</t>
    </r>
    <r>
      <rPr>
        <sz val="11"/>
        <color theme="1"/>
        <rFont val="Calibri"/>
        <family val="2"/>
        <scheme val="minor"/>
      </rPr>
      <t xml:space="preserve">, </t>
    </r>
    <r>
      <rPr>
        <u/>
        <sz val="11"/>
        <color theme="1"/>
        <rFont val="Calibri"/>
        <family val="2"/>
        <scheme val="minor"/>
      </rPr>
      <t>which the company calls its ‘pay-in-a-pinch</t>
    </r>
    <r>
      <rPr>
        <sz val="11"/>
        <color theme="1"/>
        <rFont val="Calibri"/>
        <family val="2"/>
        <scheme val="minor"/>
      </rPr>
      <t xml:space="preserve"> </t>
    </r>
    <r>
      <rPr>
        <u/>
        <sz val="11"/>
        <color theme="1"/>
        <rFont val="Calibri"/>
        <family val="2"/>
        <scheme val="minor"/>
      </rPr>
      <t>plan’.&lt;/u&gt;</t>
    </r>
    <r>
      <rPr>
        <sz val="11"/>
        <color theme="1"/>
        <rFont val="Calibri"/>
        <family val="2"/>
        <scheme val="minor"/>
      </rPr>
      <t xml:space="preserve"> Lawyers do not pay to sign on the roster or for the client calls.                                                 &lt;b&gt;Note: The underlined sentence indicates that a subscription is not necessary.&lt;/b&gt;</t>
    </r>
  </si>
  <si>
    <r>
      <t>Lieutenant General James Terry: “I’d like to start by saying thanks for the opportunity to talk to everyone tonight. Now, the insurgents, while still threatening and deadly, are trying hard to stay relevant at this time. &lt;u&gt;</t>
    </r>
    <r>
      <rPr>
        <u/>
        <sz val="11"/>
        <color theme="1"/>
        <rFont val="Calibri"/>
        <family val="2"/>
        <scheme val="minor"/>
      </rPr>
      <t xml:space="preserve">What is important is that the insurgents’ position with the people of Afghanistan is continually eroding&lt;/u&gt;. </t>
    </r>
    <r>
      <rPr>
        <sz val="11"/>
        <color theme="1"/>
        <rFont val="Calibri"/>
        <family val="2"/>
        <scheme val="minor"/>
      </rPr>
      <t xml:space="preserve">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                                                                                                           &lt;b&gt;Note: In the underlined sentence, the word ‘eroding’ indicates that local support for the insurgents is disappearing. The word ‘erode’ is mainly a geographical term which is applied to rocks, cliffs and other natural structures that are exposed to seawater and bad weather which  can destroy them little by little.&lt;/b&gt; </t>
    </r>
  </si>
  <si>
    <r>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&lt;u&gt;</t>
    </r>
    <r>
      <rPr>
        <u/>
        <sz val="11"/>
        <color theme="1"/>
        <rFont val="Calibri"/>
        <family val="2"/>
        <scheme val="minor"/>
      </rPr>
      <t xml:space="preserve">After they were hunted almost to extinction in the 1930’s,&lt;/u&gt; </t>
    </r>
    <r>
      <rPr>
        <sz val="11"/>
        <color theme="1"/>
        <rFont val="Calibri"/>
        <family val="2"/>
        <scheme val="minor"/>
      </rPr>
      <t>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 &lt;b&gt;Note: ‘Hunted to almost extinction’ has the same meaning as ‘in danger of eradication’ here.&lt;/b&gt;</t>
    </r>
  </si>
  <si>
    <r>
      <t>&lt;u&gt;The American security manufacturer Armor Holdings has paid a $16 million fine to settle bribery charges.&lt;/u&gt;</t>
    </r>
    <r>
      <rPr>
        <sz val="11"/>
        <color theme="1"/>
        <rFont val="Calibri"/>
        <family val="2"/>
        <scheme val="minor"/>
      </rPr>
      <t xml:space="preserve">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&lt;u&gt;</t>
    </r>
    <r>
      <rPr>
        <u/>
        <sz val="11"/>
        <color theme="1"/>
        <rFont val="Calibri"/>
        <family val="2"/>
        <scheme val="minor"/>
      </rPr>
      <t>Florida-based Armor Holdings agreed to pay the fines in order to avoid facing criminal prosecution on charges brought by the US Department of Justice and the Securities and Exchange&lt;/u&gt;</t>
    </r>
    <r>
      <rPr>
        <sz val="11"/>
        <color theme="1"/>
        <rFont val="Calibri"/>
        <family val="2"/>
        <scheme val="minor"/>
      </rPr>
      <t xml:space="preserve"> Commission. (SEC)                                                                                                                                        &lt;b&gt;Note: The two underlined sentences indicate that C is the correct answer as Armor Holdings paid the fine so that they don’t have to face prosecution for criminal activities. ‘Facing prosecution’ is a synonym for ‘being tried’.&lt;/b&gt;</t>
    </r>
  </si>
  <si>
    <r>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&lt;u&gt;</t>
    </r>
    <r>
      <rPr>
        <u/>
        <sz val="11"/>
        <color theme="1"/>
        <rFont val="Calibri"/>
        <family val="2"/>
        <scheme val="minor"/>
      </rPr>
      <t>Ancient Egyptians built their houses and structures out of mud brick, which is much denser than the soil that surrounds it, so the shapes of houses, temples and tombs can be seen. &lt;/u&gt;                                                                   &lt;b&gt;</t>
    </r>
    <r>
      <rPr>
        <sz val="11"/>
        <color theme="1"/>
        <rFont val="Calibri"/>
        <family val="2"/>
        <scheme val="minor"/>
      </rPr>
      <t>Note: ‘Shape’ here is the same as ‘form’ and to be able to ‘see’ the forms of the buildings is the same as being able to ‘discern’ them.&lt;/b&gt;</t>
    </r>
  </si>
  <si>
    <r>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t>
    </r>
    <r>
      <rPr>
        <u/>
        <sz val="11"/>
        <color theme="1"/>
        <rFont val="Calibri"/>
        <family val="2"/>
        <scheme val="minor"/>
      </rPr>
      <t xml:space="preserve">.&lt;u&gt; “As we have observed on short-haul routes within Asia, low-fare airlines help stimulate demand for travel,”&lt;/u&gt; </t>
    </r>
    <r>
      <rPr>
        <sz val="11"/>
        <color theme="1"/>
        <rFont val="Calibri"/>
        <family val="2"/>
        <scheme val="minor"/>
      </rPr>
      <t>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                                                               &lt;b&gt;Note: The correct answer appears in the underlined quote as to ‘stimulate demand’ for something is ‘to encourage’ it.&lt;/b&gt;</t>
    </r>
  </si>
  <si>
    <r>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&lt;u&gt;</t>
    </r>
    <r>
      <rPr>
        <u/>
        <sz val="11"/>
        <color theme="1"/>
        <rFont val="Calibri"/>
        <family val="2"/>
        <scheme val="minor"/>
      </rPr>
      <t>‘Members of ATL met over the weekend, and have taken the view that they wish to minimize disruption but take the pensions issue forward by other means.’</t>
    </r>
    <r>
      <rPr>
        <sz val="11"/>
        <color theme="1"/>
        <rFont val="Calibri"/>
        <family val="2"/>
        <scheme val="minor"/>
      </rPr>
      <t xml:space="preserve"> &lt;/u&gt;              &lt;b&gt;Note: The underlined statement says that the teachers will take the pension issue forward by other means which means they will find another way to deal with it but they are not giving up. ‘To give up’ is the same as ‘to capitulate’ and they will not do this.&lt;/b&gt;</t>
    </r>
  </si>
  <si>
    <r>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&lt;u&gt;</t>
    </r>
    <r>
      <rPr>
        <u/>
        <sz val="11"/>
        <color theme="1"/>
        <rFont val="Calibri"/>
        <family val="2"/>
        <scheme val="minor"/>
      </rPr>
      <t>What this is moving toward specifically is implementing improvements in their vetting system-&lt;/u&gt;t</t>
    </r>
    <r>
      <rPr>
        <sz val="11"/>
        <color theme="1"/>
        <rFont val="Calibri"/>
        <family val="2"/>
        <scheme val="minor"/>
      </rPr>
      <t>heir vetting system that’s been established. It’s also caused them the re-look back to their procedures and then re-look at a number of individuals. In other words, we’re starting to re-look at a number of individuals out there and &lt;u&gt;</t>
    </r>
    <r>
      <rPr>
        <u/>
        <sz val="11"/>
        <color theme="1"/>
        <rFont val="Calibri"/>
        <family val="2"/>
        <scheme val="minor"/>
      </rPr>
      <t>improve the vetting process.&lt;/u&gt;</t>
    </r>
    <r>
      <rPr>
        <sz val="11"/>
        <color theme="1"/>
        <rFont val="Calibri"/>
        <family val="2"/>
        <scheme val="minor"/>
      </rPr>
      <t xml:space="preserve"> In addition to that, they’re looking at increased efforts to improve the living conditions for their soldiers and also how they prepare their soldiers for leave periods, and then how they address those soldiers once they return from leave.                &lt;b&gt;Note: The underlined pieces of text refer to improvements in the vetting system. To ‘vet’ someone, is to check them.&lt;/b&gt;</t>
    </r>
  </si>
  <si>
    <r>
      <t>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&lt;u&gt;</t>
    </r>
    <r>
      <rPr>
        <u/>
        <sz val="11"/>
        <color theme="1"/>
        <rFont val="Calibri"/>
        <family val="2"/>
        <scheme val="minor"/>
      </rPr>
      <t xml:space="preserve">with the evolution from a water to land-based life came a change in diet.&lt;/u&gt; </t>
    </r>
    <r>
      <rPr>
        <sz val="11"/>
        <color theme="1"/>
        <rFont val="Calibri"/>
        <family val="2"/>
        <scheme val="minor"/>
      </rPr>
      <t>For millions of years, the animal’s predecessors had teeth that continuously replaced themselves; new teeth grew into the inner side of the jaw and, when the loosely-connected outer teeth fell out, rose up to take their place. &lt;u&gt;</t>
    </r>
    <r>
      <rPr>
        <u/>
        <sz val="11"/>
        <color theme="1"/>
        <rFont val="Calibri"/>
        <family val="2"/>
        <scheme val="minor"/>
      </rPr>
      <t>However, the diet of tough plant matter that land-based reptiles began to eat did not lend itself to weak teeth,&lt;/u&gt;</t>
    </r>
    <r>
      <rPr>
        <sz val="11"/>
        <color theme="1"/>
        <rFont val="Calibri"/>
        <family val="2"/>
        <scheme val="minor"/>
      </rPr>
      <t xml:space="preserve"> so animals like L hamatus over millions of years evolved more deeply-anchored teeth.                                                                                                                          &lt;b&gt;Note: The underlined text indicates that the teeth of reptiles needed to change as they started living on land and as a result of this, their diet changed.&lt;/b&gt;</t>
    </r>
  </si>
  <si>
    <r>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t>
    </r>
    <r>
      <rPr>
        <u/>
        <sz val="11"/>
        <color theme="1"/>
        <rFont val="Calibri"/>
        <family val="2"/>
        <scheme val="minor"/>
      </rPr>
      <t>. &lt;u&gt;So the decisions were about apportioning that salary in a sensible way</t>
    </r>
    <r>
      <rPr>
        <sz val="11"/>
        <color theme="1"/>
        <rFont val="Calibri"/>
        <family val="2"/>
        <scheme val="minor"/>
      </rPr>
      <t>. &lt;u&gt;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&lt;u&gt;</t>
    </r>
    <r>
      <rPr>
        <u/>
        <sz val="11"/>
        <color theme="1"/>
        <rFont val="Calibri"/>
        <family val="2"/>
        <scheme val="minor"/>
      </rPr>
      <t>No, you have to explain why the proposition underlying Western politics since the Second World War –that governments can go on providing more services without significantly higher taxes – is wrong. That game is over.&lt;/u&gt;</t>
    </r>
    <r>
      <rPr>
        <sz val="11"/>
        <color theme="1"/>
        <rFont val="Calibri"/>
        <family val="2"/>
        <scheme val="minor"/>
      </rPr>
      <t xml:space="preserve"> Demography and debts have ended it forever.                                                                                                                                                           &lt;b&gt;Note: In the first answer, ‘apportioning’ is the same as ‘dividing.                                                            The second answer is stated in the last sentence when the writer says that governments can no longer provide services without higher taxes.&lt;/b&gt;</t>
    </r>
  </si>
  <si>
    <r>
      <t>Beneath the forests of western Canada lies the tarry rock that is one of America’s top sources of imported oil. &lt;u&gt;</t>
    </r>
    <r>
      <rPr>
        <u/>
        <sz val="11"/>
        <color theme="1"/>
        <rFont val="Calibri"/>
        <family val="2"/>
        <scheme val="minor"/>
      </rPr>
      <t xml:space="preserve">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forests.&lt;/u&gt;                                                                                                                                      </t>
    </r>
    <r>
      <rPr>
        <sz val="11"/>
        <color theme="1"/>
        <rFont val="Calibri"/>
        <family val="2"/>
        <scheme val="minor"/>
      </rPr>
      <t>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t>
    </r>
    <r>
      <rPr>
        <u/>
        <sz val="11"/>
        <color theme="1"/>
        <rFont val="Calibri"/>
        <family val="2"/>
        <scheme val="minor"/>
      </rPr>
      <t>.&lt;u&gt; In a world in which so many oil-producing nations are far away, unstable or hostile to the United States, Canadian oil sands hold great political appeal. &lt;/u&gt;</t>
    </r>
    <r>
      <rPr>
        <sz val="11"/>
        <color theme="1"/>
        <rFont val="Calibri"/>
        <family val="2"/>
        <scheme val="minor"/>
      </rPr>
      <t>“It is undeniable that having a large supply of crude oil available by pipeline from a friendly neighbor is extremely valuable to the energy security of the United States,” a spokesperson said.                                                                                 &lt;b&gt;Note: For the answer to the first question, the text gives an example of the damage done by one oilspill and then gives examples of different kinds of environmental problems that could be caused by extracting oil from Canada’s oil sands.                                                                                                                                                               In the answer to the second question, the text indicates that many of the nations currently producing oil are not friendly to the United States but Canada is. To have an ‘amicable’ relationship is to have a positive or friendly relationship. &lt;/b&gt;</t>
    </r>
  </si>
  <si>
    <r>
      <t>The complaint says that from July 2007 to September 2009, the doctor, Anthony Galea, illegally distributed human growth hormone and the unapproved drug Actovegin to various athletes. &lt;u&gt;</t>
    </r>
    <r>
      <rPr>
        <u/>
        <sz val="11"/>
        <color theme="1"/>
        <rFont val="Calibri"/>
        <family val="2"/>
        <scheme val="minor"/>
      </rPr>
      <t>It says that Galea also made false statements to federal authorities.                                                Galea has said Tiger Woods and Alex Rodriguez were among his patients&lt;/u&gt;</t>
    </r>
    <r>
      <rPr>
        <sz val="11"/>
        <color theme="1"/>
        <rFont val="Calibri"/>
        <family val="2"/>
        <scheme val="minor"/>
      </rPr>
      <t>, and he has maintained that he never provided performance-enhancing drugs to them or any other athlete.                                                                                                                                                           &lt;u&gt;</t>
    </r>
    <r>
      <rPr>
        <u/>
        <sz val="11"/>
        <color theme="1"/>
        <rFont val="Calibri"/>
        <family val="2"/>
        <scheme val="minor"/>
      </rPr>
      <t>However, Galea’s assistant, who is cooperating with federal authorities,</t>
    </r>
    <r>
      <rPr>
        <sz val="11"/>
        <color theme="1"/>
        <rFont val="Calibri"/>
        <family val="2"/>
        <scheme val="minor"/>
      </rPr>
      <t xml:space="preserve"> </t>
    </r>
    <r>
      <rPr>
        <u/>
        <sz val="11"/>
        <color theme="1"/>
        <rFont val="Calibri"/>
        <family val="2"/>
        <scheme val="minor"/>
      </rPr>
      <t xml:space="preserve">created a potentially troublesome issue for Rodriguez in her statements to the authorities&lt;/u&gt;, </t>
    </r>
    <r>
      <rPr>
        <sz val="11"/>
        <color theme="1"/>
        <rFont val="Calibri"/>
        <family val="2"/>
        <scheme val="minor"/>
      </rPr>
      <t xml:space="preserve">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                                                                                                                                                  &lt;b&gt;Note: In the answer to the first question, ‘prominent sportsmen’ in this context means ‘famous sportsmen.’                                                                                                                                                                  In the answer to the second question, ‘a potentially troublesome issue’ indicates that the issue could become a problem.  &lt;/b&gt; </t>
    </r>
  </si>
  <si>
    <r>
      <t>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t>
    </r>
    <r>
      <rPr>
        <u/>
        <sz val="11"/>
        <color theme="1"/>
        <rFont val="Calibri"/>
        <family val="2"/>
        <scheme val="minor"/>
      </rPr>
      <t xml:space="preserve">, &lt;u&gt;there are some key differences – most notably that it’s about 200 miles shorter than the Grand Canyon trip, requires no special permits&lt;/u&gt; </t>
    </r>
    <r>
      <rPr>
        <sz val="11"/>
        <color theme="1"/>
        <rFont val="Calibri"/>
        <family val="2"/>
        <scheme val="minor"/>
      </rPr>
      <t>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&lt;u&gt;</t>
    </r>
    <r>
      <rPr>
        <u/>
        <sz val="11"/>
        <color theme="1"/>
        <rFont val="Calibri"/>
        <family val="2"/>
        <scheme val="minor"/>
      </rPr>
      <t xml:space="preserve">this stretch of flat water is often forgotten by kayakers, rafters and canoeists.&lt;/u&gt; </t>
    </r>
    <r>
      <rPr>
        <sz val="11"/>
        <color theme="1"/>
        <rFont val="Calibri"/>
        <family val="2"/>
        <scheme val="minor"/>
      </rPr>
      <t>And it’s easy to get to. Instead of heading downstream from Lee’s Ferry, where most river trips through the Grand Canyon begin, you go upstream instead.                                                                    &lt;b&gt;Note: In the answer to the second question, in this context, the fact that the kayakers, rafters and canoeists ‘forget’ this stretch of water, means that they ‘overlook’ it. That is, they know it is there but they don’t consider it.&lt;/b&gt;</t>
    </r>
  </si>
  <si>
    <r>
      <t>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&lt;u&gt;</t>
    </r>
    <r>
      <rPr>
        <u/>
        <sz val="11"/>
        <color theme="1"/>
        <rFont val="Calibri"/>
        <family val="2"/>
        <scheme val="minor"/>
      </rPr>
      <t xml:space="preserve">While for Londoners, the news was presumably greeted with little more than a shrug. &lt;/u&gt;                                                                                                                                                                 </t>
    </r>
    <r>
      <rPr>
        <sz val="11"/>
        <color theme="1"/>
        <rFont val="Calibri"/>
        <family val="2"/>
        <scheme val="minor"/>
      </rPr>
      <t>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&lt;u&gt;</t>
    </r>
    <r>
      <rPr>
        <u/>
        <sz val="11"/>
        <color theme="1"/>
        <rFont val="Calibri"/>
        <family val="2"/>
        <scheme val="minor"/>
      </rPr>
      <t xml:space="preserve">Bell Book and Candle, which dominates the local market in the sale of rune and casting stones&lt;/u&gt;.                                                                                           </t>
    </r>
    <r>
      <rPr>
        <sz val="11"/>
        <color theme="1"/>
        <rFont val="Calibri"/>
        <family val="2"/>
        <scheme val="minor"/>
      </rPr>
      <t>&lt;b&gt;Note: The first piece of underlined text answers the first question. A ‘shrug’ is an up-and-down movement people make with the shoulders when they don’t know or don’t care about something. This is the reaction of people in London, which indicates that they don’t care. This is the same as saying they are ‘indifferent.’                                                                                                   The second question is answered by the last sentence which says the shop ‘dominates the local market’. This means that it is the main seller.&lt;/b&gt;</t>
    </r>
  </si>
  <si>
    <r>
      <t>It was Milan Kundera who warned young lovers to beware how they behaved in their first nights together. &lt;u&gt;</t>
    </r>
    <r>
      <rPr>
        <u/>
        <sz val="11"/>
        <color theme="1"/>
        <rFont val="Calibri"/>
        <family val="2"/>
        <scheme val="minor"/>
      </rPr>
      <t>For the pattern they established in those initial hours would govern them ever after. &lt;/u&gt;</t>
    </r>
    <r>
      <rPr>
        <sz val="11"/>
        <color theme="1"/>
        <rFont val="Calibri"/>
        <family val="2"/>
        <scheme val="minor"/>
      </rPr>
      <t>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&lt;u&gt;</t>
    </r>
    <r>
      <rPr>
        <u/>
        <sz val="11"/>
        <color theme="1"/>
        <rFont val="Calibri"/>
        <family val="2"/>
        <scheme val="minor"/>
      </rPr>
      <t>Such a warning would seem to apply most naturally to David Cameron and Nick Clegg, already widely likened to a couple joined in civil, if not matrimonial, harmony.</t>
    </r>
    <r>
      <rPr>
        <sz val="11"/>
        <color theme="1"/>
        <rFont val="Calibri"/>
        <family val="2"/>
        <scheme val="minor"/>
      </rPr>
      <t xml:space="preserve"> In fact, though, </t>
    </r>
    <r>
      <rPr>
        <u/>
        <sz val="11"/>
        <color theme="1"/>
        <rFont val="Calibri"/>
        <family val="2"/>
        <scheme val="minor"/>
      </rPr>
      <t>Kundera’s advice speaks to Labor as much as the Conservatives&lt;/u&gt;.</t>
    </r>
    <r>
      <rPr>
        <sz val="11"/>
        <color theme="1"/>
        <rFont val="Calibri"/>
        <family val="2"/>
        <scheme val="minor"/>
      </rPr>
      <t xml:space="preserve"> All need to tread carefully through the immediate, post election period. Decisions they take now, when everything appears so flexible, could harden and congeal.                                                                                        &lt;b&gt;Note: The first two pieces of underlined text answer the first question but the key sentence is the first one. In the answer to the second  question, the warning , or advice, is aimed at both labor and conservative politicians. &lt;/b&gt; </t>
    </r>
  </si>
  <si>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t>
    </r>
    <r>
      <rPr>
        <u/>
        <sz val="11"/>
        <color theme="1"/>
        <rFont val="Calibri"/>
        <family val="2"/>
        <scheme val="minor"/>
      </rPr>
      <t>.&lt;u&gt; They had a right to avoid the draft with academic deferments, occupational deferments and medical deferments obtained from doctors noted for their artistry in taking X-rays of dangerous deformities.&lt;/u&gt;</t>
    </r>
    <r>
      <rPr>
        <sz val="11"/>
        <color theme="1"/>
        <rFont val="Calibri"/>
        <family val="2"/>
        <scheme val="minor"/>
      </rPr>
      <t xml:space="preserve">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&lt;u&gt;</t>
    </r>
    <r>
      <rPr>
        <u/>
        <sz val="11"/>
        <color theme="1"/>
        <rFont val="Calibri"/>
        <family val="2"/>
        <scheme val="minor"/>
      </rPr>
      <t>“Oh, I was in….the 173</t>
    </r>
    <r>
      <rPr>
        <u/>
        <vertAlign val="superscript"/>
        <sz val="11"/>
        <color theme="1"/>
        <rFont val="Calibri"/>
        <family val="2"/>
        <scheme val="minor"/>
      </rPr>
      <t>rd</t>
    </r>
    <r>
      <rPr>
        <u/>
        <sz val="11"/>
        <color theme="1"/>
        <rFont val="Calibri"/>
        <family val="2"/>
        <scheme val="minor"/>
      </rPr>
      <t>....”Except there is no 173</t>
    </r>
    <r>
      <rPr>
        <u/>
        <vertAlign val="superscript"/>
        <sz val="11"/>
        <color theme="1"/>
        <rFont val="Calibri"/>
        <family val="2"/>
        <scheme val="minor"/>
      </rPr>
      <t>rd</t>
    </r>
    <r>
      <rPr>
        <u/>
        <sz val="11"/>
        <color theme="1"/>
        <rFont val="Calibri"/>
        <family val="2"/>
        <scheme val="minor"/>
      </rPr>
      <t xml:space="preserve"> in the Marine Corps. I’ve felt embarrassed for them and wondered how empty their lives were that they’d tell such a lie.&lt;/u&gt;</t>
    </r>
    <r>
      <rPr>
        <sz val="11"/>
        <color theme="1"/>
        <rFont val="Calibri"/>
        <family val="2"/>
        <scheme val="minor"/>
      </rPr>
      <t xml:space="preserve"> The fact is that regardless of whether a war was moral, justified, won or meaningful, having served in one – particularly in combat – confers prestige.                                                                         &lt;b&gt;Note: In the answer to the first question, the options given in a, b and d all enabled men to avoid the draft but having artistic abilities was not one of them. The ‘artistry’ mentioned  in the underlined text refers  to the  ability of doctors to take clever x-rays.                                            The second question is answered by the second piece of underline text in which the writer admits to feeling embarrassed, or shamed, for men who lie about serving in Vietnam.&lt;/b&gt;</t>
    </r>
  </si>
  <si>
    <r>
      <t>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&lt;u&gt;</t>
    </r>
    <r>
      <rPr>
        <u/>
        <sz val="11"/>
        <color theme="1"/>
        <rFont val="Calibri"/>
        <family val="2"/>
        <scheme val="minor"/>
      </rPr>
      <t>This census, the first in ten years, comes after a decade of rapid economic growth that has led to significant social change.&lt;/u&gt;</t>
    </r>
    <r>
      <rPr>
        <sz val="11"/>
        <color theme="1"/>
        <rFont val="Calibri"/>
        <family val="2"/>
        <scheme val="minor"/>
      </rPr>
      <t xml:space="preserv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t>
    </r>
    <r>
      <rPr>
        <u/>
        <sz val="11"/>
        <color theme="1"/>
        <rFont val="Calibri"/>
        <family val="2"/>
        <scheme val="minor"/>
      </rPr>
      <t xml:space="preserve">. &lt;u&gt;It found more than 220 million Chinese had worked away from home for over six months in 2010, almost double the previous figure&lt;/u&gt;.                                                                                                                        </t>
    </r>
    <r>
      <rPr>
        <sz val="11"/>
        <color theme="1"/>
        <rFont val="Calibri"/>
        <family val="2"/>
        <scheme val="minor"/>
      </rPr>
      <t>The government’s strict controls on family size, including its one-child policy for urban families, have reduced annual population growth to below 1%. As it currently stands, most urban couples are limited to one child and rural families to two.                                                                     &lt;b&gt;Note. In the answer to the first question, ‘rapid economic growth’ is the same as ‘economic expansion.’ In the answer to the second question, the text indicates that the number of Chinese working away from home is almost twice what it was previously.&lt;/b&gt;</t>
    </r>
  </si>
  <si>
    <r>
      <t>Earlier this year, New York Mayor, Michael Bloomberg announced a number of initiatives that are intended to help immigrant-owned enterprises get started and grow, among them a business plan competition and free business courses in Chinese, Korean, Spanish and Russian. In New York</t>
    </r>
    <r>
      <rPr>
        <u/>
        <sz val="11"/>
        <color theme="1"/>
        <rFont val="Calibri"/>
        <family val="2"/>
        <scheme val="minor"/>
      </rPr>
      <t xml:space="preserve">,&lt;u&gt; immigrants represent 49% of self-employed workers. Nationwide they are twice as likely to start a business.But, Mr. Bloomberg said, they are also more likely to see their business fail within three-and-a-half years than native-born entrepreneurs.&lt;/u&gt;                                                                                                            </t>
    </r>
    <r>
      <rPr>
        <sz val="11"/>
        <color theme="1"/>
        <rFont val="Calibri"/>
        <family val="2"/>
        <scheme val="minor"/>
      </rPr>
      <t>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t>
    </r>
    <r>
      <rPr>
        <u/>
        <sz val="11"/>
        <color theme="1"/>
        <rFont val="Calibri"/>
        <family val="2"/>
        <scheme val="minor"/>
      </rPr>
      <t>. &lt;u&gt;Detroit has a lot of low-cost property which is a great opportunity for immigrants,”&lt;/u&gt;</t>
    </r>
    <r>
      <rPr>
        <sz val="11"/>
        <color theme="1"/>
        <rFont val="Calibri"/>
        <family val="2"/>
        <scheme val="minor"/>
      </rPr>
      <t xml:space="preserve"> says Steven Tobocman, who leads an initiative which looks at how the region can profit from foreign-born talent.                                                                                                                                                    &lt;b&gt;Note: In the answer to the first question, the word ‘entreprenuer’ means ‘businessman’ or someone starting a business. It can also refer to the person who has the idea for a business.               In the answer to the second question, ‘low cost’ means the same as ‘inexpensive.’&lt;/b&gt;</t>
    </r>
  </si>
  <si>
    <r>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&lt;u&gt;</t>
    </r>
    <r>
      <rPr>
        <u/>
        <sz val="11"/>
        <color theme="1"/>
        <rFont val="Calibri"/>
        <family val="2"/>
        <scheme val="minor"/>
      </rPr>
      <t xml:space="preserve">The main satellite in the launch from the Sriharikota space centre was the remote-sensing Resourcesat-2, which will study the impact of humans on the earth’s natural resources.&lt;/u&gt; </t>
    </r>
    <r>
      <rPr>
        <sz val="11"/>
        <color theme="1"/>
        <rFont val="Calibri"/>
        <family val="2"/>
        <scheme val="minor"/>
      </rPr>
      <t>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&lt;u&gt;</t>
    </r>
    <r>
      <rPr>
        <u/>
        <sz val="11"/>
        <color theme="1"/>
        <rFont val="Calibri"/>
        <family val="2"/>
        <scheme val="minor"/>
      </rPr>
      <t>Delhi and Beijing’s Moon missions have gained fresh impetus since last year’s Nasa budget cuts,&lt;/u&gt;</t>
    </r>
    <r>
      <rPr>
        <sz val="11"/>
        <color theme="1"/>
        <rFont val="Calibri"/>
        <family val="2"/>
        <scheme val="minor"/>
      </rPr>
      <t xml:space="preserve"> which dashed US hopes of a lunar return by 2020-more than half a century after the Americans first visit.                                                                       &lt;b&gt;Note: In the answer to the first  question, ‘ the impact of humans on the earth’s natural resources’ is the same as saying ‘how the planet is affected by people’.                                                                           In the answer to the second question, ‘budget cuts’  are the same as  ‘reductions in spending’.&lt;/b&gt;</t>
    </r>
  </si>
  <si>
    <t>d)&lt;b&gt;To Britons, Germans appear to be blunt&lt;/b&gt;</t>
  </si>
  <si>
    <t>b) &lt;b&gt;It is not necessary to have a subscription to use its services&lt;/b&gt;</t>
  </si>
  <si>
    <t>b) &lt;b&gt;They are losing local support&lt;/b&gt;</t>
  </si>
  <si>
    <t>b) &lt;b&gt;The bears have reappeared after previous danger of eradication&lt;/b&gt;</t>
  </si>
  <si>
    <t>c) &lt;b&gt;Armor Holdings will not be tried for criminal activities&lt;/b&gt;</t>
  </si>
  <si>
    <t>d) &lt;b&gt;It was possible to discern the forms of the buildings&lt;/b&gt;</t>
  </si>
  <si>
    <t>d) &lt;b&gt;Is predicted to encourage travel &lt;/b&gt;</t>
  </si>
  <si>
    <t>c) &lt;b&gt;The teachers will not capitulate over the matter of their pensions&lt;/b&gt;</t>
  </si>
  <si>
    <t>d) &lt;b&gt;The system for checking ANSF soldiers’ backgrounds will be improved &lt;/b&gt;</t>
  </si>
  <si>
    <t xml:space="preserve">d) &lt;b&gt;They started to live on the land &lt;/b&gt; </t>
  </si>
  <si>
    <t>c) &lt;b&gt;Distribution of funds&lt;/b&gt;</t>
  </si>
  <si>
    <t>b) &lt;b&gt;The government needs to raise taxes to provide services&lt;/b&gt;</t>
  </si>
  <si>
    <t>b) &lt;b&gt;Canada has an amicable relationship with the U.S.A &lt;/b&gt;</t>
  </si>
  <si>
    <t xml:space="preserve">d)&lt;b&gt; Is subject to different types of dangers than the extraction of deepwater oil&lt;/b&gt;     </t>
  </si>
  <si>
    <t>c)&lt;b&gt; He has attended  prominent sportsmen&lt;/b&gt;</t>
  </si>
  <si>
    <t>a) &lt;b&gt;The accounts given by Galea’s assistant could become a problem for Rodriguez&lt;/b&gt;</t>
  </si>
  <si>
    <t>b)&lt;b&gt; A special permit is not necessary&lt;/b&gt;</t>
  </si>
  <si>
    <t>d) &lt;b&gt;Often overlooked&lt;/b&gt;</t>
  </si>
  <si>
    <t>d) &lt;b&gt;Indifferent about the election of Caroline Lucas&lt;/b&gt;</t>
  </si>
  <si>
    <t>a) &lt;b&gt;Be the main seller of rune and casting stones&lt;/b&gt;</t>
  </si>
  <si>
    <t>c)&lt;b&gt; Labor and conservative politicians&lt;/b&gt;</t>
  </si>
  <si>
    <t>a) &lt;b&gt;Decisions need to be made correctly from the beginning&lt;/b&gt;</t>
  </si>
  <si>
    <t>c) &lt;b&gt;Artistic abilities&lt;/b&gt;</t>
  </si>
  <si>
    <t>b) &lt;b&gt;Falsely claim to have served in Vietnam&lt;/b&gt;</t>
  </si>
  <si>
    <t>c) &lt;b&gt;More Chinese are working away from home than previously&lt;/b&gt;</t>
  </si>
  <si>
    <t>a) &lt;b&gt;Social changes in China are the result of the expanding economy&lt;/b&gt;</t>
  </si>
  <si>
    <t>b) &lt;b&gt;Self-employed US natives are more likely to enjoy long-term success than self-employed immigrants&lt;/b&gt;</t>
  </si>
  <si>
    <t>c) &lt;b&gt;The available property is inexpensive&lt;/b&gt;</t>
  </si>
  <si>
    <t>b) &lt;b&gt;The satellite will investigate how the planet is affected by people&lt;/b&gt;</t>
  </si>
  <si>
    <t>d) &lt;b&gt;Reductions in spending by NASA&lt;/b&gt;</t>
  </si>
  <si>
    <t>12.- According to the text, which of the following is the greatest threat for babies’health?</t>
  </si>
  <si>
    <t>A device that uses high-frequency sound to disperse teenage gangs is illegal under human rights law and is -degrading and discriminatory- to youngsters, a report this week claims. An investigation by the Council of Europe found that the controversial -mosquito- device should be banned from Britain immediately because it violates legislation prohibiting torture. It found that -inflicting acoustic pain on young people and treating them as if they were unwanted birds or pests, is harmful (and) highly offensive.- The report also expressed concern that its use could constitute a -health hazard- and lacked adequate medical research. The UK has more mosquitoes in use than any other European state. The mosquito works by emitting an irritating, high-pitched sound that can be heard only by children and people into their early 20s, and is used to prevent teenagers congregating outside shops, schools and railway stations. Critics, however, say the device targets all children and young people, including babies, regardless of whether they are misbehaving.</t>
  </si>
  <si>
    <t>After doing some gardening work for an elderly woman in Hampshire, England, a man stole £60 from her handbag. The woman reported to police officers that the thief had wavy blonde or greying hair. However, a computer problem at the police station caused the picture of the suspect to show a man with lime green hair and apparently no ears. Police admitted the picture was not of the best quality and said it was currently experiencing computer problems causing poor hair quality. They decided to circulate the image anyway, causing much laughter among residents of the town. The police defended their decision to release the photo of the thief. They said the lime green hair takes nothing from the overall clarity of the facial features. It would therefore be wrong to withhold the release of the photo just based on a minor technical issue.</t>
  </si>
  <si>
    <t>A 58-year-old resident of Campbell, Illinois, John Winthorp, told police he was cleaning up branches and yard debris in his backyard when his neighbor, 85 year old Joseph Giacomo, accused him of stealing bananas from his tree. Giacomo, on the other hand, said he confronted Winthorp along the fence line that divides their properties and asked him why he was carrying a -big stick.- According to the police report, after the verbal confrontation between the two,
Giacomo left the yard and returned to his house. When he came back out again, he allegedly pointed a pistol at Winthorp’s head and threatened to kill him. Police responding to the incident arrested Giacomo on a charge of aggravated assault with a firearm. Mr. Giacomo believed that his neighbor was using the stick to knock bananas off of his tree and keeping them for himself, the police report said.</t>
  </si>
  <si>
    <t>A U.S. soldier speculates about a possible conflict with China: We in all our military might could not capture and hold down the massive land and population of China. However they could not even in their most absurd dream land on US soil no matter if it be the mainland or an island in the Pacific that no one cares about. An issue with China might start in a war with North Korea. In which case the Chinese would be a little freaked out at the idea of a U.S.-friendly Republic of Korea sitting right next to their borders. Much like China taking over Mexico or Canada. Or they might make a move on Taiwan, an island they have had under their scopes for a long time. Both of the above if really looked at are extremely unlikely. This is due to the fact that it would be economic suicide for one country to begin a war with the other. US needs cheap junk from China and China needs US to buy cheap junk. Regardless of who won (which would most likely be the US in the end) the war would prove a major disaster for both parties which would surely last years or maybe even decades. To sum things up, the chances of any kind of conflict with China in the future in the current setting of things are very close to 0%. The only way the US and China will go to war is if we enter --- The Tom Clancy Zone --- which can and has happened in the past but it is still extremely unlikely...</t>
  </si>
  <si>
    <t>After some treatments at a beauty salon, Michelle Fonville came in for an unpleasant surprise. When she was given the bill for her manicure, pedicure and eyebrow shaping, she noticed that there was a $5 surcharge. When she complained, the manageress explained each charge to her and said the salon had added $5 more because Michelle was overweight. According to the manageress, it is the salon's policy to charge overweight customers a supplement to compensate for chairs broken. The pedicure chairs have a weight limit of 100 kilos and cost $2,500 to fix. -Do you think that’s fair when we charge $24 for manicure and pedicure and we have to pay $2,500 to fix chairs?-, the manageress hissed at Michelle. While Michelle's weight surcharge was ultimately refunded after some complaining, the manageress told Michelle to take her business elsewhere in the future. -I felt so humiliated,- she said when she told her story to the press.</t>
  </si>
  <si>
    <t>A woman in Rhode Island said that her son's school had stopped her young boy from wearing a patriotic hat he had made to honor US troops because the hat broke a school ban on weapons. She said that when her eight-year-old son had to make a hat for his class at school, he decided to glue small plastic army figures of soldiers to a camouflage hat bearing an American flag. However, her son was not allowed to wear the hat to school and his teacher had called to say it was not appropriate because the soldiers had guns, violating a ban on weapons and toy weapons. Nevertheless, the principal at the school told the mother that the hat would be acceptable if her son replaced the plastic soldiers holding weapons with ones that didn't have any weapons. But the mother exclaimed that at home, the family had only one plastic soldier without a weapon. That plastic soldier carried binoculars.</t>
  </si>
  <si>
    <t>New York Mayor Michael Bloomberg, who pushes healthy diets for the public, offers plenty of junk food to staff in a company he owns, employees say. Although the food pantry in the Mayor's company provides free healthy snacks such as celery and bananas, it also provides free soft drinks. Moreover, an employee evealed that the Mayor's company has also all the junk food in the world in its offices; anyone can gain 15 pounds right away. On the other hand, however, the Mayor asked federal permission for a two-year ban on the use of welfare food stamps for sugared drinks, citing the -enormous correlation- between soft drinks and obesity and diabetes. Bloomberg asserted that taxpayers should not subsidize bad nutrition. Asked about the apparent contradiction, his spokesman said Bloomberg isn't involved in the day-to-day operations of the company he started 29 years ago, and that includes selecting food for his company's food pantry.</t>
  </si>
  <si>
    <t>Diane Buckalew said she felt terrible when she woke up and realized two rings she'd left on the bathroom counter the night before were gone. She and husband Carl, married in Las Vegas a month ago, realized Thursday their cat Jinxe had batted into the toilet an amethyst ring and Diane's 4-carat, $40,000 diamond engagement ring. -I was tired the night before, I took my jewelry off and just set it on the counter in the bathroom,-Diane said. -I got up about 6 o'clock and I noticed my rings were not there, but all my other jewelry was. I looked down and my wedding band was on the floor with one of my earrings but not the amethyst and diamond engagement rings.- At 6:30 a.m., Carl called a plumbing service, which has a drain camera. Two technicians dug a 3-foot hole near the front door of the Buckalew's home, cut the drain pipe and asked Carl to flush. Jackpot! A technician's hands emerged from the muddy water with both rings.</t>
  </si>
  <si>
    <t>Authorities at a sheriff's office reported that a teenaged boy dialed a wrong number and inadvertently sent a cryptic text message to the sheriff apparently to purchase marijuana. The message stated, -Hey mate, do you have a $20 I can buy right now?- Suspicious about the text message, the sheriff called the teen's phone number three times to make sure he had the right person. Then, pretending to be the dealer, he organized a meeting at a time when the teen would be at a particular store. Disguised in civilian clothes, the sheriff drove off to the store in an unidentified car. He spotted the teenaged boy standing in the parking lot behind the store. When he showed his badge, the teen fainted. The teen was taken to the sheriff's office and his parents were called.</t>
  </si>
  <si>
    <t>Another day, another story to strike fear into the heart of any guilty middle-class parent. A study has found that -top-selling baby foods lack vital nutrients essential for growth and protection against illness-. The results are reported as a -warning- by -experts-. What's worrying is that there’s a growing appetite for reporting these things as if they really mattered. And that appetite exists because of parents' worst fears: that they’re no good. How has it come to this? Spectrometers and busybodies everywhere are spoiling the fun of parenting. Baby food is just the latest in a series of things you can mess up. The type of birth
you have, the method of milk distribution (and the nature of the milk), your employment status (if you're a woman) or your household TV use. There is a huge market for stories which pit parents against each other or use science to -prove- that something parents are doing is evil and dangerous. Meanwhile, normal people muddle through however best they can, using jars some of the time and hand-mushing carrots the rest. The only difference is that nowadays they do it with a constant backdrop of carping, tutting and comparison. The real story? Baby food is not bad for babies. The constant stream of judgement directed against parents is what’s bad for babies. Don't stress about breast versus bottle or the lack of minerals in baby food. Stress about the dismantling of the National Health System. That is far more likely to ruin our children's lives than the odd jar of Heinz cauliflower cheese.</t>
  </si>
  <si>
    <t>A citizen comments on the U.S. debt crisis: I freely admit I am not an expert on the debt, the economy, or even the workings of the federal government. However, I do have a fully functional brain and the sense that God gave a goat. Firstly, I don't see how the debt can be contained without a budget that makes some very deep cuts. I would suggest we start by getting rid of any and all staff members for elected officials that are paid with public money; it may not be much, but without those aides to read bills, maybe some folks in Congress will start realizing what they are voting for and against. Secondly, this concept of not seeing a balanced budget again. I would agree. However, it is time to unbalance the budget in the other direction and pay off the debt. If that means each and every non-essential government service is cut or dropped completely, fine. I am okay with an unbalanced budget, as long as that budget is kicking every single solitary cent it can to paying down the debt. Then, once the debt is eventually paid off we can then look into adding back those nice to have type services or maybe a big cut to the federal tax rate. Maybe my ideas are not doable (but only because people listen to politicians that promise more of everything and no new taxes), but if I had absolute control of the budget process for a single day, I can promise you, it would balance out perfectly, with a big chunk going to pay off the debt...too bad we can't nominate a budget dictator for a day...</t>
  </si>
  <si>
    <t>EXAMEN COMPRENSION TEXTOS OCT 2012</t>
  </si>
  <si>
    <t>Where some powerful men throw sexual slurs at adult women and girls are being sexualized and objectified at a younger and younger age. As the dad of 4 daughters I wonder how to best encourage our daughters to combat these tendencies in our society. One of the most important ways is to break down the old stereotypes that men are rational and logical while women are emotional. We can free our daughters from the burden of that myth by expressing our own feelings and by respecting the intelligence, decisions, and leadership abilities of women. When they see us opening up and talking, they learn to do the same and to not remain silent when something doesn't feel right. A father's influence can help a girl find her own strong voice. The other big thing dads can do is treat women the way we would want a partner to treat our daughters. We wish that it went without saying that daughters need their fathers to reject treating women as objects through sexist jokes, stares and comments on the street, and pornography. The sexualization of girls is perhaps the most disturbing aspect of sexism in our society, and it is time for fathers to speak out about it. Haven’t we moved beyond the beauty pageant and similar spectacles such as prom queens and a swath of reality TV that undermine girls' power? The emphasis on appearance not only robs girls of the sense of being valued for who they are, but also leads to body image distortions and self-criticism.</t>
  </si>
  <si>
    <t>If the Supreme Court upholds Arizona's law getting tough on undocumented immigrants, as many observers expect, it would not just be approving one state's
crackdown. It would be giving a green light to other states to pass similar laws — and it is likely that at least some would. That would be unfortunate: what Americans need is not state-by-state policies but a comprehensive federal solution to the immigration problem. There is a bitter debate over the law. Supporters argue it is necessary because thefederal government is not serious about enforcing immigration laws. They say Arizona has been flooded with illegal immigrants who have hiked the crime rate, overwhelmed the social-services system and driven down wages. Critics respond that the law is mean-spirited and that it will hurt innocent people, including children. They also say it will be used to harass Hispanics, including American citizens. The main reason that Arizona, Alabama and other states have begun acting aggressively on immigration is that Washington has failed for years to address the problem. Even if the Supreme Court says that states have the legal right to enact immigration laws like Arizona's, that does not mean that it makes any sense for the nation's immigration policy to be established at the state level. Whatever the outcome of the challenge to Arizona's law, it should be a wake-up call to Congress that the American people are tired of waiting for immigration reform.</t>
  </si>
  <si>
    <t>a) will change his company's food selection.</t>
  </si>
  <si>
    <t>d) The Buckalew's pet caused a big problem for them.</t>
  </si>
  <si>
    <t>b) was caught stealing bananas in his neighbor's backyard.</t>
  </si>
  <si>
    <t>b) the budget can't be balanced by cutting spending alone.</t>
  </si>
  <si>
    <t>c) take advantage of parents' worries about the future.</t>
  </si>
  <si>
    <t>23.- According to the author, to increase daughters' self-confidence, fathers should</t>
  </si>
  <si>
    <t>25.- In the author's opinion, the Game of Thrones series</t>
  </si>
  <si>
    <t>27.- Which opinion does the author express regarding the law's harsh provisions?</t>
  </si>
  <si>
    <t>I recently attended a remarkable meeting of European economic ministers. We represented 15 of the 27 European Union countries: the Like Minded Group,
committed to rolling back excessive regulation emanating from Brussels and to expanding the Single Market. There were governments of centre Right and centre Left, some strongly in favour of close European integration, like Germany, others more sceptical, like Britain. Yet there was a common purpose: to close down the red tape factories of Brussels. One of the biggest and most wasteful is the Working Time Directive (WTD), which sets a 48-hour limit to the working week. Like a lot of European social legislation this directive, first put forward 20 years ago, was well-intentioned. It was introduced to protect the health and safety of workers. For example, when European markets first opened up there was a legitimate need to prevent long-distance lorry drivers falling asleep at the wheel. It is also easy to forget that a few decades ago it was relatively rare for British workers to have decent holiday time and rest breaks. But a heavy-handed, one-size-fits-all approach has been adopted, with unintended perverse outcomes. The directive incorporates the idea that is most clearly expressed in the French 35-hour week: that work should be compulsorily restricted and shared out, whether or not it suits the needs of individual workers or firms. Not only is this dreadful economics, it is also deeply illiberal. It suppresses the right of workers to choose how long they work to earn overtime, to help their company safeguard employment by working flexibly, or simply because they enjoy and take pride in what they do.</t>
  </si>
  <si>
    <t>A U.S. soldier speaks about the future of military operations: The reduction of forces in Afghanistan and looming U.S. Department of Defense budget cuts will undoubtedly transform our military culture into a -zero defects- mentality. The military will be pressured into implementing a reduction in forces (RIF) program to meet the budgetary goals for the future military generating force. Hard decisions will be required in selecting service men and women for the RIF program, and a -zero defects- climate is a method that facilitates this process. Unfortunately, this type of command climate leads to failure in many aspects. A -zero efects- environment can contribute to timid leaders that are afraid to implement intuition for fear of failure. Leaders will become less risk averse during crisis which could lead to tragic results. Some may think that implementing a -zero defects- policy during peacetime operations will have little impact on the military operating force. I believe that this frame of thought is very dangerous. If we indoctrinate this policy during garrison and training environments our leaders will adopt a -status quo- mentality that will decrease our leaders' ability to make tough decisions when it matters. Ironically, a -zero defects- mentality could result in an unethical command climate as well. Problems that would normally be reported will be hidden at all costs to avoid situations that would require a service member's separation from service. I’m not saying that we should tolerate bad behavior or incompetent decisions; these acts should be punished in accordance with standard regulations. However, minor mistakes will be made at all levels and we should allow for these mistakes to create growth and lessons learned throughout our military force.</t>
  </si>
  <si>
    <t>A journalist talks about the future of today's children: Nothing provokes such visceral feelings among people as their children. Anything that threatens their security, their wellbeing or their future triggers some of the most profound emotional responses that humans are capable of. I have no kids of my own, but the recent arrival of a nephew made all those clichés, like -everything changes when you have children-, suddenly make sense. Our current rulers have not hesitated to exploit people's nagging fears about their children's prospects. Austerity was necessary because, without it, -our children will be saddled with debt for decades to come,- the Prime Minister has argued. But when it becomes apparent that the most important part of many people's lives will suffer because of a financial crisis they had nothing to do with, the Prime Minister may no longer be able to count on a mood of resignation. Around 2.5 million children have been born since Lehman Brothers went under; their future is uncertain and, in many cases, bleak. We've heard about the -squeezed middle-; but now we face the squeezed toddler, and the squeezed teenager. From birth to early adulthood, the squeeze will intensify. A cut of more than a fifth in grants has resulted in the closure of 124 kindergartens, meaning more and more under-fives will miss out. And, at the other end, youth unemployment is hurtling towards 25 per cent. The Government talks of not saddling the nation's children with debt – and yet that is precisely what they are inflicting on a generation with the trebling of tuition fees. The future for many of our young will be colder, hungrier, lonelier, duller, less secure, more indebted and, overall, poorer.</t>
  </si>
  <si>
    <t>At a bull fighting ring in Mexico City, Matador Christian Hernandez, dressed in traditional outfit and bearing a customary red cape, began focusing his attention at
the bull in front of him. He narrowed his eyes as the bull lowered its head. What happened next was slightly less conventional, as the 22-year-old turned on his
heels and fled the onrushing bull, explaining later, -This is not my thing.- In a sight rarely seen in the valiant world of bullfighting, Hernandez made a spin with his red cape at the charging bull, then ran across the ring and leapt headfirst over the wall to safety, dropping the cape in the process. After reaching, and vaulting, the perimeter wall at Sunday's failed bullfight – to cries of ridicule from the crowd – Hernandez was arrested for breaking his contract. He was later released after paying a fine.</t>
  </si>
  <si>
    <t>Friday the 13th proved especially unlucky for one 13-year-old British boy, who was struck by lightning at exactly 13:13 on the much-feared date. The teenager was among a crowd of 170,000 people watching an aeronautical display at the Seafront Air Festival in the east of England when he was struck by a lightning bolt from the sky. He suffered minor burns to his shoulder and is expected to make a full recovery. The man leading the ambulance team that treated the boy's burns said that it had been raining and thundering throughout the day, and so many air show spectators were clutching umbrellas when the electrical storm hit. Suddenly there was a huge crack of lightning really close to the seafront and really loud thunder. Seconds later, the man said his ambulance team got a call saying that someone had been hit; it was the boy. He and his team found him breathing and conscious. However, they took him to the hospital as a precaution.</t>
  </si>
  <si>
    <t>In saying, as she did in her closing address to the Association of Teachers and Lecturers (ATL) this week, that UK schools were stratified along class lines, with-toxic- consequences for the poor, its leader, Dr Mary Bousted, might have meant to shock. But she was articulating a highly uncomfortable truth. A cumulative effect of comprehensive education over 40 years has been the determinism of the catchment area. Children brought up in more affluent areas receive, by and large, a decent education. Those who grow up on the wrong side of the tracks can find themselves trapped in poorly performing schools, so that disadvantage is heaped upon disadvantage. The class divide penalises many children, but the interminable threats of industrial action that the big teachers' unions like the ATL routinely bandy about at this time of year hardly suggest a profession that always has the best interests of pupils at heart. But the leader of the ATL had another reason, too, for drawing attention to the role of class in the school system. She used it to question the blame that invariably attaches to teachers at poorly performing schools. Again she had a point. By no means all schools with a poor showing in the surveys are bad schools. Many have able teachers who demonstrate heroic commitment, but their efforts will never reap the same results, on paper, as those achieved at the more privileged establishment up the road. There are bad teachers, of course, but the effects of deprivation cannot just be wished away.</t>
  </si>
  <si>
    <t>Game of Thrones is a television series based on the bestselling fantasy books A Song of Ice and Fire by George R.R. Martin – often referred to as -the American
Tolkien- – and the cable network HBO is betting that fans of The Lord of the Rings will come to it for a sprawling, interwoven tale of feuding families, swords, sex, carnage, beasts, frayed loyalties, deception, intrigue and the pursuit of power. As well they should. Game of Thrones has all the elements (many described above) that lure viewers to shows like The Sopranos, et al. That it's a fantasy series shouldn't scare anyone away, because – as with Lord of the Rings – there's a real allure to costume-dramas that pair dense mythology with all of the crowd-pleasing elements of war, honor, pride, lust, power and, yes, even humor. Writers and executive producers will certainly have their hands full dealing with diehard fans on what they got right or wrong (or left out or put in that may have not been in the books), but they have the backing of Martin, who worked closely with them, and that should count for a lot. Perhaps more important to those people who haven't read the books, in the series things kick off immediately – with action, blood-shed and eeriness. That kind of start to the 10-part series was essential because Game of Thrones is a complicated story with numerous characters and a dense, interwoven back-story. Though it demands attention, Thrones never once bogs down. It's the kind of drama where, when the first episode ends, you wish the nine others were immediately available. And that validates HBO's notion that television is the perfect medium for a fantasy series done right.</t>
  </si>
  <si>
    <t>5 SELFCORRECTION</t>
  </si>
  <si>
    <t>EXAMEN 5 SELFCORRECTION</t>
  </si>
  <si>
    <r>
      <t>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&lt;u&gt;There was also a strong association between drying laundry and mould spores. A mould spore known to cause lung infections in people with weakened immune systems was found in 25% of the homes sampled&lt;/u&gt;. All of the types of housing surveyed had a lack of suitable spaces for drying clothes.                            &lt;b&gt;</t>
    </r>
    <r>
      <rPr>
        <u/>
        <sz val="11"/>
        <color theme="1"/>
        <rFont val="Calibri"/>
        <family val="2"/>
        <scheme val="minor"/>
      </rPr>
      <t>Note:</t>
    </r>
    <r>
      <rPr>
        <sz val="11"/>
        <color theme="1"/>
        <rFont val="Calibri"/>
        <family val="2"/>
        <scheme val="minor"/>
      </rPr>
      <t xml:space="preserve"> ‘Damp laundry’ is laundry that is still wet or in the process of drying. The underlined sentences indicate the link between this and lung problems.&lt;/b&gt;</t>
    </r>
  </si>
  <si>
    <t>1.- The research referred to in the article discovered that;</t>
  </si>
  <si>
    <t>a) Decorating houses can cause allergies</t>
  </si>
  <si>
    <t>b) &lt;b&gt;Damp laundry can aggravate lung problems&lt;/b&gt;</t>
  </si>
  <si>
    <t>c) Most homes have a designated drying area</t>
  </si>
  <si>
    <t>d) Most homes have a lack of moisture</t>
  </si>
  <si>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&lt;b&gt;</t>
    </r>
    <r>
      <rPr>
        <u/>
        <sz val="11"/>
        <color theme="1"/>
        <rFont val="Calibri"/>
        <family val="2"/>
        <scheme val="minor"/>
      </rPr>
      <t>Note:</t>
    </r>
    <r>
      <rPr>
        <sz val="11"/>
        <color theme="1"/>
        <rFont val="Calibri"/>
        <family val="2"/>
        <scheme val="minor"/>
      </rPr>
      <t xml:space="preserve"> The underlined sentence indicates that there are different reasons incidents occur&lt;/b&gt;</t>
    </r>
  </si>
  <si>
    <t>2.- What is said about the insider threat?</t>
  </si>
  <si>
    <t>a) Soldiers should not try to gain the trust of Afghan partners</t>
  </si>
  <si>
    <t>b) &lt;b&gt;Incidents are triggered by a variety of factors&lt;/b&gt;</t>
  </si>
  <si>
    <t>c) Force protection should favor coalition troops</t>
  </si>
  <si>
    <t>d) The Taliban has an interest in the success of Afghan forces</t>
  </si>
  <si>
    <r>
      <t>“To continue progress in this AO, the remaining forces must maintain sufficient situational awareness to know when and where to inject coalition operations. &lt;u&gt;</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province&lt;/u&gt;.</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&lt;b&gt;Note: The extract indicates that most of these operations should be carried out by and through the ANSF which indicates its role is important here. The next sentence explains why this is so.&lt;/b&gt;</t>
    </r>
  </si>
  <si>
    <t>3.- What is stated in the above extract?</t>
  </si>
  <si>
    <t>a) Coalition forces should conduct operations independently</t>
  </si>
  <si>
    <t>b) Local citizens have been seen to side mainly with the Taliban</t>
  </si>
  <si>
    <t>c) Healthcare and education is provided by ANSF forces</t>
  </si>
  <si>
    <t>d) &lt;b&gt;ANSF forces should play a major role in  the operations&lt;/b&gt;</t>
  </si>
  <si>
    <r>
      <t>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&lt;u&gt;</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&lt;/u&gt;He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&lt;b&gt;</t>
    </r>
    <r>
      <rPr>
        <u/>
        <sz val="11"/>
        <color theme="1"/>
        <rFont val="Calibri"/>
        <family val="2"/>
        <scheme val="minor"/>
      </rPr>
      <t>Note:</t>
    </r>
    <r>
      <rPr>
        <sz val="11"/>
        <color theme="1"/>
        <rFont val="Calibri"/>
        <family val="2"/>
        <scheme val="minor"/>
      </rPr>
      <t xml:space="preserve"> The underlined sentence clearly shows that B is the correct answer with ‘traditions’ being a synonym for ‘customs’.&lt;/b&gt;</t>
    </r>
  </si>
  <si>
    <t>4.- According to the article;</t>
  </si>
  <si>
    <t>a) The US has accused China of damaging relations between the two countries</t>
  </si>
  <si>
    <t>b) &lt;b&gt;The US President advocates the maintaining of Tibetan customs&lt;/b&gt;</t>
  </si>
  <si>
    <t>c) The talks were held in an office normally used for meeting with world leaders</t>
  </si>
  <si>
    <t>d) The US President advocates the succession of Tibet from China</t>
  </si>
  <si>
    <r>
      <t>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&lt;u&gt;</t>
    </r>
    <r>
      <rPr>
        <u/>
        <sz val="11"/>
        <color theme="1"/>
        <rFont val="Calibri"/>
        <family val="2"/>
        <scheme val="minor"/>
      </rPr>
      <t>But researchers speculated that the behavior may sometimes be caused by pain, which patients  were unable to express in other ways.&lt;/u&gt;</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&lt;b&gt;</t>
    </r>
    <r>
      <rPr>
        <u/>
        <sz val="11"/>
        <color theme="1"/>
        <rFont val="Calibri"/>
        <family val="2"/>
        <scheme val="minor"/>
      </rPr>
      <t>Note:</t>
    </r>
    <r>
      <rPr>
        <sz val="11"/>
        <color theme="1"/>
        <rFont val="Calibri"/>
        <family val="2"/>
        <scheme val="minor"/>
      </rPr>
      <t xml:space="preserve"> The underlined sentence indicates that researchers believe pain could be the cause for the patient’s aggressive behavior or ‘disquiet’. ‘Disquiet’ is also another way to express ‘agitation’ which is referred to in the article. &lt;/b&gt;</t>
    </r>
  </si>
  <si>
    <t xml:space="preserve">5.- According to the report; </t>
  </si>
  <si>
    <t>a) Too many dementia patients are being given painkillers</t>
  </si>
  <si>
    <t>b) Better management of patients’ could lead to a reduction in painkiller use</t>
  </si>
  <si>
    <t>c) &lt;b&gt;A dementia patient’s disquiet could be due to physical discomfort&lt;/b&gt;</t>
  </si>
  <si>
    <t>d) Antipsychotic drugs help to manage a patient’s pain</t>
  </si>
  <si>
    <r>
      <t>Cesc Fabregas’ birth certificate says he is 23 but everyone in football knows it is a gross understatement.  Few better than Fabregas, it is now clear. &lt;u&gt;</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sand.&lt;/u&gt;                                                                                                                                                         </t>
    </r>
    <r>
      <rPr>
        <sz val="11"/>
        <color theme="1"/>
        <rFont val="Calibri"/>
        <family val="2"/>
        <scheme val="minor"/>
      </rPr>
      <t>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&lt;u&gt;</t>
    </r>
    <r>
      <rPr>
        <u/>
        <sz val="11"/>
        <color theme="1"/>
        <rFont val="Calibri"/>
        <family val="2"/>
        <scheme val="minor"/>
      </rPr>
      <t xml:space="preserve">but he is also besieged by the conviction that unlike those brilliant rivals it has taken too long to fulfill his brilliant talent.&lt;/u&gt;                                                                                                                                                                            </t>
    </r>
    <r>
      <rPr>
        <sz val="11"/>
        <color theme="1"/>
        <rFont val="Calibri"/>
        <family val="2"/>
        <scheme val="minor"/>
      </rPr>
      <t>Fabregas now appears to see the future in going back to his beloved home town of Barcelona and the playing situation for which he has increasingly pined: the chance to play with a team capable of winning all the prizes.                                                                                                                      &lt;b&gt;</t>
    </r>
    <r>
      <rPr>
        <u/>
        <sz val="11"/>
        <color theme="1"/>
        <rFont val="Calibri"/>
        <family val="2"/>
        <scheme val="minor"/>
      </rPr>
      <t>Note:</t>
    </r>
    <r>
      <rPr>
        <sz val="11"/>
        <color theme="1"/>
        <rFont val="Calibri"/>
        <family val="2"/>
        <scheme val="minor"/>
      </rPr>
      <t xml:space="preserve"> The question is answered by the two pieces of underlined text as Fabregas is obviously talented but hasn’t had an opportunity use his talent completely yet.  &lt;/b&gt;  </t>
    </r>
  </si>
  <si>
    <t>6.- It appears that the problem that Fabregas is facing is that;</t>
  </si>
  <si>
    <t>a) &lt;b&gt;He hasn’t had the opportunity to utilize his talent to the full&lt;/b&gt;</t>
  </si>
  <si>
    <t>b) His ambitions outweigh his ability</t>
  </si>
  <si>
    <t>c) His birth certificate is inaccurate</t>
  </si>
  <si>
    <t>d) He cannot match the ability of Messi, Ronaldo or Rooney</t>
  </si>
  <si>
    <t>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&lt;u&gt;It was his failure of imagination after 9/11 to mobilize the country to get behind a really big initiative for nation-building in America.&lt;/u&gt;                                                                                                                                                  Sadly, President Obama seems intent on squandering his environmental 9/11 with a Bush-level failure of imagination. So far, the Obama policy is: “Think small and carry a big stick.” He is rightly hammering the oil company executives. &lt;u&gt;But he is offering no big strategy to end our oil addiction.&lt;/u&gt;   
&lt;b&gt;Note: The two underlined sentences answer the question. The first refers to President Bush’s failure and the second refers to President Obama’s failure to make decisions and take actions which would have long-term effects. &lt;/b&gt;</t>
  </si>
  <si>
    <t xml:space="preserve">7.- According to the article, both Obama and Bush have been disappointing in their response to disaster as; </t>
  </si>
  <si>
    <t>a) &lt;b&gt;They both wasted an opportunity to create long-lasting positive effects&lt;/b&gt;</t>
  </si>
  <si>
    <t>b) Neither has reacted immediately when disaster has struck</t>
  </si>
  <si>
    <t>c) They have failed to claim any responsibility for the occurrence of disaster</t>
  </si>
  <si>
    <t>d) They have thought only of the far-reaching effects of their decisions</t>
  </si>
  <si>
    <r>
      <t>The Paris commune, it is not. Nor will anything resembling the basilica of the Sacrè Coeur be built one day over the bodies of the fallen redshirts at the Ratchaprasong intersection of Bangkok. &lt;u&gt;</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otherwise.&lt;/u&gt;</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&lt;b&gt;</t>
    </r>
    <r>
      <rPr>
        <u/>
        <sz val="11"/>
        <color theme="1"/>
        <rFont val="Calibri"/>
        <family val="2"/>
        <scheme val="minor"/>
      </rPr>
      <t>Note:</t>
    </r>
    <r>
      <rPr>
        <sz val="11"/>
        <color theme="1"/>
        <rFont val="Calibri"/>
        <family val="2"/>
        <scheme val="minor"/>
      </rPr>
      <t xml:space="preserve"> The  underlined sentence indicates that governing elites are no longer expecting revolutions so they would not have expected the  protests.&lt;/b&gt;</t>
    </r>
  </si>
  <si>
    <t xml:space="preserve">8.- According to the article; </t>
  </si>
  <si>
    <t>a) &lt;b&gt;The recent political crisis in Thailand could have surprised the Thai governing elite&lt;/b&gt;</t>
  </si>
  <si>
    <t>b) The historical uprising in Paris is similar to the recent uprising in Thailand</t>
  </si>
  <si>
    <t>c) It will be impossible to contain the recent uprising in Thailand</t>
  </si>
  <si>
    <t xml:space="preserve">d) The uprising in Thailand is solely a conflict between the poor and the establishment                                                                                                               </t>
  </si>
  <si>
    <r>
      <t>Voters in Britain’s second most hotly contested election this year will begin casting their votes later this week, &lt;u&gt;</t>
    </r>
    <r>
      <rPr>
        <u/>
        <sz val="11"/>
        <color theme="1"/>
        <rFont val="Calibri"/>
        <family val="2"/>
        <scheme val="minor"/>
      </rPr>
      <t>with Oxford University hoping to consign to history the controversy and ill-feeling caused by its last, aborted search for a Professor of Poetry.&lt;/u&gt;</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&lt;b&gt;</t>
    </r>
    <r>
      <rPr>
        <u/>
        <sz val="11"/>
        <color theme="1"/>
        <rFont val="Calibri"/>
        <family val="2"/>
        <scheme val="minor"/>
      </rPr>
      <t>Note:</t>
    </r>
    <r>
      <rPr>
        <sz val="11"/>
        <color theme="1"/>
        <rFont val="Calibri"/>
        <family val="2"/>
        <scheme val="minor"/>
      </rPr>
      <t xml:space="preserve"> The answer is given with the phrase; ‘Oxford University is hoping to consign (the search) to history….’ which is the same as saying; ‘Oxford University wants to put (the search) behind it’.&lt;/b&gt;</t>
    </r>
  </si>
  <si>
    <t xml:space="preserve">9.- Regarding the post for a Professor of Poetry, Oxford University; </t>
  </si>
  <si>
    <t>a) Is taking advantage of the controversy around the last search to fill it</t>
  </si>
  <si>
    <t>b) &lt;b&gt;Prefers to put the controversy surrounding the last search behind it&lt;/b&gt;</t>
  </si>
  <si>
    <t xml:space="preserve">d) Will increase the salary of the future Professor of Poetry                                     </t>
  </si>
  <si>
    <r>
      <t>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&lt;u&gt;</t>
    </r>
    <r>
      <rPr>
        <u/>
        <sz val="11"/>
        <color theme="1"/>
        <rFont val="Calibri"/>
        <family val="2"/>
        <scheme val="minor"/>
      </rPr>
      <t>They have assimilated into American society&lt;/u&gt;,</t>
    </r>
    <r>
      <rPr>
        <sz val="11"/>
        <color theme="1"/>
        <rFont val="Calibri"/>
        <family val="2"/>
        <scheme val="minor"/>
      </rPr>
      <t xml:space="preserve"> becoming top students.Given a chance, these are America’s future business people, scientists, doctors, nurses, teachers, generals. They would be paying into Social Security, too. &lt;b&gt;</t>
    </r>
    <r>
      <rPr>
        <u/>
        <sz val="11"/>
        <color theme="1"/>
        <rFont val="Calibri"/>
        <family val="2"/>
        <scheme val="minor"/>
      </rPr>
      <t>Note:</t>
    </r>
    <r>
      <rPr>
        <sz val="11"/>
        <color theme="1"/>
        <rFont val="Calibri"/>
        <family val="2"/>
        <scheme val="minor"/>
      </rPr>
      <t xml:space="preserve"> The question is answered by the underlined phrase. The children of the immigrants ‘have assimilated into American society’ means that they are taking part in American society.&lt;/b&gt;</t>
    </r>
  </si>
  <si>
    <t xml:space="preserve">10.- The majority of the children of illegal immigrants; </t>
  </si>
  <si>
    <t>a) Yearn for the country in which they were born</t>
  </si>
  <si>
    <t>b) Don’t adapt well to American life</t>
  </si>
  <si>
    <t>c) &lt;b&gt;Are participating in American life in a productive manner&lt;/b&gt;</t>
  </si>
  <si>
    <t xml:space="preserve">d) Are putting a strain on the American economy          </t>
  </si>
  <si>
    <r>
      <t>Liam Fox made a good first impression at the Ministry of Defense. &lt;u&gt;</t>
    </r>
    <r>
      <rPr>
        <u/>
        <sz val="11"/>
        <color theme="1"/>
        <rFont val="Calibri"/>
        <family val="2"/>
        <scheme val="minor"/>
      </rPr>
      <t xml:space="preserve">The department has been subjected to upheaval and uncertainty thanks to a revolving door of ministers. Dr Fox said he intended to stay for five years as Secretary of State. &lt;/u&gt;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&lt;b&gt;</t>
    </r>
    <r>
      <rPr>
        <u/>
        <sz val="11"/>
        <color theme="1"/>
        <rFont val="Calibri"/>
        <family val="2"/>
        <scheme val="minor"/>
      </rPr>
      <t>Note:</t>
    </r>
    <r>
      <rPr>
        <sz val="11"/>
        <color theme="1"/>
        <rFont val="Calibri"/>
        <family val="2"/>
        <scheme val="minor"/>
      </rPr>
      <t xml:space="preserve"> In the first answer, ‘A revolving door’ of ministers refers to ministers starting and then leaving their posts so there are many different ministers coming and going. This is the same as ‘a high turnover.’                                                                                                                                                                 In the second answer, ‘to assuage the rancor’ with someone means ‘to make peace’ with someone.&lt;/b&gt;</t>
    </r>
  </si>
  <si>
    <t xml:space="preserve">11.- What has been the cause of the turmoil in the Ministry of Defense? </t>
  </si>
  <si>
    <t>a) &lt;b&gt;A high turnover of ministers&lt;/b&gt;</t>
  </si>
  <si>
    <t>b) A high number of ministers on revolving shifts</t>
  </si>
  <si>
    <t>c) An absence of a Secretary of State</t>
  </si>
  <si>
    <t xml:space="preserve">d) Jokes about former Labor ministers                                                                            </t>
  </si>
  <si>
    <t>12.- The writer suggests that a possible result of moving British forces to Kandahar would be;</t>
  </si>
  <si>
    <t>a) That it would win the new government popularity</t>
  </si>
  <si>
    <t>b) That it would encourage the Americans to withdraw</t>
  </si>
  <si>
    <t>c) &lt;b&gt;That it would make peace with the Americans regarding a difficult issue&lt;/b&gt;</t>
  </si>
  <si>
    <t>d) That it would unite the politicians in a common agreement</t>
  </si>
  <si>
    <r>
      <t>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&lt;u&gt;</t>
    </r>
    <r>
      <rPr>
        <u/>
        <sz val="11"/>
        <color theme="1"/>
        <rFont val="Calibri"/>
        <family val="2"/>
        <scheme val="minor"/>
      </rPr>
      <t>The key to this apparent contradiction is that Unite is so large and fragmented that a more apt name for it would be Disunite&lt;/u&gt;.</t>
    </r>
    <r>
      <rPr>
        <sz val="11"/>
        <color theme="1"/>
        <rFont val="Calibri"/>
        <family val="2"/>
        <scheme val="minor"/>
      </rPr>
      <t xml:space="preserve"> It is an amalgam of unions brought together and run by competing general secretaries. &lt;u&gt;</t>
    </r>
    <r>
      <rPr>
        <u/>
        <sz val="11"/>
        <color theme="1"/>
        <rFont val="Calibri"/>
        <family val="2"/>
        <scheme val="minor"/>
      </rPr>
      <t>Even so, Unite’s support guarantees that its chosen Labor candidate will be able to fight a well-funded campaign,&lt;/u&gt;</t>
    </r>
    <r>
      <rPr>
        <sz val="11"/>
        <color theme="1"/>
        <rFont val="Calibri"/>
        <family val="2"/>
        <scheme val="minor"/>
      </rPr>
      <t xml:space="preserve"> and that hundreds and thousands of Unite members will receive communications from their union in his support.                                                 &lt;b&gt;</t>
    </r>
    <r>
      <rPr>
        <u/>
        <sz val="11"/>
        <color theme="1"/>
        <rFont val="Calibri"/>
        <family val="2"/>
        <scheme val="minor"/>
      </rPr>
      <t>Note:</t>
    </r>
    <r>
      <rPr>
        <sz val="11"/>
        <color theme="1"/>
        <rFont val="Calibri"/>
        <family val="2"/>
        <scheme val="minor"/>
      </rPr>
      <t xml:space="preserve"> In the first answer, Unite is referred to as ‘fragmented’ which means it is divided.                                   In the second answer, ‘the candidate will fight a well-funded campaign’ indicates that he will have financial support. To ‘lack’ something is not to have it or to not have enough of it&lt;/b&gt;</t>
    </r>
  </si>
  <si>
    <t xml:space="preserve">13.- The explanation for the inconsistency in the liaison between Labor and Unite appears to be; </t>
  </si>
  <si>
    <t>a) That Labor never supports the strikes organized by Unite</t>
  </si>
  <si>
    <t>b) &lt;b&gt;That it is due to the divisions within and size of Unite&lt;/b&gt;</t>
  </si>
  <si>
    <t>c) That the two general secretaries are not competent</t>
  </si>
  <si>
    <t>d) That Unite has the power to overrule decisions made by the High Court</t>
  </si>
  <si>
    <t xml:space="preserve">14.- In regard to the election of the Labor leadership, the writer claims that; </t>
  </si>
  <si>
    <t>a) It is a current priority for Unite</t>
  </si>
  <si>
    <t>b) The candidate backed by Unite is almost certain to achieve victory</t>
  </si>
  <si>
    <t>c) &lt;b&gt;The candidate backed by Unite will not lack financial support&lt;/b&gt;</t>
  </si>
  <si>
    <t xml:space="preserve">d) The union boss will tell the members who to vote for                                             </t>
  </si>
  <si>
    <r>
      <t>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&lt;u&gt;</t>
    </r>
    <r>
      <rPr>
        <u/>
        <sz val="11"/>
        <color theme="1"/>
        <rFont val="Calibri"/>
        <family val="2"/>
        <scheme val="minor"/>
      </rPr>
      <t>But the island is not all sweetness and light. The brutal beauty of the north-west coast is savage and inspiring&lt;/u&gt;</t>
    </r>
    <r>
      <rPr>
        <sz val="11"/>
        <color theme="1"/>
        <rFont val="Calibri"/>
        <family val="2"/>
        <scheme val="minor"/>
      </rPr>
      <t>.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&lt;u&gt;</t>
    </r>
    <r>
      <rPr>
        <u/>
        <sz val="11"/>
        <color theme="1"/>
        <rFont val="Calibri"/>
        <family val="2"/>
        <scheme val="minor"/>
      </rPr>
      <t xml:space="preserve">I took advantage of the peace and quiet to picture her holding court among her friends&lt;/u&gt;, </t>
    </r>
    <r>
      <rPr>
        <sz val="11"/>
        <color theme="1"/>
        <rFont val="Calibri"/>
        <family val="2"/>
        <scheme val="minor"/>
      </rPr>
      <t>working on a new sculpture or reading quietly on her chaise longue. Her love affair with Belle- Ile is one that many visitors will share.                                                                                           &lt;b&gt;</t>
    </r>
    <r>
      <rPr>
        <u/>
        <sz val="11"/>
        <color theme="1"/>
        <rFont val="Calibri"/>
        <family val="2"/>
        <scheme val="minor"/>
      </rPr>
      <t>Note:</t>
    </r>
    <r>
      <rPr>
        <sz val="11"/>
        <color theme="1"/>
        <rFont val="Calibri"/>
        <family val="2"/>
        <scheme val="minor"/>
      </rPr>
      <t xml:space="preserve"> The first question is answered by the contrast in the description. The island is first described as sunny with beaches and coastal paths and then the contrast appears in the next sentence introduced by ‘but’. It is reinforced by the use of the adjectives ‘brutal’ and ‘savage’. In the second answer, the phrase’ holding court among her friends’ is a more formal way to say ‘chatting with’ or just ‘talking with’ her friends.&lt;/b&gt;</t>
    </r>
  </si>
  <si>
    <t xml:space="preserve">15.- According to the article; </t>
  </si>
  <si>
    <t>a) &lt;b&gt;Belle-Ile-en-Mer has contrasting landscape&lt;/b&gt;</t>
  </si>
  <si>
    <t xml:space="preserve">d) Belle-Ile-en –Mer has less sun than Brittany                                                                   </t>
  </si>
  <si>
    <t>16.- The writer imagined Sarah Bernhardt;</t>
  </si>
  <si>
    <t>a) In a court session</t>
  </si>
  <si>
    <t>c) Reciting her lines</t>
  </si>
  <si>
    <t>d) &lt;b&gt;Chatting with friends&lt;/b&gt;</t>
  </si>
  <si>
    <t xml:space="preserve">17.- The writer raises the point that what is most likely to make Iran uneasy is; </t>
  </si>
  <si>
    <t>a) Unified pressure by the major powers</t>
  </si>
  <si>
    <t>b) Problems in its financial institutions</t>
  </si>
  <si>
    <t>c) The change in the position of Russia and China</t>
  </si>
  <si>
    <t xml:space="preserve">d) The opposition of China to the sanctions                                                                       </t>
  </si>
  <si>
    <t>18.- The arrangement between Iran, Brazil and Turkey appears to;</t>
  </si>
  <si>
    <t>a) Reassure western leaders</t>
  </si>
  <si>
    <t>b) Give Iran more possibilities</t>
  </si>
  <si>
    <t>c) Prevent Iran from developing nuclear weapons</t>
  </si>
  <si>
    <t xml:space="preserve">d) Ensure that Iran will commit to talks                                                                               </t>
  </si>
  <si>
    <t xml:space="preserve">19.- According to Chris Jones, the Microsoft vice president, Hotmail is seen by many Americans as; </t>
  </si>
  <si>
    <t>a) Very user friendly</t>
  </si>
  <si>
    <t>b) Having excessive storage</t>
  </si>
  <si>
    <t>c) Free of spam</t>
  </si>
  <si>
    <t xml:space="preserve">d) Outdated                                                                                                                            </t>
  </si>
  <si>
    <t>20.-  In the upcoming version of Hotmail, messages will be;</t>
  </si>
  <si>
    <t>a) Securely protected from viruses</t>
  </si>
  <si>
    <t>b) Categorized</t>
  </si>
  <si>
    <t>c) Automatically deleted if they are spam</t>
  </si>
  <si>
    <t xml:space="preserve">d) Separated from photos                                                                                                    </t>
  </si>
  <si>
    <t xml:space="preserve">21.- The writer gives the impression that among those attending the Cannes Film Festival, Jean-Luc Godard is; </t>
  </si>
  <si>
    <t>a) Revered as much for his previous exploits as for his films</t>
  </si>
  <si>
    <t>b) Thought to have been responsible for the burning down of the cinema at a previous Cannes Film Festival</t>
  </si>
  <si>
    <t>c) Not expected to arrive at the festival</t>
  </si>
  <si>
    <t>d) Losing credibility among film-makers</t>
  </si>
  <si>
    <t xml:space="preserve">22.- From the article, we can deduce that Cannes thrives on; </t>
  </si>
  <si>
    <t>a) Glitz and ceremony</t>
  </si>
  <si>
    <t>b) The presence of famous people</t>
  </si>
  <si>
    <t>c) Controversy as well as glamour</t>
  </si>
  <si>
    <t xml:space="preserve">d) Showing political films only                                                                                             </t>
  </si>
  <si>
    <t xml:space="preserve">23.- According to the article; </t>
  </si>
  <si>
    <t>b) India has a small peacekeeping force in the Congo</t>
  </si>
  <si>
    <t xml:space="preserve">d) The Indian soldiers expressed positivity about their mission in the Congo   </t>
  </si>
  <si>
    <t xml:space="preserve">24.- The writer; </t>
  </si>
  <si>
    <t xml:space="preserve">d) Suggests the Indian soldiers receive recognition for their work in the Congo           D  </t>
  </si>
  <si>
    <t xml:space="preserve">25.-  The article claims that; </t>
  </si>
  <si>
    <t>a) Lucom’s decision to leave his fortune to poor children has been heavily criticized</t>
  </si>
  <si>
    <t>b) Lucom’s widow has received public support</t>
  </si>
  <si>
    <t>c) Lucom’s will cannot be contested</t>
  </si>
  <si>
    <t xml:space="preserve">d) Misgivings about Panama’s judicial system have been expressed                                    </t>
  </si>
  <si>
    <t xml:space="preserve">26.- Panama’s Supreme Court made its decision based on; </t>
  </si>
  <si>
    <t>a) A phrase used in the writing of the will</t>
  </si>
  <si>
    <t>b) Knowledge of Lucom’s past</t>
  </si>
  <si>
    <t>c) The request of a former US ambassador</t>
  </si>
  <si>
    <t>d) Concern over Lucom’s own children</t>
  </si>
  <si>
    <t xml:space="preserve">27.- The Palestinian leaders would be prepared to continue talks with the Israelis if; </t>
  </si>
  <si>
    <t>a) The freeze on settlement construction was lifted</t>
  </si>
  <si>
    <t>b) The Israelis chose settlement over peace</t>
  </si>
  <si>
    <t>c) The suspension on settlement construction was continued</t>
  </si>
  <si>
    <t xml:space="preserve">d) Existing settlements were destroyed  </t>
  </si>
  <si>
    <t xml:space="preserve">28.- According to the article;  </t>
  </si>
  <si>
    <t>a) It is likely that an agreement will be reached regarding settlement construction</t>
  </si>
  <si>
    <t>b) It seems unlikely that any new settlements will be built</t>
  </si>
  <si>
    <t>c) The Israeli government has shown interest in the US proposal of increased military aid</t>
  </si>
  <si>
    <t xml:space="preserve">d) It seems that the possibility of an agreement being reached is diminishing </t>
  </si>
  <si>
    <t xml:space="preserve">29.-  The researchers are interested in Koro because; </t>
  </si>
  <si>
    <t>a) It is very old</t>
  </si>
  <si>
    <t>b) It could help us to understand the relationship between humans and language</t>
  </si>
  <si>
    <t>c) Its speakers are different culturally to the speakers of other languages in the region</t>
  </si>
  <si>
    <t xml:space="preserve">d) Younger speakers appear to be taking an interest in it </t>
  </si>
  <si>
    <t xml:space="preserve">30.-   It could be said that one of the remarkable features of Koro is; </t>
  </si>
  <si>
    <t>a) It has survived intact despite its speakers mixing with speakers of other languages</t>
  </si>
  <si>
    <t>b) It has gradually blended with the Aka language over a long period of time</t>
  </si>
  <si>
    <t>c) Its speakers have always lived in isolation from speakers of other languages</t>
  </si>
  <si>
    <t xml:space="preserve">d) That it will remain unaffected by globalization  </t>
  </si>
  <si>
    <r>
      <t>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&lt;u&gt;</t>
    </r>
    <r>
      <rPr>
        <u/>
        <sz val="11"/>
        <color theme="1"/>
        <rFont val="Calibri"/>
        <family val="2"/>
        <scheme val="minor"/>
      </rPr>
      <t xml:space="preserve">But the fact that Russia and China – Iran’s longtime enablers – have signed on is likely to make some players in Iran’s embattled government nervous.&lt;/u&gt;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&lt;u&gt;</t>
    </r>
    <r>
      <rPr>
        <u/>
        <sz val="11"/>
        <color theme="1"/>
        <rFont val="Calibri"/>
        <family val="2"/>
        <scheme val="minor"/>
      </rPr>
      <t>The current deal leaves Iran with too much fuel, puts no brakes on enrichment at a higher rate, lets Tehran take back the fuel stored in Turkey when it wants and makes no commitment to talks. &lt;/u&gt;                                                                      &lt;b&gt;Note:</t>
    </r>
    <r>
      <rPr>
        <sz val="11"/>
        <color theme="1"/>
        <rFont val="Calibri"/>
        <family val="2"/>
        <scheme val="minor"/>
      </rPr>
      <t xml:space="preserve"> The first underlined sentence answers the first question. It indicates that Russia and China have now signed sanctions against Iran but previously, they were its supporters (‘enablers’).                                                                                                                                                             The second question is answered by the last sentence which lists the possibilities Iran will be given by the deal with Brazil and Turkey. &lt;/b&gt;                                                              </t>
    </r>
  </si>
  <si>
    <t>c) &lt;b&gt;The change in the position of Russia and China&lt;/b&gt;</t>
  </si>
  <si>
    <t>b) &lt;b&gt;Give Iran more possibilities&lt;/b&gt;</t>
  </si>
  <si>
    <r>
      <t>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&lt;u&gt;</t>
    </r>
    <r>
      <rPr>
        <u/>
        <sz val="11"/>
        <color theme="1"/>
        <rFont val="Calibri"/>
        <family val="2"/>
        <scheme val="minor"/>
      </rPr>
      <t xml:space="preserve">People perceive that Hotmail is plagued by spam, has underwhelming storage, is missing a lot of features and is basically yesteryear’s e-mail service. &lt;/u&gt;                                                                                                                                                                      </t>
    </r>
    <r>
      <rPr>
        <sz val="11"/>
        <color theme="1"/>
        <rFont val="Calibri"/>
        <family val="2"/>
        <scheme val="minor"/>
      </rPr>
      <t>Gone are those dark ages when you just swapped messages with co-workers and college chums. Everyone has e-mail and that means a flood of photos, documents, status updates, spam and shopping messages pouring into your personal inbox.                                                                This summer, &lt;u&gt;</t>
    </r>
    <r>
      <rPr>
        <u/>
        <sz val="11"/>
        <color theme="1"/>
        <rFont val="Calibri"/>
        <family val="2"/>
        <scheme val="minor"/>
      </rPr>
      <t>Microsoft will roll out a retooled Hotmail that filters messages into four buckets</t>
    </r>
    <r>
      <rPr>
        <sz val="11"/>
        <color theme="1"/>
        <rFont val="Calibri"/>
        <family val="2"/>
        <scheme val="minor"/>
      </rPr>
      <t xml:space="preserve"> &lt;/u&gt;–mail from people you know, mail from social networks, personal business and spam. So, with a quick glance, you’ll be able to gauge which messages are most important to you – likely those from people you know – and act on them first. You can also click a button to hide unwanted stuff.                                                                                                                                                          &lt;b&gt;</t>
    </r>
    <r>
      <rPr>
        <u/>
        <sz val="11"/>
        <color theme="1"/>
        <rFont val="Calibri"/>
        <family val="2"/>
        <scheme val="minor"/>
      </rPr>
      <t>Note:</t>
    </r>
    <r>
      <rPr>
        <sz val="11"/>
        <color theme="1"/>
        <rFont val="Calibri"/>
        <family val="2"/>
        <scheme val="minor"/>
      </rPr>
      <t xml:space="preserve"> The answer to the first question appears in the first underlined sentence which lists the problems associated with hotmail and describes it as ‘yesteryear’s’ email which means it is out of date.                                                                                                                                                                The second underlined phrase answers the second question. Hotmail will filter the messages into different buckets according where they come from, that is, they will be categorized.&lt;/b&gt;</t>
    </r>
  </si>
  <si>
    <t xml:space="preserve">d)&lt;b&gt; Outdated  &lt;/b&gt;                                                                                                                          </t>
  </si>
  <si>
    <t>b) &lt;b&gt;Categorized&lt;/b&gt;</t>
  </si>
  <si>
    <r>
      <t>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&lt;u&gt;</t>
    </r>
    <r>
      <rPr>
        <u/>
        <sz val="11"/>
        <color theme="1"/>
        <rFont val="Calibri"/>
        <family val="2"/>
        <scheme val="minor"/>
      </rPr>
      <t>They will tell you how Godard was at the vanguard of a gang of nine film-makers who stormed the festival hall and brought the event to a halt.&lt;/u&gt;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&lt;u&gt;</t>
    </r>
    <r>
      <rPr>
        <u/>
        <sz val="11"/>
        <color theme="1"/>
        <rFont val="Calibri"/>
        <family val="2"/>
        <scheme val="minor"/>
      </rPr>
      <t>It has become a Cannes tradition to balance its ticket, to offset the celebrity glitz with the sort of films that kick up a storm and clamor for action. &lt;/u&gt;                                                                                                                                                                                    &lt;b&gt;Note:</t>
    </r>
    <r>
      <rPr>
        <sz val="11"/>
        <color theme="1"/>
        <rFont val="Calibri"/>
        <family val="2"/>
        <scheme val="minor"/>
      </rPr>
      <t xml:space="preserve"> Although Jean-Luc Godard is a famous filmmaker, the first underlined sentence in the text indicates that he is also famous for other activities at the film festival.                                                                   The second question is clearly answered by the last sentence of the article which indicates that the film festival features both celebrity ‘glitz’ ( a synonym for ‘glamour’) and controversy.&lt;/b&gt;</t>
    </r>
  </si>
  <si>
    <t>a) &lt;b&gt;Revered as much for his previous exploits as for his films&lt;/b&gt;</t>
  </si>
  <si>
    <t>c) &lt;b&gt;Controversy as well as glamour&lt;/b&gt;</t>
  </si>
  <si>
    <r>
      <t>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&lt;u&gt;</t>
    </r>
    <r>
      <rPr>
        <u/>
        <sz val="11"/>
        <color theme="1"/>
        <rFont val="Calibri"/>
        <family val="2"/>
        <scheme val="minor"/>
      </rPr>
      <t xml:space="preserve">The soldiers expressed tentative optimism that their mission is working and violence is slowly ebbing here.&lt;/u&gt; </t>
    </r>
    <r>
      <rPr>
        <sz val="11"/>
        <color theme="1"/>
        <rFont val="Calibri"/>
        <family val="2"/>
        <scheme val="minor"/>
      </rPr>
      <t>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&lt;u&gt;</t>
    </r>
    <r>
      <rPr>
        <u/>
        <sz val="11"/>
        <color theme="1"/>
        <rFont val="Calibri"/>
        <family val="2"/>
        <scheme val="minor"/>
      </rPr>
      <t>a cup of tea should be raised in honor &lt;/u&gt;</t>
    </r>
    <r>
      <rPr>
        <sz val="11"/>
        <color theme="1"/>
        <rFont val="Calibri"/>
        <family val="2"/>
        <scheme val="minor"/>
      </rPr>
      <t>of these unsung tours of duty in the half-forgotten corners of the world.                                                                                                                                                             &lt;b&gt;</t>
    </r>
    <r>
      <rPr>
        <u/>
        <sz val="11"/>
        <color theme="1"/>
        <rFont val="Calibri"/>
        <family val="2"/>
        <scheme val="minor"/>
      </rPr>
      <t>Note:</t>
    </r>
    <r>
      <rPr>
        <sz val="11"/>
        <color theme="1"/>
        <rFont val="Calibri"/>
        <family val="2"/>
        <scheme val="minor"/>
      </rPr>
      <t xml:space="preserve"> The soldiers have expressed that they believe their mission is ‘working’ which means they feel positive about it. ‘Ebbing’ means ‘decreasing.’                                                                                              ‘A cup of tea raised in honor’ is the writer’s way of expressing that these soldiers should be recognised, even though it is a humble recognition.&lt;/b&gt;</t>
    </r>
  </si>
  <si>
    <t xml:space="preserve">d) &lt;b&gt;The Indian soldiers expressed positivity about their mission in the Congo &lt;/b&gt;  </t>
  </si>
  <si>
    <t xml:space="preserve">d) &lt;b&gt;Suggests the Indian soldiers receive recognition for their work in the Congo&lt;/b&gt;  </t>
  </si>
  <si>
    <r>
      <t>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&lt;u&gt;</t>
    </r>
    <r>
      <rPr>
        <u/>
        <sz val="11"/>
        <color theme="1"/>
        <rFont val="Calibri"/>
        <family val="2"/>
        <scheme val="minor"/>
      </rPr>
      <t xml:space="preserve">Critics have accused the tycoon’s widow of greed and questioned the integrity of Panama’s judicial system.&lt;/u&gt;                                                                   </t>
    </r>
    <r>
      <rPr>
        <sz val="11"/>
        <color theme="1"/>
        <rFont val="Calibri"/>
        <family val="2"/>
        <scheme val="minor"/>
      </rPr>
      <t>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&lt;u&gt;</t>
    </r>
    <r>
      <rPr>
        <u/>
        <sz val="11"/>
        <color theme="1"/>
        <rFont val="Calibri"/>
        <family val="2"/>
        <scheme val="minor"/>
      </rPr>
      <t xml:space="preserve">Panama’s Supreme Court declared it void last month, arguing that Lucom’s reference to his “beloved wife” showed he really wanted her to inherit the estate,&lt;/u&gt; </t>
    </r>
    <r>
      <rPr>
        <sz val="11"/>
        <color theme="1"/>
        <rFont val="Calibri"/>
        <family val="2"/>
        <scheme val="minor"/>
      </rPr>
      <t>not poor children. Critics – including a former US ambassador – have in the past accused Panama’s justice system of favoring the rich and powerful.                                                                                                                                                                &lt;b&gt;</t>
    </r>
    <r>
      <rPr>
        <u/>
        <sz val="11"/>
        <color theme="1"/>
        <rFont val="Calibri"/>
        <family val="2"/>
        <scheme val="minor"/>
      </rPr>
      <t>Note:</t>
    </r>
    <r>
      <rPr>
        <sz val="11"/>
        <color theme="1"/>
        <rFont val="Calibri"/>
        <family val="2"/>
        <scheme val="minor"/>
      </rPr>
      <t xml:space="preserve"> In the answer to the first question, ‘to question the integrity’ is the same as ‘expressing misgivings.’                                                                                                                                                             In the answer to the second question, ‘the phrase in the will’ is the ‘reference to his “beloved wife”.&lt;/b&gt;</t>
    </r>
  </si>
  <si>
    <t xml:space="preserve">d) &lt;b&gt;Misgivings about Panama’s judicial system have been expressed&lt;/b&gt;                                   </t>
  </si>
  <si>
    <t>a) &lt;b&gt;A phrase used in the writing of the will&lt;/b&gt;</t>
  </si>
  <si>
    <r>
      <t xml:space="preserve">&lt;u&gt;The Palestinian leadership confirmed yesterday that it would not return to direct peace negotiations with the Israelis without an extension to the now-expired freeze on settlement construction&lt;/u&gt;,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&lt;b&gt;</t>
    </r>
    <r>
      <rPr>
        <u/>
        <sz val="11"/>
        <color theme="1"/>
        <rFont val="Calibri"/>
        <family val="2"/>
        <scheme val="minor"/>
      </rPr>
      <t>Note:</t>
    </r>
    <r>
      <rPr>
        <sz val="11"/>
        <color theme="1"/>
        <rFont val="Calibri"/>
        <family val="2"/>
        <scheme val="minor"/>
      </rPr>
      <t xml:space="preserve"> The first piece of underlined text answers the first question as the Palestinian leaders want the freeze on settlement construction to continue if they are going to negotiate with the Israelis.                                                                                                                                                                  The second underlined sentence answers the second question. A ‘compromise’ is an ‘agreement’ and ‘receding’ here means ‘decreasing.’&lt;/b&gt;</t>
    </r>
  </si>
  <si>
    <t>c)&lt;b&gt; The suspension on settlement construction was continued&lt;/b&gt;</t>
  </si>
  <si>
    <t>d)&lt;b&gt; It seems that the possibility of an agreement being reached is diminishing &lt;/b&gt;</t>
  </si>
  <si>
    <r>
      <t>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&lt;u&gt;</t>
    </r>
    <r>
      <rPr>
        <u/>
        <sz val="11"/>
        <color theme="1"/>
        <rFont val="Calibri"/>
        <family val="2"/>
        <scheme val="minor"/>
      </rPr>
      <t xml:space="preserve">But they believe it could yield a wealth of knowledge about the way humans develop and use language.&lt;/u&gt;                                                                                                                                                           </t>
    </r>
    <r>
      <rPr>
        <sz val="11"/>
        <color theme="1"/>
        <rFont val="Calibri"/>
        <family val="2"/>
        <scheme val="minor"/>
      </rPr>
      <t>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&lt;u&gt;</t>
    </r>
    <r>
      <rPr>
        <u/>
        <sz val="11"/>
        <color theme="1"/>
        <rFont val="Calibri"/>
        <family val="2"/>
        <scheme val="minor"/>
      </rPr>
      <t>The researchers say there are still many mysteries they hope to unravel&lt;/u&gt;,</t>
    </r>
    <r>
      <rPr>
        <sz val="11"/>
        <color theme="1"/>
        <rFont val="Calibri"/>
        <family val="2"/>
        <scheme val="minor"/>
      </rPr>
      <t xml:space="preserve"> such as why the speakers  don’t seem to notice how vastly different their languages are, </t>
    </r>
    <r>
      <rPr>
        <u/>
        <sz val="11"/>
        <color theme="1"/>
        <rFont val="Calibri"/>
        <family val="2"/>
        <scheme val="minor"/>
      </rPr>
      <t>and &lt;u&gt;how the Koro speakers, who seem to blend in with Aka speakers in every other way, have managed to preserve their distinct language for so long.&lt;/u&gt;</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&lt;b&gt;</t>
    </r>
    <r>
      <rPr>
        <u/>
        <sz val="11"/>
        <color theme="1"/>
        <rFont val="Calibri"/>
        <family val="2"/>
        <scheme val="minor"/>
      </rPr>
      <t>Note:</t>
    </r>
    <r>
      <rPr>
        <sz val="11"/>
        <color theme="1"/>
        <rFont val="Calibri"/>
        <family val="2"/>
        <scheme val="minor"/>
      </rPr>
      <t xml:space="preserve"> The first question is answered by the first underlined sentence. ‘To yield a wealth of knowledge’ means to provide us with understanding.                                                                                   The second question is answered by the last two underlined phrases because although Koro speakers have ‘blended’ or ‘mixed’ with Aka speakers in many ways, they have kept their language. Researchers find this fact intriguing.&lt;/b&gt;</t>
    </r>
  </si>
  <si>
    <t>b)&lt;b&gt; It could help us to understand the relationship between humans and language&lt;/b&gt;</t>
  </si>
  <si>
    <t>a) &lt;b&gt;It has survived intact despite its speakers mixing with speakers of other languages&lt;/b&gt;</t>
  </si>
  <si>
    <t>b) Damp laundry can aggravate lung problems</t>
  </si>
  <si>
    <t>b) Incidents are triggered by a variety of factors</t>
  </si>
  <si>
    <t>d) ANSF forces should play a major role in  the operations</t>
  </si>
  <si>
    <t>b) The US President advocates the maintaining of Tibetan customs</t>
  </si>
  <si>
    <t>c) A dementia patient’s disquiet could be due to physical discomfort</t>
  </si>
  <si>
    <t>a) He hasn’t had the opportunity to utilize his talent to the full</t>
  </si>
  <si>
    <t xml:space="preserve">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It was his failure of imagination after 9/11 to mobilize the country to get behind a really big initiative for nation-building in America.                                                                                                                                                  Sadly, President Obama seems intent on squandering his environmental 9/11 with a Bush-level failure of imagination. So far, the Obama policy is: “Think small and carry a big stick.” He is rightly hammering the oil company executives. But he is offering no big strategy to end our oil addiction.   
</t>
  </si>
  <si>
    <t>a) They both wasted an opportunity to create long-lasting positive effects</t>
  </si>
  <si>
    <t>a) The recent political crisis in Thailand could have surprised the Thai governing elite</t>
  </si>
  <si>
    <t>b) Prefers to put the controversy surrounding the last search behind it</t>
  </si>
  <si>
    <t>c) Are participating in American life in a productive manner</t>
  </si>
  <si>
    <t>a) A high turnover of ministers</t>
  </si>
  <si>
    <t>c) That it would make peace with the Americans regarding a difficult issue</t>
  </si>
  <si>
    <t>b) That it is due to the divisions within and size of Unite</t>
  </si>
  <si>
    <t>c) The candidate backed by Unite will not lack financial support</t>
  </si>
  <si>
    <t>d) Chatting with friends</t>
  </si>
  <si>
    <r>
      <t xml:space="preserve">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t>
    </r>
    <r>
      <rPr>
        <u/>
        <sz val="11"/>
        <color theme="1"/>
        <rFont val="Calibri"/>
        <family val="2"/>
        <scheme val="minor"/>
      </rPr>
      <t>There was also a strong association between drying laundry and mould spores. A mould spore known to cause lung infections in people with weakened immune systems was found in 25% of the homes sampled.</t>
    </r>
    <r>
      <rPr>
        <sz val="11"/>
        <color theme="1"/>
        <rFont val="Calibri"/>
        <family val="2"/>
        <scheme val="minor"/>
      </rPr>
      <t xml:space="preserve"> All of the types of housing surveyed had a lack of suitable spaces for drying clothes.                          </t>
    </r>
    <r>
      <rPr>
        <u/>
        <sz val="11"/>
        <color theme="1"/>
        <rFont val="Calibri"/>
        <family val="2"/>
        <scheme val="minor"/>
      </rPr>
      <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</si>
  <si>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t>
    </r>
    <r>
      <rPr>
        <u/>
        <sz val="11"/>
        <color theme="1"/>
        <rFont val="Calibri"/>
        <family val="2"/>
        <scheme val="minor"/>
      </rPr>
      <t/>
    </r>
  </si>
  <si>
    <r>
      <t xml:space="preserve">“To continue progress in this AO, the remaining forces must maintain sufficient situational awareness to know when and where to inject coalition operations. </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t>
    </r>
  </si>
  <si>
    <r>
      <t xml:space="preserve">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t>
    </r>
    <r>
      <rPr>
        <u/>
        <sz val="11"/>
        <color theme="1"/>
        <rFont val="Calibri"/>
        <family val="2"/>
        <scheme val="minor"/>
      </rPr>
      <t/>
    </r>
  </si>
  <si>
    <r>
      <t xml:space="preserve">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t>
    </r>
    <r>
      <rPr>
        <u/>
        <sz val="11"/>
        <color theme="1"/>
        <rFont val="Calibri"/>
        <family val="2"/>
        <scheme val="minor"/>
      </rPr>
      <t>But researchers speculated that the behavior may sometimes be caused by pain, which patients  were unable to express in other ways.</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t>
    </r>
  </si>
  <si>
    <r>
      <t xml:space="preserve">Cesc Fabregas’ birth certificate says he is 23 but everyone in football knows it is a gross understatement.  Few better than Fabregas, it is now clear. </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                                                                                                                                                         </t>
    </r>
    <r>
      <rPr>
        <sz val="11"/>
        <color theme="1"/>
        <rFont val="Calibri"/>
        <family val="2"/>
        <scheme val="minor"/>
      </rPr>
      <t xml:space="preserve">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t>
    </r>
    <r>
      <rPr>
        <u/>
        <sz val="11"/>
        <color theme="1"/>
        <rFont val="Calibri"/>
        <family val="2"/>
        <scheme val="minor"/>
      </rPr>
      <t xml:space="preserve">but he is also besieged by the conviction that unlike those brilliant rivals it has taken too long to fulfill his brilliant talent.                                                                                                                                                                            </t>
    </r>
    <r>
      <rPr>
        <sz val="11"/>
        <color theme="1"/>
        <rFont val="Calibri"/>
        <family val="2"/>
        <scheme val="minor"/>
      </rPr>
      <t xml:space="preserve">Fabregas now appears to see the future in going back to his beloved home town of Barcelona and the playing situation for which he has increasingly pined: the chance to play with a team capable of winning all the prizes.                                                                                                                      </t>
    </r>
    <r>
      <rPr>
        <u/>
        <sz val="11"/>
        <color theme="1"/>
        <rFont val="Calibri"/>
        <family val="2"/>
        <scheme val="minor"/>
      </rPr>
      <t/>
    </r>
  </si>
  <si>
    <r>
      <t xml:space="preserve">The Paris commune, it is not. Nor will anything resembling the basilica of the Sacrè Coeur be built one day over the bodies of the fallen redshirts at the Ratchaprasong intersection of Bangkok. </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t>
    </r>
    <r>
      <rPr>
        <u/>
        <sz val="11"/>
        <color theme="1"/>
        <rFont val="Calibri"/>
        <family val="2"/>
        <scheme val="minor"/>
      </rPr>
      <t/>
    </r>
  </si>
  <si>
    <r>
      <t xml:space="preserve">Voters in Britain’s second most hotly contested election this year will begin casting their votes later this week, </t>
    </r>
    <r>
      <rPr>
        <u/>
        <sz val="11"/>
        <color theme="1"/>
        <rFont val="Calibri"/>
        <family val="2"/>
        <scheme val="minor"/>
      </rPr>
      <t>with Oxford University hoping to consign to history the controversy and ill-feeling caused by its last, aborted search for a Professor of Poetry.</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t>
    </r>
    <r>
      <rPr>
        <u/>
        <sz val="11"/>
        <color theme="1"/>
        <rFont val="Calibri"/>
        <family val="2"/>
        <scheme val="minor"/>
      </rPr>
      <t/>
    </r>
  </si>
  <si>
    <r>
      <t xml:space="preserve">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t>
    </r>
    <r>
      <rPr>
        <u/>
        <sz val="11"/>
        <color theme="1"/>
        <rFont val="Calibri"/>
        <family val="2"/>
        <scheme val="minor"/>
      </rPr>
      <t>They have assimilated into American society,</t>
    </r>
    <r>
      <rPr>
        <sz val="11"/>
        <color theme="1"/>
        <rFont val="Calibri"/>
        <family val="2"/>
        <scheme val="minor"/>
      </rPr>
      <t xml:space="preserve"> becoming top students.Given a chance, these are America’s future business people, scientists, doctors, nurses, teachers, generals. They would be paying into Social Security, too. </t>
    </r>
    <r>
      <rPr>
        <u/>
        <sz val="11"/>
        <color theme="1"/>
        <rFont val="Calibri"/>
        <family val="2"/>
        <scheme val="minor"/>
      </rPr>
      <t/>
    </r>
  </si>
  <si>
    <r>
      <t xml:space="preserve">Liam Fox made a good first impression at the Ministry of Defense. </t>
    </r>
    <r>
      <rPr>
        <u/>
        <sz val="11"/>
        <color theme="1"/>
        <rFont val="Calibri"/>
        <family val="2"/>
        <scheme val="minor"/>
      </rPr>
      <t xml:space="preserve">The department has been subjected to upheaval and uncertainty thanks to a revolving door of ministers. Dr Fox said he intended to stay for five years as Secretary of State.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t>
    </r>
    <r>
      <rPr>
        <u/>
        <sz val="11"/>
        <color theme="1"/>
        <rFont val="Calibri"/>
        <family val="2"/>
        <scheme val="minor"/>
      </rPr>
      <t/>
    </r>
  </si>
  <si>
    <r>
      <t xml:space="preserve">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t>
    </r>
    <r>
      <rPr>
        <u/>
        <sz val="11"/>
        <color theme="1"/>
        <rFont val="Calibri"/>
        <family val="2"/>
        <scheme val="minor"/>
      </rPr>
      <t>The key to this apparent contradiction is that Unite is so large and fragmented that a more apt name for it would be Disunite.</t>
    </r>
    <r>
      <rPr>
        <sz val="11"/>
        <color theme="1"/>
        <rFont val="Calibri"/>
        <family val="2"/>
        <scheme val="minor"/>
      </rPr>
      <t xml:space="preserve"> It is an amalgam of unions brought together and run by competing general secretaries. </t>
    </r>
    <r>
      <rPr>
        <u/>
        <sz val="11"/>
        <color theme="1"/>
        <rFont val="Calibri"/>
        <family val="2"/>
        <scheme val="minor"/>
      </rPr>
      <t>Even so, Unite’s support guarantees that its chosen Labor candidate will be able to fight a well-funded campaign,</t>
    </r>
    <r>
      <rPr>
        <sz val="11"/>
        <color theme="1"/>
        <rFont val="Calibri"/>
        <family val="2"/>
        <scheme val="minor"/>
      </rPr>
      <t xml:space="preserve"> and that hundreds and thousands of Unite members will receive communications from their union in his support.                                             </t>
    </r>
  </si>
  <si>
    <r>
      <t xml:space="preserve">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t>
    </r>
    <r>
      <rPr>
        <u/>
        <sz val="11"/>
        <color theme="1"/>
        <rFont val="Calibri"/>
        <family val="2"/>
        <scheme val="minor"/>
      </rPr>
      <t>But the island is not all sweetness and light. The brutal beauty of the north-west coast is savage and inspiring</t>
    </r>
    <r>
      <rPr>
        <sz val="11"/>
        <color theme="1"/>
        <rFont val="Calibri"/>
        <family val="2"/>
        <scheme val="minor"/>
      </rPr>
      <t xml:space="preserve">.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t>
    </r>
    <r>
      <rPr>
        <u/>
        <sz val="11"/>
        <color theme="1"/>
        <rFont val="Calibri"/>
        <family val="2"/>
        <scheme val="minor"/>
      </rPr>
      <t xml:space="preserve">I took advantage of the peace and quiet to picture her holding court among her friends, </t>
    </r>
    <r>
      <rPr>
        <sz val="11"/>
        <color theme="1"/>
        <rFont val="Calibri"/>
        <family val="2"/>
        <scheme val="minor"/>
      </rPr>
      <t xml:space="preserve">working on a new sculpture or reading quietly on her chaise longue. Her love affair with Belle- Ile is one that many visitors will share.                                                                                           </t>
    </r>
    <r>
      <rPr>
        <u/>
        <sz val="11"/>
        <color theme="1"/>
        <rFont val="Calibri"/>
        <family val="2"/>
        <scheme val="minor"/>
      </rPr>
      <t/>
    </r>
  </si>
  <si>
    <r>
      <t xml:space="preserve">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t>
    </r>
    <r>
      <rPr>
        <u/>
        <sz val="11"/>
        <color theme="1"/>
        <rFont val="Calibri"/>
        <family val="2"/>
        <scheme val="minor"/>
      </rPr>
      <t xml:space="preserve">But the fact that Russia and China – Iran’s longtime enablers – have signed on is likely to make some players in Iran’s embattled government nervous.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 xml:space="preserve">-hour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t>
    </r>
    <r>
      <rPr>
        <u/>
        <sz val="11"/>
        <color theme="1"/>
        <rFont val="Calibri"/>
        <family val="2"/>
        <scheme val="minor"/>
      </rPr>
      <t xml:space="preserve">The current deal leaves Iran with too much fuel, puts no brakes on enrichment at a higher rate, lets Tehran take back the fuel stored in Turkey when it wants and makes no commitment to talks.                                                                       </t>
    </r>
    <r>
      <rPr>
        <sz val="11"/>
        <color theme="1"/>
        <rFont val="Calibri"/>
        <family val="2"/>
        <scheme val="minor"/>
      </rPr>
      <t xml:space="preserve">                                                         </t>
    </r>
  </si>
  <si>
    <r>
      <t xml:space="preserve">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t>
    </r>
    <r>
      <rPr>
        <u/>
        <sz val="11"/>
        <color theme="1"/>
        <rFont val="Calibri"/>
        <family val="2"/>
        <scheme val="minor"/>
      </rPr>
      <t xml:space="preserve">People perceive that Hotmail is plagued by spam, has underwhelming storage, is missing a lot of features and is basically yesteryear’s e-mail service.                                                                                                                                                                       </t>
    </r>
    <r>
      <rPr>
        <sz val="11"/>
        <color theme="1"/>
        <rFont val="Calibri"/>
        <family val="2"/>
        <scheme val="minor"/>
      </rPr>
      <t xml:space="preserve">Gone are those dark ages when you just swapped messages with co-workers and college chums. Everyone has e-mail and that means a flood of photos, documents, status updates, spam and shopping messages pouring into your personal inbox.                                                                This summer, </t>
    </r>
    <r>
      <rPr>
        <u/>
        <sz val="11"/>
        <color theme="1"/>
        <rFont val="Calibri"/>
        <family val="2"/>
        <scheme val="minor"/>
      </rPr>
      <t>Microsoft will roll out a retooled Hotmail that filters messages into four buckets</t>
    </r>
    <r>
      <rPr>
        <sz val="11"/>
        <color theme="1"/>
        <rFont val="Calibri"/>
        <family val="2"/>
        <scheme val="minor"/>
      </rPr>
      <t xml:space="preserve"> –mail from people you know, mail from social networks, personal business and spam. So, with a quick glance, you’ll be able to gauge which messages are most important to you – likely those from people you know – and act on them first. You can also click a button to hide unwanted stuff.                                                                                                                                                          </t>
    </r>
    <r>
      <rPr>
        <u/>
        <sz val="11"/>
        <color theme="1"/>
        <rFont val="Calibri"/>
        <family val="2"/>
        <scheme val="minor"/>
      </rPr>
      <t/>
    </r>
  </si>
  <si>
    <r>
      <t xml:space="preserve">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t>
    </r>
    <r>
      <rPr>
        <u/>
        <sz val="11"/>
        <color theme="1"/>
        <rFont val="Calibri"/>
        <family val="2"/>
        <scheme val="minor"/>
      </rPr>
      <t>They will tell you how Godard was at the vanguard of a gang of nine film-makers who stormed the festival hall and brought the event to a halt.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t>
    </r>
    <r>
      <rPr>
        <u/>
        <sz val="11"/>
        <color theme="1"/>
        <rFont val="Calibri"/>
        <family val="2"/>
        <scheme val="minor"/>
      </rPr>
      <t xml:space="preserve">It has become a Cannes tradition to balance its ticket, to offset the celebrity glitz with the sort of films that kick up a storm and clamor for action.                                                                                                                                                                                     </t>
    </r>
  </si>
  <si>
    <r>
      <t xml:space="preserve">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t>
    </r>
    <r>
      <rPr>
        <u/>
        <sz val="11"/>
        <color theme="1"/>
        <rFont val="Calibri"/>
        <family val="2"/>
        <scheme val="minor"/>
      </rPr>
      <t xml:space="preserve">The soldiers expressed tentative optimism that their mission is working and violence is slowly ebbing here. </t>
    </r>
    <r>
      <rPr>
        <sz val="11"/>
        <color theme="1"/>
        <rFont val="Calibri"/>
        <family val="2"/>
        <scheme val="minor"/>
      </rPr>
      <t xml:space="preserve">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t>
    </r>
    <r>
      <rPr>
        <u/>
        <sz val="11"/>
        <color theme="1"/>
        <rFont val="Calibri"/>
        <family val="2"/>
        <scheme val="minor"/>
      </rPr>
      <t xml:space="preserve">a cup of tea should be raised in honor </t>
    </r>
    <r>
      <rPr>
        <sz val="11"/>
        <color theme="1"/>
        <rFont val="Calibri"/>
        <family val="2"/>
        <scheme val="minor"/>
      </rPr>
      <t xml:space="preserve">of these unsung tours of duty in the half-forgotten corners of the world.                                                                                                                                                             </t>
    </r>
    <r>
      <rPr>
        <u/>
        <sz val="11"/>
        <color theme="1"/>
        <rFont val="Calibri"/>
        <family val="2"/>
        <scheme val="minor"/>
      </rPr>
      <t/>
    </r>
  </si>
  <si>
    <r>
      <t xml:space="preserve">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t>
    </r>
    <r>
      <rPr>
        <u/>
        <sz val="11"/>
        <color theme="1"/>
        <rFont val="Calibri"/>
        <family val="2"/>
        <scheme val="minor"/>
      </rPr>
      <t xml:space="preserve">Critics have accused the tycoon’s widow of greed and questioned the integrity of Panama’s judicial system.                                                                     </t>
    </r>
    <r>
      <rPr>
        <sz val="11"/>
        <color theme="1"/>
        <rFont val="Calibri"/>
        <family val="2"/>
        <scheme val="minor"/>
      </rPr>
      <t xml:space="preserve">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t>
    </r>
    <r>
      <rPr>
        <u/>
        <sz val="11"/>
        <color theme="1"/>
        <rFont val="Calibri"/>
        <family val="2"/>
        <scheme val="minor"/>
      </rPr>
      <t xml:space="preserve">Panama’s Supreme Court declared it void last month, arguing that Lucom’s reference to his “beloved wife” showed he really wanted her to inherit the estate, </t>
    </r>
    <r>
      <rPr>
        <sz val="11"/>
        <color theme="1"/>
        <rFont val="Calibri"/>
        <family val="2"/>
        <scheme val="minor"/>
      </rPr>
      <t xml:space="preserve">not poor children. Critics – including a former US ambassador – have in the past accused Panama’s justice system of favoring the rich and powerful.                                                                                                                                                                </t>
    </r>
    <r>
      <rPr>
        <u/>
        <sz val="11"/>
        <color theme="1"/>
        <rFont val="Calibri"/>
        <family val="2"/>
        <scheme val="minor"/>
      </rPr>
      <t/>
    </r>
  </si>
  <si>
    <r>
      <t>The Palestinian leadership confirmed yesterday that it would not return to direct peace negotiations with the Israelis without an extension to the now-expired freeze on settlement construction,</t>
    </r>
    <r>
      <rPr>
        <sz val="11"/>
        <color theme="1"/>
        <rFont val="Calibri"/>
        <family val="2"/>
        <scheme val="minor"/>
      </rPr>
      <t xml:space="preserve">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t>
    </r>
    <r>
      <rPr>
        <sz val="11"/>
        <color theme="1"/>
        <rFont val="Calibri"/>
        <family val="2"/>
        <scheme val="minor"/>
      </rPr>
      <t xml:space="preserve">                                                                                                                                                                  The second underlined sentence answers the second question. A ‘compromise’ is an ‘agreement’ and ‘receding’ here means ‘decreasing.’</t>
    </r>
  </si>
  <si>
    <r>
      <t xml:space="preserve">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t>
    </r>
    <r>
      <rPr>
        <u/>
        <sz val="11"/>
        <color theme="1"/>
        <rFont val="Calibri"/>
        <family val="2"/>
        <scheme val="minor"/>
      </rPr>
      <t xml:space="preserve">But they believe it could yield a wealth of knowledge about the way humans develop and use language.                                                                                                                                                           </t>
    </r>
    <r>
      <rPr>
        <sz val="11"/>
        <color theme="1"/>
        <rFont val="Calibri"/>
        <family val="2"/>
        <scheme val="minor"/>
      </rPr>
      <t xml:space="preserve">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t>
    </r>
    <r>
      <rPr>
        <u/>
        <sz val="11"/>
        <color theme="1"/>
        <rFont val="Calibri"/>
        <family val="2"/>
        <scheme val="minor"/>
      </rPr>
      <t>The researchers say there are still many mysteries they hope to unravel,</t>
    </r>
    <r>
      <rPr>
        <sz val="11"/>
        <color theme="1"/>
        <rFont val="Calibri"/>
        <family val="2"/>
        <scheme val="minor"/>
      </rPr>
      <t xml:space="preserve"> such as why the speakers  don’t seem to notice how vastly different their languages are, </t>
    </r>
    <r>
      <rPr>
        <u/>
        <sz val="11"/>
        <color theme="1"/>
        <rFont val="Calibri"/>
        <family val="2"/>
        <scheme val="minor"/>
      </rPr>
      <t>and how the Koro speakers, who seem to blend in with Aka speakers in every other way, have managed to preserve their distinct language for so long.</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t>
    </r>
    <r>
      <rPr>
        <u/>
        <sz val="11"/>
        <color theme="1"/>
        <rFont val="Calibri"/>
        <family val="2"/>
        <scheme val="minor"/>
      </rPr>
      <t/>
    </r>
  </si>
  <si>
    <t>Csilla from Hungary tells about how she found her cat. I first saw Mandula last summer along a busy road. She was begging people for food. The poor cat was all skin and bones at that time. She was starving. Mandula was also pregnant. Thus, I decided to look after her immediately. Two weeks after I brought her into my home, Mandula gave birth to six beautiful and playful kittens. Those kittens have grown up and are living in different homes. And, Mandula – whose name means “almond” in Hungarian — is now a happy cat who likes to watch television with me every evening.</t>
  </si>
  <si>
    <t>A Military Operation. The store force consisted of both naval and army elements as the destroyer was landing troops, equipment and supplies. The whole operation was carried out at night, without a moon and showing no lights for security reasons. Each man had been drilled to do his work precisely and without being able to see more than a few yards. Silence was also a key element, so unavoidable noises were muffled as far as was possible.</t>
  </si>
  <si>
    <t>News about The Iron Curtain. According to a report in Germany’s Der Spiegel magazine, the land once known as “the Iron Curtain” may be protected. The Iron Curtain was a term used to describe the border between Eastern and Western Europe from 1945 to 1990. In Germany, the Iron Curtain stretched 1,400 kilometers and was covered in wire and mines. Although this land was uninhabitable for humans, it was a good place for
wildlife –including black storks, otters and bats — to exist. Now the governments of 16 states in Germany may decide to protect this area by not
allowing the development of roads and buildings in it.</t>
  </si>
  <si>
    <t>Horoscope: Taurus. The sign Taurus is ruled by Venus. Physically it is related to the throat. It is said to have a feminine nature, and is therefore more passive and receptive in its energy expression. Taurus is an Earth sign and as such is connected with fruitfulness and stability. A planet placed in this sign will be a stabilizing influence and manifest its energy in a steadfast and determined manner. Taurus is also a fixed sign, and this means that once a course is embarked on, it is rarely deviated from. Maintenance and care of existing conditions over long periods of time, and a reluctance to initiate change, are qualities of this sign.</t>
  </si>
  <si>
    <t>The Green Jacket. You might not consider a green jacket to be among the most desirable fashion items. Nevertheless, the world’s best golfers will be trying to win a green jacket this weekend at the Masters Tournament in Augusta, Georgia. In addition to receiving a couple hundred thousand dollars in prize money, the winner becomes an honorary member of the Augusta National Golf Club and receives a green jacket. The winner gets to keep the green jacket for a year, then he returns it to the club to wear whenever he visits. It is traditional for the winner of the previous year’s tournament to present the jacket to the present winner.</t>
  </si>
  <si>
    <t>Asparagus with Alioli.-Ingredients.- 2 asparagus bunches, or 20 spears, 4 medium to large garlic cloves, salt to taste, 2 egg yolks, 1 ½ tbsp fresh lemon juice, 1 cup extra virgin Spanish olive oil.Preparation.- For alioli sauce, peel and mince garlic with salt to make a paste. Add egg yolks to
paste and whisk. Slowly pour in olive oil until a creamy sauce forms. Add a dash of lemon juice and blend. For asparagus, trim off the bottoms. Steam for five to eight minutes. Remove spears from steamer and drain, allowing them to cool. Finally, pour sauce over asparagus and serve. Remember in Spain it is traditional to eat asparagus with your fingers.</t>
  </si>
  <si>
    <t xml:space="preserve">Crossing Borders. Rudolf Karnis, aged 71, remembers the days when a holiday outside of his native Slovakia was filled with problems at the borders. During trips to neighboring countries, such as Hungary and Poland, Karnis and his family would have to stop for long periods at the border for customs control. “It is nothing like that anymore,” said Karnis, who, like millions of other Central Europeans, is travelling across borders without even having to stop. His countryman Peter Svancar, a civil engineer who works in Poland, agrees. “It is much more relaxing now when your train is not stopped at the borders and you do not have to show your passport all the time,” he said. </t>
  </si>
  <si>
    <t>A News Story about an Incident at a Restaurant: Health and Sanitation Department Inspector Ralph Simmons says that if the manager of the restaurant hadn’t tried to cut costs by buying mushrooms from unlicensed sellers, he wouldn’t have sent all those people to the hospital with food poisoning last week. The restaurant manager was unavailable for comment but a spokesman for the restaurant said the victims had all recovered and offered his sincere apologies for the unfortunate incident.</t>
  </si>
  <si>
    <t>Biomass as a carbon-neutral energy source. As we struggle to meet our renewable-energy goals, we ought to embrace biomass. Biomass energy is positively carbon-neutral. Burning agricultural waste or forest residue to generate electricity releases no more carbon dioxide than if those materials simply decayed. Furthermore, biomass energy reduces the need to burn fossil fuels, and the less fossil fuel we burn the more we reduce our carbon footprint. But that hasn’t stopped fear-mongering aimed at denying biomass credit as a cleanenergy source. Claims that biomass energy is anything but carbon-neutral ignore the fact that not all carbon is created equal, at least in terms of the global carbon cycle. When fossil fuels are burned to produce energy, there is a net increase in carbon released to the atmosphere, because it takes carbon that was stored safely underground and adds it to the atmosphere. Biomass energy, however, deals with biogenic carbon - carbon that is already part of the atmospheric system. There’s no carbon added because the carbon in question is already part of the global-carbon cycle. So even if more carbon dioxide goes up a biomass-energy power-plant smokestack than a coal-fired power-plant smokestack, it’s OK because one is relatively harmless and the other relatively harmful. As regulators debate what should and shouldn’t be considered renewable energy sources, they should focus on encouraging investment to reduce emissions and our dependence on fossil fuels. Most of all, science should trump irrational fears. It’s time to give biomass the credit it is due.</t>
  </si>
  <si>
    <t>A journalist’s response to recent microbiology research: There are some things it is better just not to think about. Like the 10,000 bacteria you inhale with each breath in the average office building. Or the 10 million bacteria in each glass of tap water. Microbiologists have now added something else to the list of things too gross to contemplate: the deluge of bacteria that hit your face and flow deep into your lungs in the morning shower. This unwelcome peek behind the shower curtain has been provided by a group of microbiologists at the University of Colorado using a new type of test. Conventional tests depend on growing cultures of the bacteria to be identified, but because most species cannot be grown in the laboratory, a majority of bacterial species are missed. The new method examines the genetic material directly, without the need for culturing bacteria. As part of a project to measure microbes in the indoor human environment, they looked at shower water, in part because in showers bacteria are incorporated into fine droplets that can be breathed deep into the lungs. The bacteria get into shower heads from the water and build up there, so the dose is highest when the shower is first turned on. Running the water for 30 seconds before stepping in would mean fewer bacteria in one’s face. Also, the bacteria seem to find metal shower heads a less hospitable niche than plastic ones.</t>
  </si>
  <si>
    <t>A film critic’s assessment of the "youth culture" in Hollywood: The 23-year old Shia LaBeouf, without meaning to do so, has become a metaphor for
how youth culture - after decades of elbowing its way to the forefront - now almost entirely dominates the culture itself. One day, he was a Disney kid, starring on cable’s "Even Stevens" and in the movie "Holes", and then suddenly, Steven Spielberg turned him into an action star in the latest "Indiana Jones" film. LaBeouf’s rise owes a great deal to his own charisma and charm, of course, but the actor’s ubiquity represents a slightly off-putting new paradigm in Hollywood: Young viewers want to see young stars, as they always have, but older viewers - the ones who can still be bothered to see movies in theaters - want to see young stars as well. The disturbing part is that those older audiences seem to have lost most of their interest in films about people their own age. Many recent "adult dramas" have flopped at the box office. And while a case can be made that those individual films had flaws that had nothing to do with their target demographic, their disappointing returns are endemic of a larger cultural trend wherein youth is valued above all else and maturity is, well, boring. For the studios, this winds up as a win-win; younger stars with shorter careers don’t cost as much as a older, more established stars. And when audiences vote with their dollars for the newcomers over the veterans, that ensures a healthier profit margin.</t>
  </si>
  <si>
    <t>The following is an article about the possibility of providing health insurance to illegal immigrants in the U.S.: The question of giving health insurance to undocumented workers is ethically murky and politically impossible. Some people argue that if we’re hiring illegals to, say, shingle our roofs, we have a moral obligation to care for them if they fall off. But more people simply want them out of the country. Given that illegal immigrants have, by definition, broken our laws, it makes sense that large numbers of upstanding citizens oppose any measure that would encourage more foreigners to sneak into America or make their lives easier once they’re here. The only problem? From a purely economic standpoint, insuring illegal immigrants makes a lot of sense - and not just for them, but for everyone. Immigrants typically arrive in America during their prime working years and tend to be younger and healthier than the rest of the U.S. population. As a result, health-care expenditures for the average immigrant are lower than for a native-born American citizen with similar characteristics. It stands to reason that including the relatively healthy,relatively employable and largely uninsured illegal population in some sort of universal health-care system would be a boon rather than a burden. "Insurance in principle has to cover the average medical cost of all the people it’s serving," explains a professor of health policy. "So if you add cheaper people to the pool, like immigrants, you reduce the average cost." More undocumented workers, in other words, means lower premiums for everyone. And, since most illegal workers stay only long enough to save enough money to support their families in their home
countries, they leave before becoming a burden on the system.</t>
  </si>
  <si>
    <t>The decline of handwriting: Recently, two journalists wrote a newspaper article about the decline of handwriting. By now it’s well-known: most kids - what with computers and text messages - can no longer write by hand, except in laboured capital letters. The crisis began with the advent of the ballpoint pen. Early ballpoints were very messy and if, immediately after writing, you ran your finger over the last few words, a smudge inevitably appeared. So, people no longer felt much interest in writing well, since handwriting, when produced with a ballpoint, even a clean one, no longer had soul, style or personality. Why should we regret the passing of good handwriting? The capacity to write well and quickly on a keyboard encourages rapid thought, and often the spell-checker will underline a misspelling. However, handwriting teaches us to control our hands and encourages hand-eye coordination. Writing by hand obliges us to compose the phrase mentally before writing it down. Thanks to the resistance of pen and paper, it does make one slow down and think. It’s true that kids will write more and more on computers and cellphones.
Nonetheless, humanity has learned to rediscover as sports and aesthetic pleasures many things that civilisation had eliminated as unnecessary. People no longer travel on horseback but some go to a riding school; motor yachts exist but many people are devoted to sailing; there are tunnels but many still enjoy walking or climbing Alpine passes. It would be a good thing if parents sent kids off to handwriting schools so they could
take part in competitions and tournaments - not only to acquire grounding in what is beautiful, but also for psychomotor wellbeing.</t>
  </si>
  <si>
    <t>A Canadian journalist’s appraisal of the relationship between the U.S. and Canada: Anti-Americanism has been Canada’s defining intellectual ailment for generations. Not the fire-breathing hatred felt in some parts of the world, or even the elitist sneer directed westward from across the Atlantic; it was always a more neighborly, eyerolling disapproval that reached its zenith under George W. Bush. The Canadian press bristled with shrill attacks on the neoconservative agenda. That was then. Suddenly Canadian attitudes have matured at a breakneck pace - and not just because Americans elected Barack Obama (though of course that’s a part of it). Canadian anti-Americanism is fueled, fundamentally, by envy and fear. But
over the past year, the United States has been laid low by a devastating financial collapse. Canada’s economy, on the other hand, has escaped relatively unscathed. Its banking and real-estate sectors have been models of well-regulated stability compared with their American counterparts. The World Economic Forum proclaimed Canada to have the soundest banking system on the entire planet. Whatever Canadians think about the direction of the United States under Obama, few of them are still worried about American billionaires buying up their country lock, stock, and
barrel. America has long been lampooned by Canadian social critics as a throwback to a cruel, bygone era of laissez-faire capitalism. But under the Democratic Congress and White House, the government’s role in the economy has surged. The overall result is that the Canadian and American approaches to the size of government are beginning to converge. This healing trend comes primarily as an unintended effect of recent developments in Washington and on Wall Street. But it’s also a sign that Canada has grown up.</t>
  </si>
  <si>
    <t>Global warming and population control: As related by the Washington Post, two recent studies have pointed out that the real culprit for global warming isn’t cars or coal plants, it’s us. There are too many humans on planet Earth. The cheapest cure is contraception, according to a study
released by the London School of Economics, which points out that each $7 spent on family planning over the next four decades would reduce carbon-dioxide emissionsby more than a ton. Achieving the same result with low-carbon technologies would cost at least $32. I think I’ve got the answer to climate change: a cap-and-trade program for babies., OK, maybe not. But the notion is only a little sillier than the solution being promoted by the London School. Their model for fighting climate change by promoting birth control in the Third World ignores the fact that such programs almost never work. There are many reasons for the population explosion, but most of them come down to one factor: poverty. Women in poor countries have almost no power over reproductive decisions and are encouraged to have more children in places where infant mortality is high, so they go from one pregnancy to the next. Programs to promote condoms aren’t going to change any of this; if you want to lower birth rates
you have to reduce poverty. That means investing in development for poor countries. Of course, with development come higher greenhouse gas emissions. But there is a solution for this new problem as well: make these societies “grow green” with the help of new clean-energy technologies developed in the U.S. and other rich countries.</t>
  </si>
  <si>
    <t>A journalist’s investigation into California’s financial situation: California, the state that once boasted the best schools and highways in America
now has some of the worst. Its healthcare is ranked lowest of all the 50 states; its public finances are a disaster. Year after year, its legislature has failed to agree a budget. Its deficits make Italy look like a paragon of fiscal prudence. The government of one of the most richly endowed territories on earth, a crucible of innovation and the eighth largest economy in the world, is broke. Why has California got into such a mess? Some analysts say: "Too much democracy!" In California’s eccentric version of direct democracy, all kinds of extravagant public spending are mandated by initiatives, proposed by anyone who can gather enough signatures, and passed by a simple majority of those who bother to vote on them, while the state’s revenue-gathering possibilities are curbed by the same method. Yet it’s not fair to blame all this on government of the people by the people. Rather, California shows how such experiments in direct democracy can be perverted. For this framework of initiatives was established by self-styled progressives in the early 20th century to curb the power of the railway bosses and bring power to the people. A hundred years later, it is today’s diverse special-interest groups - not just billionaires and businesses but also powerful public service unions - who play the system to feather their own nests or further their own fads. They hire hands to collect signatures on their chosen initiative, and use advertising muscle to whip in the votes. The result is that the conflicting interests bring the government to a standstill.</t>
  </si>
  <si>
    <t>A UK journalist’s opinion on the opening of an expensive veterinary health centre: Humans are a selfish species - we breed and domesticate millions of animals for our own purposes of companionship and control, and then we complain if "too much" money is spent on their medical treatment. It doesn’t seem too much to have one state of the art veterinary centre for animals serving the whole of the UK. All modern medical treatment is expensive. The £15 million needed to operate the centre is a lot of money, but it pales in comparison with the annual National Health
Service budget of £110 billion. We abandon, neglect, maltreat, and euthanize (for our own convenience) hundreds of thousands every year. Our use of companion animals comes at a high cost to them in terms of their welfare and premature death. It only seems reasonable that we should pay something back for all their love and devotion. We need to bear in mind that these creatures wouldn’t exist if it wasn’t for us. Often I am asked to respond to this loaded question: "Is it right to have these facilities for animals while humans face waiting lists?" We could equally ask this loaded question: "Is it right to spend an annual NHS budget of £110 billion on humans when other sentient species, equally capable of suffering pain, fear, distress, anxiety, terror - domestic animals which we have brought into being and to whom we have a duty of care - are only given a tiny fraction
of the medical care they require?"</t>
  </si>
  <si>
    <t>The truthfulness of documentary films: A recent report on documentary films had a message for those who look to those films for guidance about matters as serious as business, politics, nature and the meaning of life: let the viewer beware. Based on anonymous interviews with 45 longform
documentary filmmakers, the study came to some conclusions that could shock those schooled in conventional journalistic ethics. The report found that documentarians, while they generally aspire to act honourably, often operate under ad hoc ethical codes. The craft tends to see itself as being bound less by the need to be accurate and fair than by a desire for social justice, to level the playing field between those who are perceived to be powerful and those who are not. That often means manipulating individual facts, sequences and meanings of images, said the report, if that might help viewers to grasp the documentary’s higher truth. Deception in pursuit of a good story is acceptable to some. For example, one documentarian
acknowledged letting film crew members break the legs of rabbits in order to get better shots of animals being hunted by others in the wild. Other filmmakers said that corporate executives and celebrities were entitled to less protection as interview subjects than more sympathetic individuals. "Everybody who makes a movie, documentary or otherwise, is motivated by passion and point of view", said one documentary filmmaker. "But, they are hindered by the need for access, financial resources and the realities of seeking an audience."</t>
  </si>
  <si>
    <t>A scientist’s appraisal of the state of space exploration: Neil Armstrong’s first small step for man was widely believed to be the start of a long
and glorious road to the stars. Forty years after the first Moon landing, the dream has faded. Astronauts have been stuck in low-Earth orbit, boldly going nowhere. American attempts to kick-start a new phase of lunar exploration have stalled amid the realisation that NASA´s budget is too small for the job. Clearly, some creative thinking is badly needed if humans are to have a future beyond Earth. Returning to the Moon may be worthy and attainable, but it fails to capture the public’s imagination. What does get people excited is the prospect of a mission to Mars. The lure of the red planet lies in its Earth-like conditions and the tantalising prospect of some form of life. Unfortunately, existing plans are absurdly expensive and will remain unrealistic for decades. But there is a way to put humans on Mars with foreseeable technology, and at a fraction of the projected cost. Five years ago I made the radical proposal that a handful of astronauts be sent on a one-way journey to Mars. I am not talking about a suicide mission. With its protective atmosphere, accessible water and carbon dioxide, and significant amounts of methane, Mars is one of the few places in the solar system that could support a human colony. I have presented my idea at NASA conferences, and discussed it with scientists in
other countries. The response has nearly always been positive. There is a persistent myth that nobody would volunteer to go. In fact, I have found no shortage of eager scientists, young and old, who say they would accept a one-way ticket.</t>
  </si>
  <si>
    <t>1.- According to the extract, the generation X</t>
  </si>
  <si>
    <t>2.- According to the extract</t>
  </si>
  <si>
    <t>3.- For the speaker</t>
  </si>
  <si>
    <t>4.- The man</t>
  </si>
  <si>
    <t>5.- What do we learn about the dress?</t>
  </si>
  <si>
    <t>6.- What do we learn about the young man?</t>
  </si>
  <si>
    <t>7.- The Englishman describes the U.S. immigration process as</t>
  </si>
  <si>
    <t>8.- What problem did she experience?</t>
  </si>
  <si>
    <t>9.- The elections</t>
  </si>
  <si>
    <t>10.- The woman</t>
  </si>
  <si>
    <t>11.- According to the woman</t>
  </si>
  <si>
    <t>12.- Which statement is true according to the report?</t>
  </si>
  <si>
    <t>13.- According to the text</t>
  </si>
  <si>
    <t>14.- According to the extract, the happiest people are those who</t>
  </si>
  <si>
    <t>15.- The man</t>
  </si>
  <si>
    <t>16.- The woman</t>
  </si>
  <si>
    <t>17.- What is the cause of the conflict?</t>
  </si>
  <si>
    <t>18.- A collision between the Earth and another planet may have resulted in</t>
  </si>
  <si>
    <t>19.- The boy Belbo</t>
  </si>
  <si>
    <t>20.- According to the report, which statement is true?</t>
  </si>
  <si>
    <t xml:space="preserve">21.- </t>
  </si>
  <si>
    <t>22.- According to the author</t>
  </si>
  <si>
    <t>23.- According to the interview, the journalist likes covering organized crime because</t>
  </si>
  <si>
    <t>24.- The speaker says Hillary Clinton objected to the appointment of a special prosecutor
because…</t>
  </si>
  <si>
    <t>25.- The teacher criticises</t>
  </si>
  <si>
    <t>26.- The speaker believes that…</t>
  </si>
  <si>
    <t>27.- According to the speaker, Thomas Jefferson</t>
  </si>
  <si>
    <t>28.- What opinion does the scholar express about the Book of Revelation?</t>
  </si>
  <si>
    <t>29.- According to the speaker, WWI Remembrance Day</t>
  </si>
  <si>
    <t>30.- The writer says that, when writing about history, it is particularly challenging to</t>
  </si>
  <si>
    <t>31.- According to the man, people</t>
  </si>
  <si>
    <t>32.- The speaker suggests that network news</t>
  </si>
  <si>
    <t>33.- According to the speaker, the British Armed Forces</t>
  </si>
  <si>
    <t>34.- Male midlife crisis…</t>
  </si>
  <si>
    <t>35.- The speaker suggests that the U.S.’s role should be to…</t>
  </si>
  <si>
    <t>36.- The speaker suggests that religious institutions’ views on certain issues..</t>
  </si>
  <si>
    <t>37.- What opinion does the speaker imply about the approval process for “Plan B?”</t>
  </si>
  <si>
    <t>38.- What does the traveller say about Western travellers’ perception of Tibet?</t>
  </si>
  <si>
    <t>39.- What does the speaker say about beauty?</t>
  </si>
  <si>
    <t>40.- According to the woman, how do people react to misfortunes?</t>
  </si>
  <si>
    <t>According to the extract</t>
  </si>
  <si>
    <t>nuns have higher chances of developing dementia</t>
  </si>
  <si>
    <t>keeping a diary can prevent Alzheimer's</t>
  </si>
  <si>
    <t>linguistic ability may be linked to Alzheimer's</t>
  </si>
  <si>
    <t xml:space="preserve">dementia begins at an earlier age than thought. </t>
  </si>
  <si>
    <t>The speaker was angry because throughout the labour</t>
  </si>
  <si>
    <t>she was in a lot of pain</t>
  </si>
  <si>
    <t>she couldn’t feel the baby</t>
  </si>
  <si>
    <t>she had to deliver the baby herself</t>
  </si>
  <si>
    <t xml:space="preserve">she encountered unfair treatment. </t>
  </si>
  <si>
    <t>This new use of Google’s “Street View” will allow users to…</t>
  </si>
  <si>
    <t xml:space="preserve">see what the surface of the moon looks like. </t>
  </si>
  <si>
    <t>enjoy panoramic views of life in a rain forest</t>
  </si>
  <si>
    <t xml:space="preserve">simulate a voyage under the ocean’s surface. </t>
  </si>
  <si>
    <t>take photographs of remote bio-diverse areas</t>
  </si>
  <si>
    <t xml:space="preserve">The man asked the store to… </t>
  </si>
  <si>
    <r>
      <t xml:space="preserve">A </t>
    </r>
    <r>
      <rPr>
        <sz val="11.5"/>
        <color theme="1"/>
        <rFont val="Calibri"/>
        <family val="2"/>
        <scheme val="minor"/>
      </rPr>
      <t>return his money</t>
    </r>
  </si>
  <si>
    <t>give him a toy dinosaur</t>
  </si>
  <si>
    <t>draw a picture for him</t>
  </si>
  <si>
    <t>advertise his drawings.</t>
  </si>
  <si>
    <t>What does Rose say about the job market?</t>
  </si>
  <si>
    <t xml:space="preserve">It is best to approach employers in person. </t>
  </si>
  <si>
    <t>The ways of seeking jobs have changed</t>
  </si>
  <si>
    <t>There are no job offers at present in the legal field</t>
  </si>
  <si>
    <t>The legal field is booming right now</t>
  </si>
  <si>
    <t>According to scientists, eating dirt</t>
  </si>
  <si>
    <t>is a surprisingly good source of nutrition</t>
  </si>
  <si>
    <t>is something that only healthy people do</t>
  </si>
  <si>
    <t>is dangerous because dirt contains many toxins</t>
  </si>
  <si>
    <t>has yet to be proved to have health benefits</t>
  </si>
  <si>
    <t>The analysis</t>
  </si>
  <si>
    <t>gives accurate insight into past events.</t>
  </si>
  <si>
    <t>provides explanations for political phenomena</t>
  </si>
  <si>
    <t>identifies contradictory news reports.</t>
  </si>
  <si>
    <t>comprises news stories from various decades.</t>
  </si>
  <si>
    <t>Ecuador’s police…</t>
  </si>
  <si>
    <t>looted government buildings in protest</t>
  </si>
  <si>
    <t>mutinied against the future lie detector test</t>
  </si>
  <si>
    <t>threatened to kill the nation’s president</t>
  </si>
  <si>
    <t xml:space="preserve">went on strike to protest against a salary cut. </t>
  </si>
  <si>
    <t>Now it is possible to clone a mammoth because</t>
  </si>
  <si>
    <t>crucial similarities with elephants were discovered</t>
  </si>
  <si>
    <t>intact genetic material of a mammoth was found</t>
  </si>
  <si>
    <t>know-how from different countries is being combined.</t>
  </si>
  <si>
    <t>a viable cloning method has been developed</t>
  </si>
  <si>
    <t>According to the extract, low stress levels are predicted by</t>
  </si>
  <si>
    <t>ability to deal with problems</t>
  </si>
  <si>
    <t>having good health</t>
  </si>
  <si>
    <t>having a leader personality</t>
  </si>
  <si>
    <t xml:space="preserve">a quiet and peaceful social life. </t>
  </si>
  <si>
    <t xml:space="preserve">Which statement is true? </t>
  </si>
  <si>
    <t>Users will be able to contribute to developing the site</t>
  </si>
  <si>
    <t>Those who sign up early will get a discount for the site</t>
  </si>
  <si>
    <t>The site will include unpublished scenes from the films</t>
  </si>
  <si>
    <t>The site will develop the saga’s characters</t>
  </si>
  <si>
    <t>The man says that in his experience, U.S. citizens</t>
  </si>
  <si>
    <t>are rather reserved towards newcomers</t>
  </si>
  <si>
    <t>have little interest in what happens beyond their borders</t>
  </si>
  <si>
    <t>want to know what other nations think about them</t>
  </si>
  <si>
    <t>think immigration enriches their own culture.</t>
  </si>
  <si>
    <t xml:space="preserve">What are war veterans’ strong points as workers? </t>
  </si>
  <si>
    <t>They are used to taking orders</t>
  </si>
  <si>
    <t>Some have specialized skills</t>
  </si>
  <si>
    <t>Some have experience working in the fields</t>
  </si>
  <si>
    <t>They adapt easily to new environments</t>
  </si>
  <si>
    <t>The Tunisian migrants</t>
  </si>
  <si>
    <t>will stay on Lampedusa for the time being</t>
  </si>
  <si>
    <t>ignited petrol tanks in the holding centre</t>
  </si>
  <si>
    <t>were supported by the island’s inhabitants</t>
  </si>
  <si>
    <t xml:space="preserve">rebelled after learning about their fate. </t>
  </si>
  <si>
    <t>According to the speaker, natural navigation</t>
  </si>
  <si>
    <t xml:space="preserve">is virtually impossible on a cloudy day. </t>
  </si>
  <si>
    <t>is a fast and reliable way of navigating</t>
  </si>
  <si>
    <t>uses particular landmarks for orientation</t>
  </si>
  <si>
    <t>uses plant growth patterns for orientation</t>
  </si>
  <si>
    <t>Which statement is true about Patricia and Anne?</t>
  </si>
  <si>
    <t>They studied at the same university</t>
  </si>
  <si>
    <t>They played together as children</t>
  </si>
  <si>
    <t>They both used to be married.</t>
  </si>
  <si>
    <t xml:space="preserve">They share experiences about farming. </t>
  </si>
  <si>
    <t xml:space="preserve">The woman says that… </t>
  </si>
  <si>
    <t>the city is fascinating due to its ornamentation</t>
  </si>
  <si>
    <t>the city is a few miles off the coast</t>
  </si>
  <si>
    <t>the city centre is quite intricate and chaotic</t>
  </si>
  <si>
    <t>the city centre is popular among residents</t>
  </si>
  <si>
    <t>According to the speaker</t>
  </si>
  <si>
    <t>most N. Koreans will be watching their team live on TV</t>
  </si>
  <si>
    <t>many N. Korean fans will be present at the World Cup</t>
  </si>
  <si>
    <t>the team must follow their leader’s tactical instructions</t>
  </si>
  <si>
    <t xml:space="preserve">N. Korea’s games might not be seen on TV if they lose. </t>
  </si>
  <si>
    <t>The man says that the woods of Maine</t>
  </si>
  <si>
    <t xml:space="preserve">attract a lot of tourists in summer time. </t>
  </si>
  <si>
    <t>are important for the state’s economy</t>
  </si>
  <si>
    <t xml:space="preserve">were a dangerous place in the past. </t>
  </si>
  <si>
    <t>are enormous and quite inaccessible</t>
  </si>
  <si>
    <t>The man says</t>
  </si>
  <si>
    <t>Burton represents the life he could not live</t>
  </si>
  <si>
    <t>reading a biography inspired him to change his life</t>
  </si>
  <si>
    <t>he plans to write about the places he travelled</t>
  </si>
  <si>
    <t xml:space="preserve">he could not find the route where Burton had travelled. </t>
  </si>
  <si>
    <t xml:space="preserve">CAP. ART.  JOSE  FRANCISCO   CAMPOS  BARBERO </t>
  </si>
  <si>
    <t xml:space="preserve">CAP. CAB.  GABRIEL     ECHEVERRIA  URQUIZU </t>
  </si>
  <si>
    <t xml:space="preserve">CAP. ABSTO.  MANUEL  JOSE    CEREZO       LOPEZ </t>
  </si>
  <si>
    <t>06965997</t>
  </si>
  <si>
    <t>15992562</t>
  </si>
  <si>
    <t>30499977</t>
  </si>
  <si>
    <t>17870902</t>
  </si>
  <si>
    <t xml:space="preserve">CURSO INTENSIVO NIVEL FUNCIONAL ENERO/2013 </t>
  </si>
  <si>
    <t>EXAMEN 106</t>
  </si>
  <si>
    <t>EXAMEN 106/MP3/Q-1.mp3</t>
  </si>
  <si>
    <t>EXAMEN 106/MP3/Q-2.mp3</t>
  </si>
  <si>
    <t>EXAMEN 106/MP3/Q-3.mp3</t>
  </si>
  <si>
    <t>EXAMEN 106/MP3/Q-4.mp3</t>
  </si>
  <si>
    <t>EXAMEN 106/MP3/Q-5.mp3</t>
  </si>
  <si>
    <t>EXAMEN 106/MP3/Q-6.mp3</t>
  </si>
  <si>
    <t>EXAMEN 106/MP3/Q-7.mp3</t>
  </si>
  <si>
    <t>EXAMEN 106/MP3/Q-8.mp3</t>
  </si>
  <si>
    <t>EXAMEN 106/MP3/Q-9.mp3</t>
  </si>
  <si>
    <t>EXAMEN 106/MP3/Q-10.mp3</t>
  </si>
  <si>
    <t>EXAMEN 106/MP3/Q-11.mp3</t>
  </si>
  <si>
    <t>EXAMEN 106/MP3/Q-12.mp3</t>
  </si>
  <si>
    <t>EXAMEN 106/MP3/Q-13.mp3</t>
  </si>
  <si>
    <t>EXAMEN 106/MP3/Q-14.mp3</t>
  </si>
  <si>
    <t>EXAMEN 106/MP3/Q-15.mp3</t>
  </si>
  <si>
    <t>EXAMEN 106/MP3/Q-16.mp3</t>
  </si>
  <si>
    <t>EXAMEN 106/MP3/Q-17.mp3</t>
  </si>
  <si>
    <t>EXAMEN 106/MP3/Q-18.mp3</t>
  </si>
  <si>
    <t>EXAMEN 106/MP3/Q-19.mp3</t>
  </si>
  <si>
    <t>EXAMEN 106/MP3/Q-20.mp3</t>
  </si>
  <si>
    <t>EXAMEN 106/MP3/Q-21.mp3</t>
  </si>
  <si>
    <t>EXAMEN 106/MP3/Q-22.mp3</t>
  </si>
  <si>
    <t>EXAMEN 106/MP3/Q-23.mp3</t>
  </si>
  <si>
    <t>EXAMEN 106/MP3/Q-24.mp3</t>
  </si>
  <si>
    <t>EXAMEN 106/MP3/Q-25.mp3</t>
  </si>
  <si>
    <t>EXAMEN 106/MP3/Q-26.mp3</t>
  </si>
  <si>
    <t>EXAMEN 106/MP3/Q-27.mp3</t>
  </si>
  <si>
    <t>EXAMEN 106/MP3/Q-28.mp3</t>
  </si>
  <si>
    <t>EXAMEN 106/MP3/Q-29.mp3</t>
  </si>
  <si>
    <t>EXAMEN 106/MP3/Q-30.mp3</t>
  </si>
  <si>
    <t>EXAMEN 106/MP3/Q-31.mp3</t>
  </si>
  <si>
    <t>EXAMEN 106/MP3/Q-32.mp3</t>
  </si>
  <si>
    <t>EXAMEN 106/MP3/Q-33.mp3</t>
  </si>
  <si>
    <t>EXAMEN 106/MP3/Q-34.mp3</t>
  </si>
  <si>
    <t>EXAMEN 106/MP3/Q-35.mp3</t>
  </si>
  <si>
    <t>EXAMEN 106/MP3/Q-36.mp3</t>
  </si>
  <si>
    <t>EXAMEN 106/MP3/Q-37.mp3</t>
  </si>
  <si>
    <t>EXAMEN 106/MP3/Q-38.mp3</t>
  </si>
  <si>
    <t>EXAMEN 106/MP3/Q-39.mp3</t>
  </si>
  <si>
    <t>EXAMEN 106/MP3/Q-40.mp3</t>
  </si>
  <si>
    <t>COL. ALFONSO CHILLÓN MODREGO</t>
  </si>
  <si>
    <t>17203922</t>
  </si>
  <si>
    <t>a. He is not happy there</t>
  </si>
  <si>
    <t>b. There are too many Syrians</t>
  </si>
  <si>
    <t>c. Things are not cheap there</t>
  </si>
  <si>
    <t>d. He and his wife have no friends</t>
  </si>
  <si>
    <t>a. She is very happy in her job</t>
  </si>
  <si>
    <t xml:space="preserve">b. She dislikes travelling </t>
  </si>
  <si>
    <t>c. She has a small sales territory</t>
  </si>
  <si>
    <t>d. She is in the same place every day</t>
  </si>
  <si>
    <t>a. He came from a rich family</t>
  </si>
  <si>
    <t>b. Houdini is his real name</t>
  </si>
  <si>
    <t>c. He spent some time in a circus</t>
  </si>
  <si>
    <t>d. He liked to fly</t>
  </si>
  <si>
    <t>a. The departure lounge is full</t>
  </si>
  <si>
    <t>b. A flight has been cancelled</t>
  </si>
  <si>
    <t>c. The airport has no information screens</t>
  </si>
  <si>
    <t>d. The Singapore flight will leave later than planned</t>
  </si>
  <si>
    <t>a. Different kinds of fish</t>
  </si>
  <si>
    <t>b. What they do on Friday nights</t>
  </si>
  <si>
    <t>c. The town they live in</t>
  </si>
  <si>
    <t>d. How they spent the weekend</t>
  </si>
  <si>
    <t>a. He promised to fight terrorism</t>
  </si>
  <si>
    <t>b. He negotiated with Afghanistan</t>
  </si>
  <si>
    <t>c. He ended tyranny in the world</t>
  </si>
  <si>
    <t>d. He finished his mandate in 2005</t>
  </si>
  <si>
    <t xml:space="preserve">a. They all have the same opinion </t>
  </si>
  <si>
    <t>b. They are having an argument</t>
  </si>
  <si>
    <t>c. They are discussing a film</t>
  </si>
  <si>
    <t>d. They are discussing an actor</t>
  </si>
  <si>
    <t>a. The woman has acquired a new computer.</t>
  </si>
  <si>
    <t>b. The woman is learning a new program.</t>
  </si>
  <si>
    <t>c. The woman’s computer is an older model.</t>
  </si>
  <si>
    <t xml:space="preserve">d. The woman’s computer has been repaired.      </t>
  </si>
  <si>
    <t>a. Boring occupations</t>
  </si>
  <si>
    <t xml:space="preserve">b. The issue of employment </t>
  </si>
  <si>
    <t>c. Creating jobs in the White House</t>
  </si>
  <si>
    <t>d. American people</t>
  </si>
  <si>
    <t>a. It pays workers very well</t>
  </si>
  <si>
    <t>b. It sends people abroad to work</t>
  </si>
  <si>
    <t>c. It  only sends young people abroad</t>
  </si>
  <si>
    <t>d. Local people resent its people</t>
  </si>
  <si>
    <t>a. Being in a contest</t>
  </si>
  <si>
    <t>b. Having to make a big effort</t>
  </si>
  <si>
    <t>c. Insufficient oxygen to the brain</t>
  </si>
  <si>
    <t xml:space="preserve">d. High blood pressure </t>
  </si>
  <si>
    <t>a. Invest the money</t>
  </si>
  <si>
    <t>b. Pay for things</t>
  </si>
  <si>
    <t>c. Go on a holiday</t>
  </si>
  <si>
    <t>d. Wait for a rainy day</t>
  </si>
  <si>
    <t>a. She no longer performs official duties.</t>
  </si>
  <si>
    <t>b. She opened the Jubilee celebrations.</t>
  </si>
  <si>
    <t>c. She viewed a website about the celebrations.</t>
  </si>
  <si>
    <t xml:space="preserve">d. She has been the Queen for six decades.  </t>
  </si>
  <si>
    <t>a. He gives twenty pounds to his brother-in-law</t>
  </si>
  <si>
    <t>b. He is working and studying at the moment</t>
  </si>
  <si>
    <t xml:space="preserve">c. He knows a project manager </t>
  </si>
  <si>
    <t>d. His parents live in Shanghai</t>
  </si>
  <si>
    <t>a. There was an accident in India in 2004</t>
  </si>
  <si>
    <t>b. The Union Carbide Company is still operating</t>
  </si>
  <si>
    <t>c. Over three thousand people were killed due to a gas leak</t>
  </si>
  <si>
    <t>d. All of the men found guilty have gone to prison</t>
  </si>
  <si>
    <t xml:space="preserve">a. His salary was bad </t>
  </si>
  <si>
    <t>b. He didn’t like his workmates</t>
  </si>
  <si>
    <t>c. He has left his job</t>
  </si>
  <si>
    <t xml:space="preserve">d. He likes working long hours </t>
  </si>
  <si>
    <t>a. The hurricane was not expected</t>
  </si>
  <si>
    <t>b. People had been told to leave New Orleans</t>
  </si>
  <si>
    <t>c. People weren’t worried about danger</t>
  </si>
  <si>
    <t>d. People thought the storm would pass</t>
  </si>
  <si>
    <t>a. It’s OK to speak about personal matters</t>
  </si>
  <si>
    <t>b. Talking about politics is permitted</t>
  </si>
  <si>
    <t>c. Religion is an ideal topic</t>
  </si>
  <si>
    <t>d. You can speak about anything you want</t>
  </si>
  <si>
    <t>a. His family</t>
  </si>
  <si>
    <t>b. His students</t>
  </si>
  <si>
    <t>c. His friends</t>
  </si>
  <si>
    <t>d. His teachers</t>
  </si>
  <si>
    <t>a. It struggles to keep its cultural identity.</t>
  </si>
  <si>
    <t>b. It has few historical attractions.</t>
  </si>
  <si>
    <t>c. It attracts European tourists.</t>
  </si>
  <si>
    <t xml:space="preserve">d. It is of interest to archeologists.        </t>
  </si>
  <si>
    <t>a. It has lost popularity</t>
  </si>
  <si>
    <t>b. It has expanded</t>
  </si>
  <si>
    <t>c. It is now held in London</t>
  </si>
  <si>
    <t>d. It started in 1991</t>
  </si>
  <si>
    <t>a. He started an organization</t>
  </si>
  <si>
    <t>b. He misused chemicals</t>
  </si>
  <si>
    <t>c. He worked on a grape farm</t>
  </si>
  <si>
    <t>d. He employed migrant workers</t>
  </si>
  <si>
    <t>a. She lived in Africa</t>
  </si>
  <si>
    <t>b. She sang in an opera</t>
  </si>
  <si>
    <t>c. She had a happy childhood</t>
  </si>
  <si>
    <t>d. She only wrote one book</t>
  </si>
  <si>
    <t>a. They have fewer international connections.</t>
  </si>
  <si>
    <t>b. They have a longstanding link with their soldiers.</t>
  </si>
  <si>
    <t>c. They regularly perform ceremonies.</t>
  </si>
  <si>
    <t xml:space="preserve">d. They exert influence over the C.I.A.     </t>
  </si>
  <si>
    <t xml:space="preserve">a. They didn’t want to. </t>
  </si>
  <si>
    <t>b. They were encouraged to.</t>
  </si>
  <si>
    <t>c.  It made their parents anxious.</t>
  </si>
  <si>
    <t xml:space="preserve">d. They had unfortunate experiences.    </t>
  </si>
  <si>
    <t>a. She went to a special gymnastic school</t>
  </si>
  <si>
    <t>b. She disliked academic work at school</t>
  </si>
  <si>
    <t>c. She trained at gymnastics on the weekends</t>
  </si>
  <si>
    <t>d. She wasn’t accepted into the gymnastic school</t>
  </si>
  <si>
    <t xml:space="preserve">a. There are  seventeen suspects </t>
  </si>
  <si>
    <t>b. A prosecutor confessed to the crime</t>
  </si>
  <si>
    <t>c. Students were shot in a school</t>
  </si>
  <si>
    <t>d. The prime suspect died</t>
  </si>
  <si>
    <t>a. She dislikes her school dinners</t>
  </si>
  <si>
    <t>b. She has publicized her opinion of her school dinners</t>
  </si>
  <si>
    <t>c. She started a charity organization for poor children</t>
  </si>
  <si>
    <t>d. She prefers to eat dinner at home</t>
  </si>
  <si>
    <t>a. She doesn’t like her job</t>
  </si>
  <si>
    <t>b. She has to do her colleague’s work</t>
  </si>
  <si>
    <t>c. She feels that the man is not helpful</t>
  </si>
  <si>
    <t>d. Her manager always leaves early</t>
  </si>
  <si>
    <t xml:space="preserve">a. Recurring headaches </t>
  </si>
  <si>
    <t>b. Experts have found a cure for severe head pain</t>
  </si>
  <si>
    <t>c. All headaches are easy to treat</t>
  </si>
  <si>
    <t>d. The use of aspirin</t>
  </si>
  <si>
    <t>a. He had been a journalist in Iraq</t>
  </si>
  <si>
    <t>b. He did not see war first hand</t>
  </si>
  <si>
    <t>c. He understands how the troops feel</t>
  </si>
  <si>
    <t>d. He would love to return to Iraq</t>
  </si>
  <si>
    <t>a. They are still inefficient</t>
  </si>
  <si>
    <t>b. They are bigger than conventional ones</t>
  </si>
  <si>
    <t>c. They do not vibrate</t>
  </si>
  <si>
    <t>d. They are economical at the moment</t>
  </si>
  <si>
    <t>a. Consumers prefer designer clothes</t>
  </si>
  <si>
    <t>b. Clothes made outside the US are more in demand</t>
  </si>
  <si>
    <t>c. Consumers now want clothes made in the US</t>
  </si>
  <si>
    <t>d. Textile companies do not want to change</t>
  </si>
  <si>
    <t>a. It is Japan’s number one toymaker</t>
  </si>
  <si>
    <t>b. It does not want to change anything</t>
  </si>
  <si>
    <t>c. It specializes in alarm clocks</t>
  </si>
  <si>
    <t>d. It makes unusual gadgets now</t>
  </si>
  <si>
    <t xml:space="preserve">a. Natural causes </t>
  </si>
  <si>
    <t>b. Bad agricultural practices</t>
  </si>
  <si>
    <t>c. Clearing trees</t>
  </si>
  <si>
    <t>d. The United Nations</t>
  </si>
  <si>
    <t>a. They are international</t>
  </si>
  <si>
    <t>b. One is given every year</t>
  </si>
  <si>
    <t>c. The recipients are very creative</t>
  </si>
  <si>
    <t>d. The recipients are academic achievers</t>
  </si>
  <si>
    <t>a. He is very religious.</t>
  </si>
  <si>
    <t>b. He studied social media at Oxford.</t>
  </si>
  <si>
    <t>c. He won a contest.</t>
  </si>
  <si>
    <t xml:space="preserve">d. He dislikes working.  </t>
  </si>
  <si>
    <t>a. Abdul Nasser Garem  is schizophrenic</t>
  </si>
  <si>
    <t>b. He attended art school in Saudi Arabia</t>
  </si>
  <si>
    <t>c. He taught art in the Saudi Arabian Army</t>
  </si>
  <si>
    <t>d. He  taught himself about art</t>
  </si>
  <si>
    <t>a. He was a follower of Slobodan Milosevic</t>
  </si>
  <si>
    <t>b. He believes in non-violent struggle</t>
  </si>
  <si>
    <t>c. He learned his strategies from Arab revolutionaries</t>
  </si>
  <si>
    <t>d. He is a preacher from Belgrade</t>
  </si>
  <si>
    <t>a. He liked the advertisement</t>
  </si>
  <si>
    <t>b. He didn’t recognize the Ford logo</t>
  </si>
  <si>
    <t>c. He never remembers car ads</t>
  </si>
  <si>
    <t>d. He has bought a Ford car</t>
  </si>
  <si>
    <t>1.- Living abroad……...What does Rajab say about living in York?</t>
  </si>
  <si>
    <t>2.- A job description……... Which statement is correct about the speaker?</t>
  </si>
  <si>
    <t>3.- Harry Houdini ……...Which statement is correct about Houdini?</t>
  </si>
  <si>
    <t>4.- At the airport ……...What is the principal message?</t>
  </si>
  <si>
    <t xml:space="preserve">5.- A short conversation……...What are the speakers talking about?  </t>
  </si>
  <si>
    <t>6.- Bush Mandate……...What can be said of President Bush?</t>
  </si>
  <si>
    <t>7.- Exchanging opinions……...What can be said about the speakers?</t>
  </si>
  <si>
    <t xml:space="preserve">8.- New Technology……...Which of the following is true? </t>
  </si>
  <si>
    <t>9.- A hot topic ……...What is being referred to in the extract?</t>
  </si>
  <si>
    <t>10.- Voluntary Service Overseas (VSO)……...What can be said about this organization?</t>
  </si>
  <si>
    <t>11.- Fainting……...What is the cause of fainting?</t>
  </si>
  <si>
    <t>12.- If you were given some money……...What would the interviewee like to do?</t>
  </si>
  <si>
    <t xml:space="preserve">13.- Queen Elizabeth……...What is said about Queen Elizabeth the Second?                                                                        </t>
  </si>
  <si>
    <t>14.- Working in Shanghai……...What can be said about Chen Liu?</t>
  </si>
  <si>
    <t>15.- Union Carbide……...Which statement is correct according to the extract?</t>
  </si>
  <si>
    <t>16.- Sailing around the world……...Which statement is correct about Thomas Hunter?</t>
  </si>
  <si>
    <t>17.- Hurricane Katrina……...Which statement is correct according to the extract?</t>
  </si>
  <si>
    <t>18.- Conversation at dinner ……... Which statement is correct?</t>
  </si>
  <si>
    <t xml:space="preserve">19.- Meet the Authors: Morris Gleitzman……...Who were the first people to read Morris Gleitzman’s stories? </t>
  </si>
  <si>
    <t xml:space="preserve">20.- Ethiopia.……...What is said about Ethiopia? </t>
  </si>
  <si>
    <t xml:space="preserve">21.- Listen to English. Going to the Dogs……...What is said about Cruft’s dog show? </t>
  </si>
  <si>
    <t xml:space="preserve">22.- Migrant Farm Workers.……...What is said about the migrant farm worker, Cezar Chavez? </t>
  </si>
  <si>
    <t xml:space="preserve">23.- The New Elizabethans. Doris Lessing. ……...What is said about Doris Lessing? </t>
  </si>
  <si>
    <t xml:space="preserve">24.- Monarchy.……...What is said about British monarchs? </t>
  </si>
  <si>
    <t xml:space="preserve">25.- Children and Nature……...What is said about the children going outdoors? </t>
  </si>
  <si>
    <t xml:space="preserve">26.- Nadia Comaneci.……...What is said about Nadia Comaneci? </t>
  </si>
  <si>
    <t>27.- A shooting……...Which of the following statements is correct according to what you have heard?</t>
  </si>
  <si>
    <t xml:space="preserve">28.- School dinners.……...What is said about the schoolgirl, Martha Payne? </t>
  </si>
  <si>
    <t xml:space="preserve">29.- Frustrations at Work……...Why is the woman complaining? </t>
  </si>
  <si>
    <t>30.- Headaches……...What is the subject of the extract?</t>
  </si>
  <si>
    <t>31.- US Army specialist……...Which statement is correct about the man interviewed?</t>
  </si>
  <si>
    <t>32.- Wind Turbines……...What can be said about the speaker’s wind turbines?</t>
  </si>
  <si>
    <t>33.- US clothing trends……...Which statement is correct according to the extract?</t>
  </si>
  <si>
    <t>34.- Japanese toymaker……...Which statement is correct about Takara?</t>
  </si>
  <si>
    <t>35.- Deforestation……...According to the extract, what is the principal cause of deforestation?</t>
  </si>
  <si>
    <t xml:space="preserve">36.- English Café.The McArthur Fellows Program……...What is said about the Genius Awards? </t>
  </si>
  <si>
    <t xml:space="preserve">37.- Musa Okwonga……...Which of the following is true about Musa Okwonga?                                                                </t>
  </si>
  <si>
    <t>38.- Saudi army officer……... Which of the following statements is correct according to what you have heard?</t>
  </si>
  <si>
    <t>39.- A Serb teaches Arab revolutionaries……...What can we say about Srdja Popovic?</t>
  </si>
  <si>
    <t>40.- A car advertisement……...Which statement is correct about the speaker?</t>
  </si>
  <si>
    <t xml:space="preserve">NIVEL FUNCIONAL ABRIL 2013 </t>
  </si>
  <si>
    <t>President Sarkozy’s Son is Trouble over Tomato Incident.         ………………………………French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</si>
  <si>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Hero Saves Man’s Life.                                                       ………………………………Jack Easton was driving home from work at 6.30 in the evening when he saw a yellow van, driven by James Smith, crash into a tree. Without thinking of his own safety, he pulled the young man out of the van and took him to hospital. James is making good progress.</t>
  </si>
  <si>
    <t>Schoolboy Hero                                   ………………………………Andrew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</si>
  <si>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 xml:space="preserve">Should Supermarket Carrier Bags be Banned?  ………………………………New European rules are being brought in to reduce the number of plastic carrier bags we use. In 2011, Italy became the first country in Europe to prohibit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</si>
  <si>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Slovakian Castle Gets Badly Burned.                           ………………………………The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</si>
  <si>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Seven Rescued After Cargo Ship Crashes in Wales.  ……………………………… A Royal Navy sea king helicopter and two lifeboats rescued seven crew members after a cargo ship ran aground in Wales. The ship crashed into rocks during a storm which saw gale force winds and five-meter tall waves battering it. Assistant Chief Constable Gareth Pritchard said: “This was a very difficult operation involving many agencies in very bad weather. Everyone is delighted that the seven crewmen were rescued without injury and they are safe and well. The Welsh Government is closely monitoring the ship to make sure that fuel doesn’t leak into the sea.</t>
  </si>
  <si>
    <t>Three Rescued After Balloon Gets Trapped in Power Lines.  ………………………………Three people had to be rescued from a hot-air balloon after it got trapped in power cables in Northamptonshire. The canopy of the balloon became tangled in power lines as the pilot was trying to land in a playing field. Firefighters had to wait four hours for the electricity to be made safe before they could begin the rescue. The passengers were stuck 15 meters in the air for almost five hours, but no-one was badly hurt.</t>
  </si>
  <si>
    <t xml:space="preserve">Scientists Have Created Toxic Glow Fish.                                ………………………………Fish that glow green when put in polluted water have been created in a British lab. It is hoped the luminous zebra fish will help improve the cleanliness of our rivers and help identify dangerous chemicals that get in to our water supply. The fish are designed so that the parts of their bodies harmed by pollutants light up. The advance was made at Exeter University. Chemicals from paints and many plastics often find their way in to our rivers, causing many creatures to have problems breeding as well as causing harm to humans. Professor Charles Tyler, who led the study, said: “This zebrafish gives us a better view than ever before of the potential effects of these chemicals on the body. It is very exciting.” </t>
  </si>
  <si>
    <t>‘Yes Scotland’ Independence Campaign Kicks Off.  ………………………………The offical campaign to persuade people in Scotland to vote for independence is kicking off. A big vote, expected in 2014, will ask Scots whether they want Scotland to separate from the U.K. and become its own country. The ‘Yes Scotland’ campaign is being led by the Scottish National Party and the launch is set to include Scots from many different backgrounds. An opposing campaign to keep Scotland a part of the UK will also begin soon. Scotland has its own parliament at the moment and it has power over many things such as education, police and transport. But some things such as national security and foreign policy are decided by UK politicians in Westminster. Scotland has been united with England since 1707.</t>
  </si>
  <si>
    <t>‘Big Cat’ Predator Ruled Out by DNA Tests.  ………………………………Lab tests on two deer found dead in Gloucestershire have ruled out them having been killed by a ‘big cat’. After weeks of testing by scientists, it’s looking more likely they were killed by a fox. Local people aren’t convinced though and believe that big cats are roaming around the Gloucestershire countryside. Rumors of big cats have been around there for some time, with locals describing a ‘panther-like’ animal living in the countryside.</t>
  </si>
  <si>
    <t xml:space="preserve">Teenage Girl Breaks Sailing Record.  ………………………………Dutch 16-year-old, Laura Dekker, has become the youngest solo sailor ever to sail around the world. But Laura won’t be sailing into the record books. Dutch officials took legal action to try to stop Laura when she announced she was going to try to break the record in a small boat. Guinness World Records decided to stop recognizing records for youngest sailors because of the danger. But Laura won a 10-month court battle to make the journey after saying she would buy a bigger boat and learn first aid.  </t>
  </si>
  <si>
    <t xml:space="preserve">Rowing adventure………………………………Six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</si>
  <si>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Golden Cape and Scarf Made of a Million Spider’s Silk.  ………………………………Spider-Man is known for spinning webs and swinging from building to building but maybe he should have thought of becoming a fashion designer! Later this month, the only large textiles in the world created from the silk of spiders goes on display. An embroidered cape and a 4-meter long scarf have both been spun for the silk of more than a million spiders. The clothes have taken seven years to create and they are a golden color. The cape and the scarf came from Golden Orb Weaver spiders collected in the highlands of Madagascar.</t>
  </si>
  <si>
    <t>Great Barrier Reef Examined Over Fears of Mining Damage.  ………………………………A United Nations team are in Australia to investigate possible damage to the Great Barrier Reef by mining. Home to 400 types of coral and 1,500 species of fish, the Reef lies off the coast of Queensland, Australia’s biggest coal producer. Environmentalists are worried that coal mining and gas exploration are threatening the reef’s future. They say the plans to increase coal production will mean more big ships carrying coal will damage the reef. John Hepburn from Greenpeace called it, “a reckless expansion that will have direct impact.” The UN team will spend a week examining the reef for any signs of pollution or damage.</t>
  </si>
  <si>
    <t xml:space="preserve">Male Dolphins Live in ‘Gangs’ to Protect Females.             ………………………………We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</si>
  <si>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Pakistan’s Sports Minister Wants to Share His Stamp Collection with World.  ………………………………Pakistan’s sports minister, Mohammed Ali Shah wants to change people’s perception of Pakistan-by turning it into the stamp collecting capital of the world! He said that he wants to promote a softer image of his violence-wracked country through his stamp collection. Mr. Shah has collected more than 10,000 stamps from all over the world, including a very rare ‘Penny Black’, the first sticky-backed postage stamp issued by Britain in 1840. “It is said that philately (stamp collecting) is the king of all hobbies and the hobby of kings,” said Mr. Shah.  Queen Elizabeth of England, too, is known to be a big collector of stamps. But due to email and the decrease in sending mail by post, one post office is closed down in England every month.</t>
  </si>
  <si>
    <t>Mars Mission Gets Back on Track.  ………………………………The Mars Science Laboratory (MSL), currently flying through space, has had its route corrected so it will land on the planet Mars in August. It was launched in November on a rocket from America, but it wasn’t travelling in exactly the right direction. In a three-hour process, it was put on course by firing up eight thrusters. The total journey from Earth is a staggering 570 million kilometers. It will have to be corrected again before it can land, but scientists say this is normal for a space flight to Mars.</t>
  </si>
  <si>
    <t>Henry the Eighth Have a Secret Daughter?  ………………………………According to historian Elizabeth Norton, who has been examining royal records, Elizabeth Tailboys was the child of King Henry the Eighth and his mistress, Bessie Blount. Elizabeth was adopted by her stepfather, Gilbert Tailboys. But, if the King had claimed her as his, she would have become queen, as she was older than his daughter with Anne Boleyn, who was also called Elizabeth and went on to become Queen Elizabeth 1.</t>
  </si>
  <si>
    <t>Michael Jackson Honored in Hollywood.  ………………………………Michael Jackson has become the first celebrity to have his hand and footprints put on the Hollywood Walk of Fame after his death. Thousands of fans watched his children, Paris, Prince Michael and Blanket, use his famous sequined glove and shoes to make the impressions. Loads of celebrities including Justin Bieber were also at the ceremony. The imprints will be placed alongside other Hollywood screen legends for fans to see.</t>
  </si>
  <si>
    <t>Wildlife Film-Maker John Varty Mauled by Tiger.          ………………………………A wildlife documentary-maker is seriously injured after being mauled by a tiger in South Africa. John Varty, 61, who is pioneering a controversial project to create a free-ranging, self-sustaining tiger population outside Asia, was attacked on his Tiger Canyons farm and taken to hospital, where he underwent six-hour emergency surgery. Varty suffered multiple injuries and puncture wounds all over his body and required a blood transfusion. Amanda Appelgryn, spokeswoman for the hospital, said Varty was conscious and she had spoken to him but he is not yet out of danger. She said: “He has multiple injuries all over his whole body but not his face. He’s not stable and he’s not critical, but somewhere in between. It’s best to say he’s in a serious condition. I can’t say he’s out of danger: with wild animals, there’s always the possibility of infection.”</t>
  </si>
  <si>
    <t>The Man Who Helped Simplify Chinese.  ………………………………Students struggling to learn Chinese might not know it, but their task has been made easier because of the work of one man. Zhou Youguang helped invent Pinyin, a writing system that turns Chinese characters into words using letters from the Roman alphabet. This is credited with helping raise literacy rates in China. Despite his achievements, Mr. Zhou remains largely unknown in his home country. Perhaps that is because the 106-year-old is a defiant character, refusing to take much credit for his work or pander to the Chinese Communist Party.  He is critical of the party that governs China and old enough not to care who is listening to what he has to say. Mr. Zhou’s life has coincided with most of the momentous events of China’s recent history, as it has moved from imperial dynasty to peoples’ republic to capitalist powerhouse.</t>
  </si>
  <si>
    <t>More Landmines are Being Laid Worldwide, Research Shows.  ………………………………Research has found that more and more landmines are being laid around the world. Landmines are used in war-torn countries all over the world and around 10,000 children are killed or seriously injured by them every year. Even though 80% of countries have signed up to a treaty to ban the use of landmines, countries like Syria, Libya and Israel are still planting the devices. Over the years many campaigns have tried to get them banned. Diana, Princess of Wales famously called for an international ban on landmines in 1997. Celebrities have also backed campaigns. Hollywood star Angelina Jolie saw the damage landmines can cause when she was filming the Tomb Raider movie in Cambodia. But despite worldwide campaigns, more mines were laid last year than in any year since 2004.</t>
  </si>
  <si>
    <t>Pierre Cardin Feud Tears Village Apart.   ………………………………Fashion designer Pierre Cardin has upset the locals in the French village of Lacoste, by buying the 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</si>
  <si>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Birds Perform Amazing Aerial Display.  ………………………………Thousands of birds in Wales are performing amazing aerial displays at dusk. It’s believed 100,000 starlings have arrived at Llanelli Nature Reserve to prepare for the winter. The birds’ spectacular displays include swirling and swooping –experts believe the birds do this to avoid being eaten by predators. Some of the starlings are from the UK but most have come from Russia and Scandinavia.</t>
  </si>
  <si>
    <t>Seal Pups on the Mend After Being Battered by Storms.  ………………………………The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</si>
  <si>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Elephant and Bee Researcher Nets Green Prize.  ………………………………A British scientist has won a coveted environment research prize for showing how bees can be used to reduce conflict between people and elephants. Lucy King’s work proved that beehive ‘fences’ can keep elephants out of African farmers’ fields or compounds. The animals are scared of bees, which can sting them inside their trunks, and flee when they hear buzzing. Dr. King received the prize at the Convention on Migratory Species meeting in Norway. The African -born scientist, whose research was supervised at Oxford University, said she was delighted and surprised to receive the prize. Working in Kenya, she and her team showed that more than 90% of elephants will flee when they hear the sounds of buzzing bees. They used the findings to construct barriers where beehives are woven into a fence, keeping the elephants away from places where people live and grow food.</t>
  </si>
  <si>
    <t>Eroding Taboos See Lemurs End Up on Dinner Tables.  ………………………………The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people from outside are moving into the area.”</t>
  </si>
  <si>
    <t>Tamara Rojo to be Artistic Director of English National Ballet.  ………………………………Tamara Rojo, prima ballerina at the Royal Ballet, is to become artistic director of English National Ballet. The 37-year-old dancer will take over in September from Wayne Eagling, whose unexpected departure after seven years was recently announced. Rojo, a principal dancer at the Royal Ballet, said she was honored to be taking over at a company she spent three years with in the late 1990s. Rojo takes over in difficult economic times. The English National Ballet, which tours extensively nationally and internationally, has been hit by a 15% but in Arts Council funding. Rojo spent three years with the company after she left Spain in 1996, making a significant splash for performances which prompted the ‘Times’ to call her ‘dance revelation of the year’. After that, she joined the Royal Ballet where her reputation has gone from strength to strength.</t>
  </si>
  <si>
    <t>Cheryl Cole Feared For Her Life on a Plane in Germany.  ………………………………Cheryl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</si>
  <si>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1. What is said about President Sarkozy’s son? </t>
  </si>
  <si>
    <t xml:space="preserve">2. Which statement is true? </t>
  </si>
  <si>
    <t xml:space="preserve">3. Which statement is true? </t>
  </si>
  <si>
    <t xml:space="preserve">4. What is said about plastic carrier bags? </t>
  </si>
  <si>
    <t>5. Which statement is true?</t>
  </si>
  <si>
    <t xml:space="preserve">6. Which statement is true? </t>
  </si>
  <si>
    <t xml:space="preserve">7. Which of the following is true? </t>
  </si>
  <si>
    <t xml:space="preserve">8. What is said about the toxic glow fish? </t>
  </si>
  <si>
    <t xml:space="preserve">9. Which statement is true? </t>
  </si>
  <si>
    <t xml:space="preserve">10. According to the report;                                                                                                                </t>
  </si>
  <si>
    <t xml:space="preserve">11. What is said about Guinness World Records?                                                                              </t>
  </si>
  <si>
    <t xml:space="preserve">12. What could be said about the rowers?                                                                               </t>
  </si>
  <si>
    <t xml:space="preserve">13. What is said about the clothes?                                                                                                         </t>
  </si>
  <si>
    <t xml:space="preserve">14. What is said about Great Barrier Reef? </t>
  </si>
  <si>
    <t xml:space="preserve">15. What is said about male dolphins? </t>
  </si>
  <si>
    <t xml:space="preserve">16. What is said about Pakistan?  </t>
  </si>
  <si>
    <t xml:space="preserve">17. What is said about the Mars Science Lab (MSL)?                                                                         </t>
  </si>
  <si>
    <t xml:space="preserve">18. What is said about King Henry the Eighth?                                                                                  </t>
  </si>
  <si>
    <t xml:space="preserve">19. Which of the following is true?                                                                                                       </t>
  </si>
  <si>
    <t xml:space="preserve">20. What is said about John Varty and the tiger attack? </t>
  </si>
  <si>
    <t xml:space="preserve">21. What is said about Zhou Youguang? </t>
  </si>
  <si>
    <t xml:space="preserve">22. Which statement is true? </t>
  </si>
  <si>
    <t xml:space="preserve">23. The report states that;                                                                                                                               </t>
  </si>
  <si>
    <t xml:space="preserve">24. Which of the following is true?                                                                                                             </t>
  </si>
  <si>
    <t xml:space="preserve">25. What is said about the starling birds?                                                                                                </t>
  </si>
  <si>
    <t xml:space="preserve">26. What is said about the seal pups?                                                                                                      </t>
  </si>
  <si>
    <t xml:space="preserve">27. The report states that;                                                                                                                        </t>
  </si>
  <si>
    <t xml:space="preserve">28. What is said about Lemurs in Madagascar?                                                                             </t>
  </si>
  <si>
    <t xml:space="preserve">29. What is said about Tamara Rojo? </t>
  </si>
  <si>
    <t xml:space="preserve">30. What is said about the singer, Cheryl Cole? </t>
  </si>
  <si>
    <t>a. He was hit by tomatoes</t>
  </si>
  <si>
    <t>b. The police officer arrested him</t>
  </si>
  <si>
    <t>c. He apologized to the police officer</t>
  </si>
  <si>
    <t xml:space="preserve">d. He was throwing tomatoes     </t>
  </si>
  <si>
    <t>a. Jack Easton crashed his car</t>
  </si>
  <si>
    <t>b. James Smith will not recover</t>
  </si>
  <si>
    <t>c. Jack Easton assisted James Smith</t>
  </si>
  <si>
    <t>d. Jack Easton worried about his safety</t>
  </si>
  <si>
    <t>a. Andrew Nelson is a flying instructor</t>
  </si>
  <si>
    <t>b. The helicopter exploded</t>
  </si>
  <si>
    <t>c. Andrew Nelson saved four people</t>
  </si>
  <si>
    <t>d. Andrew Nelson called the fire brigade</t>
  </si>
  <si>
    <t>a. Their use is declining in England</t>
  </si>
  <si>
    <t>b. Their use is widespread in China</t>
  </si>
  <si>
    <t>c. They are no longer used in Italy</t>
  </si>
  <si>
    <t xml:space="preserve">d. They can be dissolved by the sea                                                                                           </t>
  </si>
  <si>
    <t>a. The castle was completely destroyed</t>
  </si>
  <si>
    <t>b. The boys intentionally started the fire</t>
  </si>
  <si>
    <t>c. The castle was partially destroyed</t>
  </si>
  <si>
    <t>d. The castle used to be a National Monument</t>
  </si>
  <si>
    <t>a.  The rescue operation failed</t>
  </si>
  <si>
    <t>b. Bad weather affected the ship</t>
  </si>
  <si>
    <t>c. Fuel has spilt from the ship</t>
  </si>
  <si>
    <t>d. One agency attempted the rescue</t>
  </si>
  <si>
    <t>a. The balloon landed in a playing field</t>
  </si>
  <si>
    <t>b. The rescue could not begin immediately</t>
  </si>
  <si>
    <t>c. Several people were injured</t>
  </si>
  <si>
    <t xml:space="preserve">d. Firefighter took four hours to arrive                                                                                    </t>
  </si>
  <si>
    <t>a. They are not affected by pollutants in the water</t>
  </si>
  <si>
    <t xml:space="preserve">b. They will indicate the presence of chemicals </t>
  </si>
  <si>
    <t>c. They glow green when the water is safe</t>
  </si>
  <si>
    <t>d. They usually have problems breeding</t>
  </si>
  <si>
    <t>a. The campaign has little support</t>
  </si>
  <si>
    <t>b. Scottish education is controlled by the UK</t>
  </si>
  <si>
    <t>c. Some Scots want to remain part of the UK</t>
  </si>
  <si>
    <t>d. The Scottish National Party opposes the campaign</t>
  </si>
  <si>
    <t>a. The deer were killed by a panther.</t>
  </si>
  <si>
    <t>b. Local residents disbelieve the test results.</t>
  </si>
  <si>
    <t>c. Local residents trust the test results.</t>
  </si>
  <si>
    <t xml:space="preserve">d. The rumors of big cats are true.                                                                                      </t>
  </si>
  <si>
    <t>a. Laura received its support.</t>
  </si>
  <si>
    <t>b. It is worried about risks to young sailors.</t>
  </si>
  <si>
    <t>c. It stopped Laura from making the voyage.</t>
  </si>
  <si>
    <t xml:space="preserve">d. Laura will appear in its next edition.                                                                                  </t>
  </si>
  <si>
    <t>a. They were all English.</t>
  </si>
  <si>
    <t>b. They broke a record.</t>
  </si>
  <si>
    <t>c. Their boat turned over.</t>
  </si>
  <si>
    <t xml:space="preserve">d. They had problems for 27 days.                                                                                </t>
  </si>
  <si>
    <t xml:space="preserve">a. They are part of a line made from spiders’ silk. </t>
  </si>
  <si>
    <t>b. They were made in Madagascar.</t>
  </si>
  <si>
    <t>c. A famous fashion designer made them from silk.</t>
  </si>
  <si>
    <t xml:space="preserve">d. The material used to create them came from spiders.                                                      </t>
  </si>
  <si>
    <t>a. It is obstructing gas exploration</t>
  </si>
  <si>
    <t>b. There is apprehension it will suffer damage</t>
  </si>
  <si>
    <t>c. Coal mining is prohibited in its vicinity</t>
  </si>
  <si>
    <t xml:space="preserve">d. The UN found it to be extensively damaged                  </t>
  </si>
  <si>
    <t>a. They live in gangs to protect themselves</t>
  </si>
  <si>
    <t>b. The can sometimes change gangs</t>
  </si>
  <si>
    <t>c. They gangs are always hostile to each other</t>
  </si>
  <si>
    <t xml:space="preserve">d. A male dolphin always stays in the same gang    </t>
  </si>
  <si>
    <t>a. Stamp collecting is very popular in Pakistan</t>
  </si>
  <si>
    <t>b. Mr. Shah hopes to alter peoples’ views of Pakistan</t>
  </si>
  <si>
    <t>c. Most of stamps collected in Pakistan come from Britain</t>
  </si>
  <si>
    <t>d. Many post offices are now closing in Pakistan</t>
  </si>
  <si>
    <t>a. It will reach its destination in November.</t>
  </si>
  <si>
    <t>b. Its route will need further adjustment.</t>
  </si>
  <si>
    <t>c. Scientists were surprised its route needed correction.</t>
  </si>
  <si>
    <t xml:space="preserve">d. Scientists do not expect it to reach its destination.                                                        </t>
  </si>
  <si>
    <t>a. He didn’t claim his older daughter.</t>
  </si>
  <si>
    <t>b. He didn’t want a second daughter.</t>
  </si>
  <si>
    <t>c. His older daughter inherited the throne.</t>
  </si>
  <si>
    <t xml:space="preserve">d. His older daughter was recognized as his.                                                                       </t>
  </si>
  <si>
    <t>a. Michael Jackson’s children watched a ceremony in his honor.</t>
  </si>
  <si>
    <t>b. Other celebrities were honored in the same ceremony.</t>
  </si>
  <si>
    <t>c. Michael Jackson’s accessories were used in the ceremony.</t>
  </si>
  <si>
    <t xml:space="preserve">d. Michael Jackson’s fans can make imprints close to his.                                                 </t>
  </si>
  <si>
    <t>a. His face was badly damaged</t>
  </si>
  <si>
    <t>b. He is making a good recovery</t>
  </si>
  <si>
    <t>c. He is unable to communicate</t>
  </si>
  <si>
    <t>d. His condition could go either way</t>
  </si>
  <si>
    <t>a. He used to be a literacy teacher in China</t>
  </si>
  <si>
    <t>b. He is a renowned figure in China</t>
  </si>
  <si>
    <t>c. He disapproves of the Chinese government</t>
  </si>
  <si>
    <t>d. He boasts about his work</t>
  </si>
  <si>
    <t>a. Classes are given in English in Malaysian schools</t>
  </si>
  <si>
    <t>b. Malaysian graduates are sought after in the I.T. industry</t>
  </si>
  <si>
    <t>c. The standard of English has declined in Malaysia</t>
  </si>
  <si>
    <t xml:space="preserve">d. Students from Singapore attend classes in Malaysia                                            </t>
  </si>
  <si>
    <t>a. Campaigns to ban landmines are proving effective.</t>
  </si>
  <si>
    <t>b. More than half the world’s nations have pledged not to use landmines.</t>
  </si>
  <si>
    <t>c. The majority of countries are reluctant to sign a treaty against landmines.</t>
  </si>
  <si>
    <t xml:space="preserve">d. Angelina Jolie organized an anti-landmine campaign in Cambodia.                                     </t>
  </si>
  <si>
    <t>a. Pierre Cardin is viewed by some as a benefactor.</t>
  </si>
  <si>
    <t>b. Pierre Cardin is highly respected by the fashion elite.</t>
  </si>
  <si>
    <t>c. The Lacoste locals are starting to leave their village.</t>
  </si>
  <si>
    <t xml:space="preserve">d.  Prices in Lacoste have decreased with the arrival of Cardin.                                            </t>
  </si>
  <si>
    <t>a. They fly during the early evening.</t>
  </si>
  <si>
    <t>b. The majority are from the U.K.</t>
  </si>
  <si>
    <t>c. Many have been eaten by predators.</t>
  </si>
  <si>
    <t xml:space="preserve">d. They will leave the reserve in winter.                                                                                   </t>
  </si>
  <si>
    <t>a. They caused a lot of problems.</t>
  </si>
  <si>
    <t>b. They were stranded in rough water.</t>
  </si>
  <si>
    <t>c. They had difficulty obtaining food.</t>
  </si>
  <si>
    <t xml:space="preserve">d. They were unaffected by the storm.                                                                                      </t>
  </si>
  <si>
    <t>a. Dr. King’s discovery will be used to protect food sources.</t>
  </si>
  <si>
    <t>b. Dr. King was awarded the prize in Oxford.</t>
  </si>
  <si>
    <t>c. Dr. King developed her theory while working at Oxford University.</t>
  </si>
  <si>
    <t xml:space="preserve">d. Elephants appear to be attracted to the sound of buzzing bees.                                      </t>
  </si>
  <si>
    <t>a. They are traditionally killed for bush meat.</t>
  </si>
  <si>
    <t>b. They usually produce offspring every year.</t>
  </si>
  <si>
    <t>c. They are being affected by the illegal gold mining industry.</t>
  </si>
  <si>
    <t xml:space="preserve">d. They were held in high regard by local people.                                                              </t>
  </si>
  <si>
    <t>a. She will be the artistic director of the Royal Ballet</t>
  </si>
  <si>
    <t>b. She previously danced with the English National Ballet</t>
  </si>
  <si>
    <t>c. She dance with the Royal Ballet for seven years</t>
  </si>
  <si>
    <t>d. Funding will increase when she takes over the ballet company</t>
  </si>
  <si>
    <t>a. She was in a storm on Kilimanjaro</t>
  </si>
  <si>
    <t>b. Her plane was grounded during a storm</t>
  </si>
  <si>
    <t>c. She refused to fly during a storm</t>
  </si>
  <si>
    <t>d. Her plane flew through a storm</t>
  </si>
  <si>
    <t>EXAMEN COMPRENSION TEXTOS ABRIL 2013</t>
  </si>
  <si>
    <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</si>
  <si>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Bill Richards.                                                                                        ………………………………Bill Richards gets up at 6am every day. He is never late for work. However, on Monday, he forgot to set his alarm clock. He woke up at 7am and arrived at the office an hour late. His boss was angry and warned him never to be late again.</t>
  </si>
  <si>
    <t>Travelling by Train.                                      ………………………………Travelling by train has many advantages. There are no stressful traffic jams and trains are fast and comfortable. You can use the time in different ways. You can sit and read or just watch the world go by. You can work or you can have a meal or a snack in the buffet car.</t>
  </si>
  <si>
    <t xml:space="preserve">Amount of Carbon Dioxide in Atmosphere will Delay Next Ice Age.  ………………………………It seems that the next Ice Age could be on hold because of the amount of carbon dioxide being released into the atmosphere by humans. The last Ice Age ended around 11,500 years ago and it had been predicted that the next one would begin in around 1,500 years. However, it is now thought that the amount of carbon dioxide in the atmosphere will delay this next Ice Age.  </t>
  </si>
  <si>
    <t>Japanese ‘Ghost Ship’ Drifting Near Canada.                            ………………………………A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</si>
  <si>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Europe’s Space Freighter Lifts Off.                        ………………………………The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</si>
  <si>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Mexico Hit by 7.6 Magnitude Earthquake.                ………………………………A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</si>
  <si>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Thieves are Stealing Chewing Gum to Use as Money.  ………………………………A police officer has revealed that thieves are targeting U.K. supermarkets and stealing chewing gum to use as money. An officer from West Mercia Police is investigating the crimes, which have spread across the U.K. Hundreds of pounds worth of chewing gum has been stolen so far. The investigation has revealed that in Romania, chewing gum and small sweets are often given as change instead of low-value coins.</t>
  </si>
  <si>
    <t xml:space="preserve">261 Schools Get Building Money From Government.  ………………………………A total of 261 schools in England have been told they’re getting money to repair or rebuild their old buildings. The government has announced which schools are being given part of a 2 billion pound pot of cash. But 326 schools missed out on the Priority School Building Program. The previous government had promised to rebuild every secondary school in England. But the new government cancelled the plan, saying it was too expensive. </t>
  </si>
  <si>
    <t>12-Year-Old Boy Wears a Skirt to School to Protest Against Uniform Rules.  ………………………………A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</si>
  <si>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‘Les Miserables’ Role Surprise For U.K. Actress.  ………………………………It could have been a scene in a Hollywood movie. The moment an unknown actress from the Isle of Man was told she was going to be a star in an upcoming blockbuster movie! That’s just what happened to Samantha Barks, when a top producer told her after a stage performance. She’ll now play Eponine, in a film version of the musical ‘Les Miserables’ alongside Hollywood screen stars. It was a total surprise for the actress, who’d just finished performing in ‘Oliver’ at Manchester’s Palace Theater.</t>
  </si>
  <si>
    <t>Giant Pillow Fight Held in Shanghai.  ………………………………A mass pillow fight for 1,000 people has been held in Shanghai. The giant pillow party was held to help people calm down and get rid of their stress. Everyone was given a pillow on arrival on which they wrote the name of the thing or person causing them stress. After a starting whistle, partygoers were free to hit anyone in the room with their pillow. It is the fifth giant pillow fight to be held in Shanghai and has been so popular thinking of similar events in other cities.</t>
  </si>
  <si>
    <t>‘Hugo’ and ‘The Artist’ Lead This Year’s Oscar Nominations.  ………………………………This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</si>
  <si>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Government Scraps Homework Rules for English Schools.    ………………………………Official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</si>
  <si>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Sierra Leone: All Boom But No Progress?  ………………………………In the center of Sierra Leone, in a majestic green valley, a new hydro-electric dam symbolizes both progress and frustration. Ten years after the end of the civil war here, a construction boom is under way. The Bumbuna dam is one of the biggest recent projects. But the economy is so run down by decades of war and corruption that it will take many more years, if at all before the boom benefits most of the population. But now, electricity is being produced. There are many other projects under way. A stone crushing plant just outside the capital, Freetown, spews clouds of smoke and dust into the surrounding mountains. Major roads are being built in Freetown and between regional towns. Two big ore mining projects have recently begun. But the permanent jobs created by these projects number just a few tens of thousands; the population of Sierra Leone is six million.</t>
  </si>
  <si>
    <t xml:space="preserve">Orangutans Show Amazing Skills Building Nests.                   ………………………………Scientists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</si>
  <si>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Abandoned and Stray Dogs Have Risen For the 11th Year.  ………………………………There’s an old saying that we hear every year; ‘a dog is for life, and not just for Christmas.’ But it seems people still aren’t getting the message. Many people find the gift of a four-legged friend is a lot of hard work and they don’t find it easy coping with a new addition to the family and go on to abandon their pets. Figures from the recent Stray Dogs Survey, show for the 11th year in a row the number of stray and abandoned dogs in Britain has risen. Last year around 126,000 stray dogs were picked up across the UK- that’s more than 300 a day.</t>
  </si>
  <si>
    <t>Farmers Must Take Care of Countryside.  ………………………………Farmers should take better care of our countryside, according to a poll by the Campaign to Protect Rural England. (CPRE). The CPRE is calling for changes, as farming can be hard on the environment. For example, lots of animals like dormice are decreasing in numbers because their habitat is being used to grow crops. Farmers can help the environment by digging ponds, keeping more livestock and growing a greater range of fruit and vegetables.</t>
  </si>
  <si>
    <t xml:space="preserve">Teachers in Scotland Warned about Using Twitter and Facebook.  ………………………………Teachers in Scotland are being warned about using Twitter and Facebook by the Scottish Secondary Teachers Association. They believe too much information can be revealed on the networking sites, which could lead to teachers becoming too familiar with pupils. New guidelines for teachers on social networking are being drawn up. </t>
  </si>
  <si>
    <t>How Much Aid Should The U.K. Give to Other Countries.  ………………………………There is a debate going on about how much aid the U.K. should give to poorer countries. At the moment the U.K. gives around 8 billion pounds a year to other governments. But the government has agreed to meet the United Nation’s target of increasing that amount to nearly 11 billion pounds by the year 2014. They want to make it law that all future governments must stick to the target of 0.7% of the whole country’s income. But the House of Lords say this shouldn’t happen, and that too much aid is going to the wrong places and is ending up with corrupt governments. The government says that cutting the funding could cost thousands of lives.</t>
  </si>
  <si>
    <t xml:space="preserve">Open or Closed Society is Key Dividing Line of 21st Century.  ………………………………Nations will be divided not between east and west, or along religious lines, but between open and closed societies, the U.S. secretary of state, Hilary Clinton has said. Countries that are closed to “change, ideas, cultures and beliefs that are different from theirs will quickly find that in an internet world they will be left behind,” Clinton said. “In the 21st century, the U.S. is convinced that one of the most significant divisions between nations will be not between east or west, nor over religion, so much as between open and closed societies,” she said. “We believe those governments that hide from public view and dismiss ideas of openness and the aspirations of their people for greater freedom will find it increasingly difficult to create a secure society.” </t>
  </si>
  <si>
    <t>Coke and Pepsi Alter Recipe to Avoid Cancer Warning Label.  ………………………………It is believed that cutting funds could save lives</t>
  </si>
  <si>
    <t>Liberians Hope Long Wait for the Web is Finally Over. BBC News. November 18 2011.………………………………Getting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</si>
  <si>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Dutch Judge Rejects Pleas for Killer Whale Freedom.  ………………………………A Dutch judge has ruled that a rescued female killer whale can be sent to a Canary Islands amusement park, despite pleas to release the animal into the wild. The case of Morgan the orca sharply divided opinion in the Netherlands. The orca was rescued by a dolphinarium in Harderwijk after being found exhausted and starving in shallow waters in the Waddenzee in June 2010. Conservationists are devastated by Monday’s ruling, fearing the move to the Canaries will kill Morgan. The judge in Amsterdam decided however that the orca would have no reasonable chance of survival in the wild. The plan is to transfer Morgan within days to Loro Parque on Tenerife, where she will join five other orcas in a big tank, on show to the public. Ahead of the judge’s ruling the campaign website of the Free Morgan Foundation had been getting more than 50,000 hits a day. Niels van Elk, a vet, thinks Morgan will be better off in captivity than in the wild.</t>
  </si>
  <si>
    <t>As Asia Booms, What is Cost of Success for its Young?  ………………………………On a Saturday night in Singapore, Nicol and his friends are dancing in a dark and crowded room at one of the most expensive new clubs in the city. For Nicol and others like him partying across the city and the region, it would seem that there has never been a better time to be young and in Asia. Instead of the economic problems and social issues that faced their parents’ and grandparents’ generations, Asia’s youth today have a chance to access a period of unprecedented prosperity and expansion. “There are only some pockets of growth left in the world and Asia happens to be one of them,” Nicol explains. “There’s opportunity and optimism out here.” For hundreds of millions of people across the region, their earning power and standard of living are increasing. The youth unemployment rate has been below 15% in most the region for the last five years. Compare that with figures of more than 30% in European economies. This focus on youth employment is important because Asia is the region with the most young people in the world.</t>
  </si>
  <si>
    <t>Searching for the Origins of Life and our Future.  ………………………………Hollywood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</si>
  <si>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Should School Day be Longer.  ………………………………The school day should be longer to get children ready for the world of work, say some politicians. Stephen Twigg, the Labor Party’s education boss, says a longer day would keep children off the streets, stop them being sucked into local gangs and give the most deprived pupils a place to study away from difficult home lives. He also thinks that pupils should be put into groups in schools by ability or interests, rather than age. The MP’s comments come after a survey by business leaders found that one out of three young people was not ready for a job.</t>
  </si>
  <si>
    <t>From War to Peace: Sierra Leone Eyes Bird-Watching Money.  .………………………………Sierra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</si>
  <si>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Banksy’s Painting Go On Sale.  ………………………………Paintings by famous graffiti artist Banksy are going on sale at an exclusive auction house in London. Seventeen works of art by Banksy are being auctioned at the Bonhams Urban Art Sale. This is a big step for Banksy because it shows that people in the art world consider him a real artist. Some people looked down on him previously because he was a graffiti artist. The artwork being sold includes a screen print of British supermodel Kate Moss, inspired by Andy Warhol’s Marilyn Monroe picture. Banksy has lots of famous fans including Kate Moss and Harry Potter actress, Helena Bonham Carter.</t>
  </si>
  <si>
    <t>Different Countries Have Different Emotions.  ………………………………It has been assumed since Charles Darwin’s time that six basic emotions are shown on everyone’s face in the same way: happiness, sadness, surprise, fear, disgust and anger. This is known as the universality hypothesis. Scientists tested this out recently by using a computer simulation of a face, which could show every possible combination of facial muscle movement. Then they asked 15 white Europeans/Americans and 15 East Asians to put thousands of its expressions into categories. Although the Westerners in the study separated all the expressions into the expected six emotional categories, the Asians showed there was an overlap of emotions. The scientists think that this could be because the theory ignores emotions such as shame, pride and guilt. Westerners also use different groups of muscles to express the six emotions while, with Asian people, a lot of the emotion comes from the eyes. The experts say that over time, different cultures have changed the way they communicate with their facial expressions.</t>
  </si>
  <si>
    <t>a. He lost his job</t>
  </si>
  <si>
    <t>b. He is usually late for work</t>
  </si>
  <si>
    <t>c. He is forgetful</t>
  </si>
  <si>
    <t xml:space="preserve">d. He was late on one occasion </t>
  </si>
  <si>
    <t>a. It is stressful</t>
  </si>
  <si>
    <t>b. It is efficient</t>
  </si>
  <si>
    <t>c. It is boring</t>
  </si>
  <si>
    <t>d. It is time-consuming</t>
  </si>
  <si>
    <t>a. It could be postponed.</t>
  </si>
  <si>
    <t>b. It could come early.</t>
  </si>
  <si>
    <t>c. It is already late.</t>
  </si>
  <si>
    <t xml:space="preserve">d. It can’t be predicted.                                                                                                         </t>
  </si>
  <si>
    <t>a. It has come from America</t>
  </si>
  <si>
    <t>b. It is drifting towards Japan</t>
  </si>
  <si>
    <t>c. It doesn’t have passengers</t>
  </si>
  <si>
    <t xml:space="preserve">d. It avoided the Tsunami                                                                                                   </t>
  </si>
  <si>
    <t>a. It is carrying provisions</t>
  </si>
  <si>
    <t>b. It will be sent to the ISS in 2014</t>
  </si>
  <si>
    <t>c. It is carrying a passenger</t>
  </si>
  <si>
    <t xml:space="preserve">d. A larger vehicle will replace it in 2013           </t>
  </si>
  <si>
    <t>a. It damaged a tourist resort</t>
  </si>
  <si>
    <t>b. It injured several people</t>
  </si>
  <si>
    <t>c. It occurred during the night</t>
  </si>
  <si>
    <t>d. It was felt over a wide area</t>
  </si>
  <si>
    <t>a. There is a shortage of it in Romania</t>
  </si>
  <si>
    <t>b. It is being used as coins in the U.K</t>
  </si>
  <si>
    <t>c. It is being stolen from Romanian supermarkets</t>
  </si>
  <si>
    <t xml:space="preserve">d. It is being used as currency in Romania                                                                            </t>
  </si>
  <si>
    <t>a. The previous government cancelled them</t>
  </si>
  <si>
    <t>b. They will be used to renovate buildings</t>
  </si>
  <si>
    <t>c. All schools will receive funding</t>
  </si>
  <si>
    <t>d. The new government initiated the funding</t>
  </si>
  <si>
    <t>a. Girls can wear shorts.</t>
  </si>
  <si>
    <t>b. Boys can’t wear skirts.</t>
  </si>
  <si>
    <t>c. Boys can wear skirts.</t>
  </si>
  <si>
    <t xml:space="preserve">d. Trousers can’t be worn in summer.                                                                         </t>
  </si>
  <si>
    <t>a. She was discovered in Hollywood.</t>
  </si>
  <si>
    <t>b. She was famous in the U.K.</t>
  </si>
  <si>
    <t>c. She wasn’t expecting the film role.</t>
  </si>
  <si>
    <t xml:space="preserve">d. She had auditioned for the film role.                                                                               </t>
  </si>
  <si>
    <t>a. It caused a lot of stress.</t>
  </si>
  <si>
    <t>b. It is forbidden in other cities.</t>
  </si>
  <si>
    <t>c. It was a huge success.</t>
  </si>
  <si>
    <t xml:space="preserve">d. It was the first of its kind.                                                                                                       </t>
  </si>
  <si>
    <t>a. ‘Hugo’ won 11 awards.</t>
  </si>
  <si>
    <t>b. ‘The Artist’ won 10 awards.</t>
  </si>
  <si>
    <t>c. ‘War Horse’ could win best film.</t>
  </si>
  <si>
    <t xml:space="preserve">d. The nominees will be broadcast soon.                                                                             </t>
  </si>
  <si>
    <t>a. Parents want their children to do more</t>
  </si>
  <si>
    <t>b. The government sets homework rules</t>
  </si>
  <si>
    <t>c. Teenagers now have to do two hours a night</t>
  </si>
  <si>
    <t>d. Teachers are responsible for setting homework</t>
  </si>
  <si>
    <t>a. All the population benefits from the developments</t>
  </si>
  <si>
    <t>b. The developments have provided millions of jobs</t>
  </si>
  <si>
    <t>c. The construction of the dam is on hold</t>
  </si>
  <si>
    <t xml:space="preserve">d. There are several new projects in progress                                                                        </t>
  </si>
  <si>
    <t>a. Orangutans often dismantle their nests</t>
  </si>
  <si>
    <t>b. The nests collapse after little use</t>
  </si>
  <si>
    <t>c. Orangutans spend a lot of time in their nests</t>
  </si>
  <si>
    <t>d. The nests are built with a variety of foliage</t>
  </si>
  <si>
    <t>a. Many people receive dogs as Christmas presents.</t>
  </si>
  <si>
    <t>b. The number of abandoned dogs is decreasing.</t>
  </si>
  <si>
    <t>c. Dogs received as a Christmas gift are less likely to be abandoned.</t>
  </si>
  <si>
    <t xml:space="preserve">d. There are currently more abandoned dogs than ever before.                                        </t>
  </si>
  <si>
    <t>a. Farmers don’t want to change their methods.</t>
  </si>
  <si>
    <t>b. The number of dormice is rising.</t>
  </si>
  <si>
    <t>c. Farmers shouldn’t keep so much livestock.</t>
  </si>
  <si>
    <t xml:space="preserve">d. Farmers should cultivate more vegetables.                                                                           </t>
  </si>
  <si>
    <t>a. They make excessive use of Twitter and Facebook.</t>
  </si>
  <si>
    <t>b. They use Facebook and Twitter inappropriately.</t>
  </si>
  <si>
    <t>c. Too much information about them has appeared on social networks.</t>
  </si>
  <si>
    <t xml:space="preserve">d. They have been advised to be cautious with social networks.                                    </t>
  </si>
  <si>
    <t>a. The House of Lords believe that the U.K. should give more</t>
  </si>
  <si>
    <t>b. The government plans to reduce the amount given</t>
  </si>
  <si>
    <t>c. It is believed that cutting funds could save lives</t>
  </si>
  <si>
    <t>d. The United Nation’s target is more that what is now given</t>
  </si>
  <si>
    <t>a. Countries will be divided by culture</t>
  </si>
  <si>
    <t>b. Countries need to be open to differences</t>
  </si>
  <si>
    <t>c. Many countries need to change their lifestyle</t>
  </si>
  <si>
    <t>d. Governments are increasingly rejecting openness</t>
  </si>
  <si>
    <t>a. The caramel coloring doesn’t contain carcinogens</t>
  </si>
  <si>
    <t>b. It has not been proved that the coloring is carcinogenic</t>
  </si>
  <si>
    <t>c. Coca-cola and Pepsi have refused to use cancer-warning labels</t>
  </si>
  <si>
    <t xml:space="preserve">d. Coca-cola and Pepsi are now more costly to make        </t>
  </si>
  <si>
    <t>a. Fiber optic cables are now in use in Liberia.</t>
  </si>
  <si>
    <t>b. Liberians now have access to broadband.</t>
  </si>
  <si>
    <t>c. For most Liberians, internet use is relatively cheap.</t>
  </si>
  <si>
    <t xml:space="preserve">d. The fiber optic cable could revolutionize internet use in Liberia.                                      </t>
  </si>
  <si>
    <t>a. The vet is in agreement with the judge’s decision about where to put her.</t>
  </si>
  <si>
    <t>b. The conservationists are concerned about her ability to survive in the wild.</t>
  </si>
  <si>
    <t>c. She will be kept in isolation after being transported to Tenerife.</t>
  </si>
  <si>
    <t xml:space="preserve">d.  The campaign website continues to get more than half a million hits a day.                   </t>
  </si>
  <si>
    <t>a. Asia’s economic boom began in previous generations.</t>
  </si>
  <si>
    <t>b. The Asian youth unemployment rate exceeds that of Europe.</t>
  </si>
  <si>
    <t>c. Asians have a positive outlook for the future.</t>
  </si>
  <si>
    <t xml:space="preserve">d. Young Asians yearn for the life their parents and grandparents had.                                </t>
  </si>
  <si>
    <t xml:space="preserve">a. Life could materialize under different conditions. </t>
  </si>
  <si>
    <t>b. We could know within 100 years if there is life on other planets.</t>
  </si>
  <si>
    <t>c. Life on other planets would require conditions similar to Earth.</t>
  </si>
  <si>
    <t xml:space="preserve">d. This is not an ideal era to be exploring other planets’ life forms.                                     </t>
  </si>
  <si>
    <t>a. It could encourage children to join gangs.</t>
  </si>
  <si>
    <t>b. It could facilitate the development of studious habits.</t>
  </si>
  <si>
    <t>c. Business leaders generally disapprove of it.</t>
  </si>
  <si>
    <t xml:space="preserve">d. It could encourage enthusiasm for life in the work force.                                                 </t>
  </si>
  <si>
    <t>a. Sierra Leone is a popular bird-watching destination.</t>
  </si>
  <si>
    <t>b. Sierra Leone remains in the grip of a civil war.</t>
  </si>
  <si>
    <t>c. Gola  National Park houses almost as many bird species as the U.K.</t>
  </si>
  <si>
    <t xml:space="preserve">d. Gola National Park is of great import as a natural habitat.                                               </t>
  </si>
  <si>
    <t>a. The art world has always respected him</t>
  </si>
  <si>
    <t>b. He painted a famous portrait of Marilyn Monroe</t>
  </si>
  <si>
    <t>c. His works will be sold at an important venue</t>
  </si>
  <si>
    <t>d. His works are not expected to attract much attention</t>
  </si>
  <si>
    <t>a. Westerners express emotion mainly through the eyes</t>
  </si>
  <si>
    <t>b. The Asians in the study separated the emotions</t>
  </si>
  <si>
    <t>c. The result from the Westerners studied was as predicted</t>
  </si>
  <si>
    <t>d. Most cultures have retained their facial communication method</t>
  </si>
  <si>
    <t>106R-4</t>
  </si>
  <si>
    <t>106R-3</t>
  </si>
  <si>
    <t>106R-2</t>
  </si>
  <si>
    <t>Japanese ‘Ghost Ship’ Drifting Near Canada.                ………………………………A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</si>
  <si>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Mexico Hit by 7.6 Magnitude Earthquake.  ………………………………A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</si>
  <si>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12-Year-Old Boy Wears a Skirt to School to Protest Against Uniform Rules. J ………………………………A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</si>
  <si>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 xml:space="preserve"> ‘Hugo’ and ‘The Artist’ Lead This Year’s Oscar Nominations.  ………………………………This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</si>
  <si>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The Man Who Helped Simplify Chinese.  ………………………………His older daughter inherited the throne.</t>
  </si>
  <si>
    <t>Liberians Hope Long Wait for the Web is Finally Over.  ………………………………Getting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</si>
  <si>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 xml:space="preserve">1. Which statement is true? </t>
  </si>
  <si>
    <t xml:space="preserve">2. What is said about President Sarkozy’s son? </t>
  </si>
  <si>
    <t xml:space="preserve">3. What is said about travelling by trains? </t>
  </si>
  <si>
    <t xml:space="preserve">4. Which statement is true? </t>
  </si>
  <si>
    <t>5. What is said about the ‘ghost ship’?</t>
  </si>
  <si>
    <t>6. Which statement is true?</t>
  </si>
  <si>
    <t xml:space="preserve">7. What is said about the earthquake? </t>
  </si>
  <si>
    <t xml:space="preserve">8. Which of the following is true? </t>
  </si>
  <si>
    <t xml:space="preserve">9. What is said about the uniform policy?                                                                              </t>
  </si>
  <si>
    <t xml:space="preserve">10. According to the report;                                                                                                               </t>
  </si>
  <si>
    <t xml:space="preserve">11. What is said about Samantha Barks?                                                                                          </t>
  </si>
  <si>
    <t xml:space="preserve">12. What is said about Guinness World Records?                                                                              </t>
  </si>
  <si>
    <t xml:space="preserve">13. Which of the following is true?                                                                                                      </t>
  </si>
  <si>
    <t xml:space="preserve">14. What is said about the clothes?                                                                                                         </t>
  </si>
  <si>
    <t xml:space="preserve">15. What is said about Sierra Leone? </t>
  </si>
  <si>
    <t xml:space="preserve">16. What is said about male dolphins? </t>
  </si>
  <si>
    <t xml:space="preserve">17. The report states;                                                                                                                               </t>
  </si>
  <si>
    <t xml:space="preserve">18. What is said about the Mars Science Lab (MSL)?                                                                         </t>
  </si>
  <si>
    <t xml:space="preserve">19. The report states that;                                                                                                                             </t>
  </si>
  <si>
    <t xml:space="preserve">20. What is said about King Henry the Eighth?                                                                                  </t>
  </si>
  <si>
    <t xml:space="preserve">21. What did Hilary Clinton say at the Brasilia conference? </t>
  </si>
  <si>
    <t xml:space="preserve">22. What is said about Zhou Youguang? </t>
  </si>
  <si>
    <t xml:space="preserve">23. Which of the following is true?                                                                                                              </t>
  </si>
  <si>
    <t xml:space="preserve">24. The report states that;                                                                                                                               </t>
  </si>
  <si>
    <t xml:space="preserve">25. According to the report;                                                                                                                         </t>
  </si>
  <si>
    <t xml:space="preserve">26. What is said about the starling birds?                                                                                                </t>
  </si>
  <si>
    <t xml:space="preserve">27. What is said about a longer school day?                                                                                      </t>
  </si>
  <si>
    <t xml:space="preserve">28. The report states that;                                                                                                                        </t>
  </si>
  <si>
    <t xml:space="preserve">29. What is said about Banksy? </t>
  </si>
  <si>
    <t xml:space="preserve">30. What is said about Tamara Rojo? </t>
  </si>
  <si>
    <t xml:space="preserve">d. She had auditioned for the film role.                                                                              </t>
  </si>
  <si>
    <t xml:space="preserve">d. His older daughter was recognized as his.                                                                      </t>
  </si>
  <si>
    <t>Hero Saves Man’s Life.………………………………Jack Easton was driving home from work at 6.30 in the evening when he saw a yellow van, driven by James Smith, crash into a tree. Without thinking of his own safety, he pulled the young man out of the van and took him to hospital. James is making good progress.</t>
  </si>
  <si>
    <t xml:space="preserve">Should Supermarket Carrier Bags be Banned?               ………………………………New European rules are being brought in to reduce the number of plastic carrier bags we use. In 2011, Italy became the first country in Europe to ban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</si>
  <si>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 xml:space="preserve">………………………………Six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</si>
  <si>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Government Scraps Homework Rules for English Schools.  ………………………………Official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</si>
  <si>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 xml:space="preserve">Orangutans Show Amazing Skills Building Nests.  ………………………………Scientists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</si>
  <si>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Coke and Pepsi Alter Recipe to Avoid Cancer Warning Label.  ………………………………Coca-cola and Pepsi are changing the recipes for their drinks to avoid putting a cancer warning label on the bottle, to comply with California laws. The new recipe for caramel coloring in the drinks has less 4-methylimidazole- a chemical which California has added to its list of carcinogens. But the companies say rolling out the new recipe across the U.S. market makes the drinks more efficient to manufacture. “While we believe that there is no public health risk that justifies any such change, we did ask our caramel suppliers to take this step so that our products would not be subject to the requirement of a scientifically unfounded warning,” a Coca-cola representative told the AP news agency. The chemical has been linked to cancer in mice and rats but there is no evidence that it poses a health risk to humans, said the American Beverage Association, which represents the wider industry.</t>
  </si>
  <si>
    <t>Pierre Cardin Feud Tears Village Apart.   ………………………………Fashion designer Pierre Cardin has upset the locals in the French village of Lacoste, by buying the AMarquis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</si>
  <si>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Searching for the Origins of Life and our Future.  .………………………………Hollywood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</si>
  <si>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Seal Pups on the Mend After Being Battered by Storms.  .………………………………The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</si>
  <si>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From War to Peace: Sierra Leone Eyes Bird-Watching Money.    ………………………………Sierra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</si>
  <si>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Eroding Taboos See Lemurs End Up on Dinner Tables.  ………………………………The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peoplBe from outside are moving into the area.”</t>
  </si>
  <si>
    <t>Cheryl Cole Feared For Her Life on a Plane in Germany. CBBC  ………………………………Cheryl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</si>
  <si>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What is said about Bill Richards? </t>
  </si>
  <si>
    <t xml:space="preserve">What is said about the next Ice Age?                                                                                         </t>
  </si>
  <si>
    <t xml:space="preserve">What is said about plastic carrier bags? </t>
  </si>
  <si>
    <t>What is said about ATV 3?</t>
  </si>
  <si>
    <t xml:space="preserve">What is said about the chewing gum? </t>
  </si>
  <si>
    <t xml:space="preserve">What is said about the toxic glow fish? </t>
  </si>
  <si>
    <t xml:space="preserve">What is said about the funds for the schools? </t>
  </si>
  <si>
    <t xml:space="preserve">What is said about the pillow fight in Shanghai?                                                                           </t>
  </si>
  <si>
    <t xml:space="preserve">What could be said about the rowers?                                                                               </t>
  </si>
  <si>
    <t xml:space="preserve">What is said about homework? </t>
  </si>
  <si>
    <t xml:space="preserve">What is said about Great Barrier Reef? </t>
  </si>
  <si>
    <t xml:space="preserve">What is said about Orangutans and their nests? </t>
  </si>
  <si>
    <t xml:space="preserve">What is said about Pakistan?  </t>
  </si>
  <si>
    <t xml:space="preserve">What is said about teachers in Scotland?                                                                                   </t>
  </si>
  <si>
    <t xml:space="preserve">Which of the following is true?                                                                                                       </t>
  </si>
  <si>
    <t xml:space="preserve">What is said about aid? </t>
  </si>
  <si>
    <t xml:space="preserve">What is said about John Varty and the tiger attack? </t>
  </si>
  <si>
    <t xml:space="preserve">What is said about Morgan, the killer whale?                                                                                      </t>
  </si>
  <si>
    <t xml:space="preserve">Which of the following is true?                                                                                                            </t>
  </si>
  <si>
    <t xml:space="preserve">The astrophysicist, Dimitar Sasselov, believes that;                                                                         </t>
  </si>
  <si>
    <t xml:space="preserve">What is said about the seal pups?                                                                                                      </t>
  </si>
  <si>
    <t xml:space="preserve">The report states that;                                                                                                                  </t>
  </si>
  <si>
    <t xml:space="preserve">What is said about Lemurs in Madagascar?                                                                             </t>
  </si>
  <si>
    <t xml:space="preserve">What is said about the singer, Cheryl Cole? </t>
  </si>
  <si>
    <t xml:space="preserve">d. They had problems for 27 days.                                                                   </t>
  </si>
  <si>
    <t xml:space="preserve">d. The UN found it to be extensively damaged         </t>
  </si>
  <si>
    <t xml:space="preserve">d.  The campaign website continues to get more than half a million hits a day.                  </t>
  </si>
  <si>
    <t xml:space="preserve">d. Gola National Park is of great import as a natural habitat.                                              </t>
  </si>
  <si>
    <t>EXAMEN 106R-2</t>
  </si>
  <si>
    <t>EXAMEN 106R-1</t>
  </si>
  <si>
    <t>EXAMEN 106R-3</t>
  </si>
  <si>
    <t>EXAMEN 106R-4</t>
  </si>
  <si>
    <t>51358887</t>
  </si>
  <si>
    <t>51652408</t>
  </si>
  <si>
    <t>52104944</t>
  </si>
  <si>
    <t>43012165</t>
  </si>
  <si>
    <t>Alférez Alumno Antonio Manuel Martínez Heredia</t>
  </si>
  <si>
    <t>Alférez Alumno Daniel Arribas Ríos</t>
  </si>
  <si>
    <t>Alférez Alumno Saúl Álvarez Vinuesa</t>
  </si>
  <si>
    <t>Alférez Alumno Gerardo García Hernanz</t>
  </si>
  <si>
    <t>Alférez Alumno Carlos González Bustamante</t>
  </si>
  <si>
    <t>Alférez Alumno David Juan Tudela</t>
  </si>
  <si>
    <t>Alférez Alumno Juan Antonio Tena Uliaque</t>
  </si>
  <si>
    <t>Alférez Alumno Carlos Peñalba Luna</t>
  </si>
  <si>
    <t>Alférez Alumno Juan Luis Martínez Lázaro</t>
  </si>
  <si>
    <t>Alférez Alumno José Antonio Cobo Sánchez</t>
  </si>
  <si>
    <t>04614680</t>
  </si>
  <si>
    <t>Is English or Mandarin the Language of the Future?            ………………………………English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</si>
  <si>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Is English or Mandarin the Language of the Future?  ……………………………… English has been the dominant global language for a century, but is it the language of the future? If Mandarin Chinese is to challenge English globally, then first it has to conquer its own backyard, South East Asia. In Malaysia’s southernmost city of Johor Bahru, the desire to speak good English has driven some children to make a two-hour journey to school every day. An estimated 15,000 students make the bus journey across the border into Singapore, where English is the main language, every day. It may seem like a drastic measure, but some parents don’t trust the education system in Malaysia. They believe that there is a reduction in the standard of English in the country. Since independence from the British in 1957, Malaysia has phased out schools that teach in English and students started learning in Malay. As a result, Malaysian graduates became less employable in the I.T. sector.</t>
  </si>
  <si>
    <t>President Sarkozy’s Son is Trouble over Tomato Incident.                                                                                                                                                                                    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</si>
  <si>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 xml:space="preserve"> Dº JOSE LUIS GONZALEZ LENCE        </t>
  </si>
  <si>
    <t xml:space="preserve"> Dº CARLOS ALONSO PULIDO            </t>
  </si>
  <si>
    <t xml:space="preserve"> Dº JULIO BARCO DEL VALLE           </t>
  </si>
  <si>
    <t xml:space="preserve"> Dª SANDRA ISABEL DA SILVA DA SILVA </t>
  </si>
  <si>
    <t xml:space="preserve"> Dº EDUARDO MARTINEZ CASTRO         </t>
  </si>
  <si>
    <t xml:space="preserve"> Dº ROBERTO ALVAREZ CURRAS          </t>
  </si>
  <si>
    <t xml:space="preserve"> Dº YANKO WALFRIDO BOTIJA PHILLIPS  </t>
  </si>
  <si>
    <t xml:space="preserve"> Dª CELINA MAUD DE CASTRO VERGIER  </t>
  </si>
  <si>
    <t xml:space="preserve">Dº CARLOS MANUEL GOMEZ FRANCOS              </t>
  </si>
  <si>
    <t xml:space="preserve"> Dº ANGEL GONZALEZ SANCHEZ          </t>
  </si>
  <si>
    <t xml:space="preserve"> Dº PABLO JIMENEZ SANCHEZ-ESCALONILLA</t>
  </si>
  <si>
    <t xml:space="preserve"> Dº SAULO RUBEN MOREIRA SANTOS      </t>
  </si>
  <si>
    <t xml:space="preserve"> Dº MIGUEL ANGEL NOVAL DURAN        </t>
  </si>
  <si>
    <t xml:space="preserve"> Dº JOSE MANUEL TRAPERO DIEZ        </t>
  </si>
  <si>
    <t xml:space="preserve"> Dº NOEL VISCARA ZAMUDIO            </t>
  </si>
  <si>
    <t xml:space="preserve"> Dº MIGUEL AGUDO FERNANDEZ          </t>
  </si>
  <si>
    <t xml:space="preserve"> Dº PABLO ALASTRUE BERGONDO      </t>
  </si>
  <si>
    <t xml:space="preserve"> Dª DEBORA ALVAREZ LOPEZ            </t>
  </si>
  <si>
    <t xml:space="preserve"> Dº SERGI BAUTISTA SAEZ          </t>
  </si>
  <si>
    <t xml:space="preserve"> Dº RUBEN BEJERANO PEREZ            </t>
  </si>
  <si>
    <t xml:space="preserve"> Dº IGOR DEL RIO ARISTI            </t>
  </si>
  <si>
    <t xml:space="preserve"> Dº FRANCISCO JOSE DORADO BENITEZ   </t>
  </si>
  <si>
    <t xml:space="preserve"> Dº ENRIQUE GARCIA VENTURA</t>
  </si>
  <si>
    <t xml:space="preserve"> Dº VICENTE GAVILANES GONZALEZ      </t>
  </si>
  <si>
    <t xml:space="preserve"> Dº ALBERTO LORENTE MORENO       </t>
  </si>
  <si>
    <t xml:space="preserve"> Dº JORGE MANUEL MARTIN CARRASCO    </t>
  </si>
  <si>
    <t xml:space="preserve"> Dº JORGE MARTIN PULIDO             </t>
  </si>
  <si>
    <t xml:space="preserve"> Dº ALBERTO PATERNA GARCIA          </t>
  </si>
  <si>
    <t xml:space="preserve"> Dº ANTONIO CARLOS RAMIRO GOMEZ  </t>
  </si>
  <si>
    <t xml:space="preserve"> Dº ABRAHAN ROJAS SEMITEL        </t>
  </si>
  <si>
    <t xml:space="preserve"> Dº ADRIAN SANCHEZ FERNANDEZ     </t>
  </si>
  <si>
    <t xml:space="preserve"> Dº FRANCIS MICHEL SILVA ESPINOZA</t>
  </si>
  <si>
    <t xml:space="preserve"> Dº RONALD AUGUSTO TOLEDO VASQUEZ</t>
  </si>
  <si>
    <t xml:space="preserve"> Dº ADIEL UBALDE ANDIA           </t>
  </si>
  <si>
    <t xml:space="preserve"> Dª VERONICA ALVAREZ GONZALEZ    </t>
  </si>
  <si>
    <t xml:space="preserve"> Dª MARIA JOSE LLERA CARDENAS    </t>
  </si>
  <si>
    <t xml:space="preserve"> Dº RODRIGO PEREZ MIGUEL         </t>
  </si>
  <si>
    <t xml:space="preserve"> Dº CARLOS GRANADO GONZALEZ          </t>
  </si>
  <si>
    <t xml:space="preserve"> Dº JUAN CARLOS GONZALEZ ESPINOSA      </t>
  </si>
  <si>
    <t xml:space="preserve"> Dº JULIAN INFANTES DE LA CALLE      </t>
  </si>
  <si>
    <t xml:space="preserve"> Dº RIGOBERTO MARULANDA SALAS       </t>
  </si>
  <si>
    <t xml:space="preserve"> Dº RUBEN ALMODOVAR MARTINEZ           </t>
  </si>
  <si>
    <t xml:space="preserve"> Dº JOSE ANTONIO ALONSO PANIAGUA       </t>
  </si>
  <si>
    <t xml:space="preserve"> Dº JORGE BOTELLO VALDUEZA           </t>
  </si>
  <si>
    <t xml:space="preserve"> Dº EDUARDO CABRERA HERNANDEZ          </t>
  </si>
  <si>
    <t xml:space="preserve"> Dº NERON CASADO TORRILLAS       </t>
  </si>
  <si>
    <t xml:space="preserve"> Dº ESTEBAN MARTIN DE LA SIERRA PEREZ</t>
  </si>
  <si>
    <t xml:space="preserve"> Dº RAUL MARCELO DEL RIO BORDA   </t>
  </si>
  <si>
    <t xml:space="preserve"> Dº DAVID DIAZ ALCALDE                 </t>
  </si>
  <si>
    <t xml:space="preserve"> Dº MIGUEL ANGEL DOMINGUEZ ORTIZ </t>
  </si>
  <si>
    <t xml:space="preserve"> Dª LAURA KATHERINE FRANCO PINO</t>
  </si>
  <si>
    <t xml:space="preserve"> Dª MARIA AURORA GOMEZ PIZARRO         </t>
  </si>
  <si>
    <t xml:space="preserve"> Dº JAVIER GOZALO PASCUAL        </t>
  </si>
  <si>
    <t xml:space="preserve"> Dª ROCIO LOPEZ MARTIN                 </t>
  </si>
  <si>
    <t xml:space="preserve"> Dº MIGUEL MARIN SIMON              </t>
  </si>
  <si>
    <t xml:space="preserve"> Dª PIEDAD ALEXANDRA MARLES CASTELLANOS</t>
  </si>
  <si>
    <t xml:space="preserve"> Dº ALAIN REINHARD NAVARRO CAMPILLO  </t>
  </si>
  <si>
    <t xml:space="preserve"> Dª ALEXANDRA QUINTANA MARMOLEJO       </t>
  </si>
  <si>
    <t xml:space="preserve"> Dº HUGO RAMA SANCHEZ            </t>
  </si>
  <si>
    <t xml:space="preserve"> Dº JULIAN ADRIAN SORIANO LOPEZ  </t>
  </si>
  <si>
    <t xml:space="preserve"> Dº SERGIO TORNERO ROSCO         </t>
  </si>
  <si>
    <t xml:space="preserve"> Dº JESUS VALENCIA LOPEZ DEL PRADO  </t>
  </si>
  <si>
    <t xml:space="preserve"> Dº IVAN YERBES OCAÑA                  </t>
  </si>
  <si>
    <t xml:space="preserve"> Dº JAVIER MESA GARCIA         </t>
  </si>
  <si>
    <t xml:space="preserve"> Dº ALBERTO ALISES ESPINOSA    </t>
  </si>
  <si>
    <t xml:space="preserve">Dº FELIPE ALFONSO RODRIGUEZ CALVO           </t>
  </si>
  <si>
    <t xml:space="preserve">Dº FRANCISCO JAVIER RIOS CUBO                  </t>
  </si>
  <si>
    <t xml:space="preserve">Dº JOSE ANTONIO FERNANDEZ GARRIDO              </t>
  </si>
  <si>
    <t xml:space="preserve">Dº LUIS EDUARDO PARRA SAN JOSE                  </t>
  </si>
  <si>
    <t xml:space="preserve"> Dº MIGUEL ANGEL ZEA SANCHEZ      </t>
  </si>
  <si>
    <t xml:space="preserve"> Dº PABLO MARTIN ESTEBAN                </t>
  </si>
  <si>
    <t xml:space="preserve"> Dº JOSE LUIS MORENO GUTIERREZ   </t>
  </si>
  <si>
    <t xml:space="preserve"> Dº IGNACIO JOSE NOTARIO LOPEZ    </t>
  </si>
  <si>
    <t xml:space="preserve"> Dº JOAN MAÑE FORT                  </t>
  </si>
  <si>
    <t xml:space="preserve"> Dº ENRIQUE DIAZ DIEZ                   </t>
  </si>
  <si>
    <t xml:space="preserve"> Dº JAVIER ECHEVARRIA PEÑA              </t>
  </si>
  <si>
    <t xml:space="preserve"> Dº JESUS C. GUERRERO RAMON         </t>
  </si>
  <si>
    <t xml:space="preserve"> Dº JUAN MIGUEL JIMENEZ ASENSIO     </t>
  </si>
  <si>
    <t xml:space="preserve"> Dº ALEJANDRO MENENDEZ GARCIA    </t>
  </si>
  <si>
    <t xml:space="preserve"> Dº EMILIO JOSE CANO GARCIA      </t>
  </si>
  <si>
    <t xml:space="preserve"> Dº DAVID CORDOBES POZANCO        </t>
  </si>
  <si>
    <t xml:space="preserve"> Dº RAFAEL MARTINEZ ANGUITA         </t>
  </si>
  <si>
    <t xml:space="preserve"> Dº JOSE RAMON MARURI MOTA      </t>
  </si>
  <si>
    <t xml:space="preserve"> Dª TANIA ZAFRA GONZALEZ            </t>
  </si>
  <si>
    <t xml:space="preserve"> Dº DANIEL PAEZ GARCIA          </t>
  </si>
  <si>
    <t xml:space="preserve"> Dº OLIVER VIVAS MENENDEZ         </t>
  </si>
  <si>
    <t xml:space="preserve"> Dª PATRICIA ALVAREZ LOPEZ       </t>
  </si>
  <si>
    <t xml:space="preserve"> Dª JENIFER ALEJANDRA CASTAÑEDA RESTREPO</t>
  </si>
  <si>
    <t xml:space="preserve"> Dº IGNACIO GONZALEZ MIJARES      </t>
  </si>
  <si>
    <t xml:space="preserve"> Dº AITOR MARTIN RAMIREZ         </t>
  </si>
  <si>
    <t xml:space="preserve"> Dº JUAN CARLOS MARTINEZ ARIAS    </t>
  </si>
  <si>
    <t xml:space="preserve"> Dº JUAN JOSE ALABARCE SANCHEZ  </t>
  </si>
  <si>
    <t xml:space="preserve"> Dº LUIS ALBERTO ALONSO MARIN     </t>
  </si>
  <si>
    <t xml:space="preserve"> Dº ASIER APARICIO PARRAS              </t>
  </si>
  <si>
    <t xml:space="preserve"> Dº JORGE ALEJANDRO ARRANZ CANO        </t>
  </si>
  <si>
    <t xml:space="preserve"> Dº JACOBO BARCHIN HERRERA     </t>
  </si>
  <si>
    <t xml:space="preserve"> Dº GERMAN BOTON GARCIA          </t>
  </si>
  <si>
    <t xml:space="preserve"> Dº LUIS CABAÑAS LOPEZ           </t>
  </si>
  <si>
    <t xml:space="preserve"> Dº ISRAEL CALDERON SANROMAN        </t>
  </si>
  <si>
    <t xml:space="preserve"> Dº SEBASTIAN CALERO LOPEZ          </t>
  </si>
  <si>
    <t xml:space="preserve"> Dº JESUS CALLEJA SERRANO        </t>
  </si>
  <si>
    <t xml:space="preserve"> Dº RUBEN CARDENAS VALLECILLO          </t>
  </si>
  <si>
    <t xml:space="preserve"> Dº FRANCISCO JOSE CHAMORRO PRIETO</t>
  </si>
  <si>
    <t xml:space="preserve"> Dº ALEJANDRO RICARDO CHARLAN HERNANDEZ</t>
  </si>
  <si>
    <t xml:space="preserve"> Dº CESAR COBO SABURIDO             </t>
  </si>
  <si>
    <t xml:space="preserve"> Dº JONATAN CRESPO RUIZ         </t>
  </si>
  <si>
    <t xml:space="preserve"> Dº DANIEL CRESPO RUIZ          </t>
  </si>
  <si>
    <t xml:space="preserve"> Dº ANGEL DE LAS HERAS GONZALO    </t>
  </si>
  <si>
    <t xml:space="preserve"> Dª ROCIO FORNELL ESTRADA           </t>
  </si>
  <si>
    <t xml:space="preserve"> Dº YERAY GARCIA BARCENAS              </t>
  </si>
  <si>
    <t xml:space="preserve"> Dª RAQUEL GARCIA HABAS           </t>
  </si>
  <si>
    <t xml:space="preserve"> Dº ALEJANDRO GARCIA MINGUEZ      </t>
  </si>
  <si>
    <t xml:space="preserve"> Dº ENRIQUE GARCIA-PANDO FUSTER        </t>
  </si>
  <si>
    <t xml:space="preserve"> Dº MARCOS GOMEZ MARTINEZ         </t>
  </si>
  <si>
    <t xml:space="preserve"> Dº JESUS JAVIER GOMEZ SANCHEZ </t>
  </si>
  <si>
    <t xml:space="preserve"> Dº RICARDO GUZMAN FERNANDEZ    </t>
  </si>
  <si>
    <t xml:space="preserve"> Dº DAVID HEREDIA MITCHELL              </t>
  </si>
  <si>
    <t xml:space="preserve"> Dº RODRIGO LUNA RUIZ             </t>
  </si>
  <si>
    <t xml:space="preserve"> Dº ALVARO MACIAS BARBA                 </t>
  </si>
  <si>
    <t xml:space="preserve"> Dº JOSE MARTIN-ALBO GAMEZ       </t>
  </si>
  <si>
    <t xml:space="preserve"> Dº JAVIER MARTINEZ INIESTA             </t>
  </si>
  <si>
    <t xml:space="preserve"> Dº AGLISBERTO MENDEZ MARRERO   </t>
  </si>
  <si>
    <t xml:space="preserve"> Dº DANIEL MENENDEZ GORDO       </t>
  </si>
  <si>
    <t xml:space="preserve"> Dº GERMAN MONTERO ESTRADA      </t>
  </si>
  <si>
    <t xml:space="preserve"> Dº FRANCISCO JOSE MORANTE LOZADA</t>
  </si>
  <si>
    <t xml:space="preserve"> Dº MANUEL SANTIAGO MUÑOZ GOMEZ         </t>
  </si>
  <si>
    <t xml:space="preserve"> Dº BERNARDO ORTIZ TERCERO             </t>
  </si>
  <si>
    <t xml:space="preserve"> Dº MIGUEL QUEVEDO NIEBLA        </t>
  </si>
  <si>
    <t xml:space="preserve"> Dº JOSE CARLOS RAJA MARTINEZ  </t>
  </si>
  <si>
    <t xml:space="preserve"> Dº ALEJANDRO RAMOS MERCHAN            </t>
  </si>
  <si>
    <t xml:space="preserve"> Dº GABRIEL CRISTOBAL RISNER GONZALEZ</t>
  </si>
  <si>
    <t xml:space="preserve"> Dª MARIA JULIA RODRIGUEZ SILVA   </t>
  </si>
  <si>
    <t xml:space="preserve"> Dº PEDRO JESUS ROMAN LOPEZ         </t>
  </si>
  <si>
    <t xml:space="preserve"> Dª MARIA TERESA SANCHEZ MORENO</t>
  </si>
  <si>
    <t xml:space="preserve"> Dº PEDRO ANGEL SANCHEZ PASTRANA</t>
  </si>
  <si>
    <t xml:space="preserve">Dº ACHOSMAN SANTANA PEREZ                       </t>
  </si>
  <si>
    <t xml:space="preserve"> Dº PEDRO TARAVILLO RODRIGUEZ   </t>
  </si>
  <si>
    <t xml:space="preserve"> Dº JUAN MANUEL TIRADO REY              </t>
  </si>
  <si>
    <t xml:space="preserve"> Dº JOSE IGNACIO MARIA BARRENO  </t>
  </si>
  <si>
    <t xml:space="preserve"> Dº DAVID PEREZ DURAN           </t>
  </si>
  <si>
    <t xml:space="preserve"> Dº ANTONIO REGAÑON ADAN        </t>
  </si>
  <si>
    <t xml:space="preserve"> Dº JOSE MANUEL SIERRA GONZALEZ </t>
  </si>
  <si>
    <t xml:space="preserve"> Dº LOREDANO RAMON VELEZ ALCUDIA</t>
  </si>
  <si>
    <t xml:space="preserve"> Dº ANTONIO PALLARES MORENO                 </t>
  </si>
  <si>
    <t xml:space="preserve"> Dº GABRIEL ARIAS-SALGADO RODRIGUEZ-SANTANA</t>
  </si>
  <si>
    <t xml:space="preserve"> Dº CHRISTIAN CABARCOS FRECHINA             </t>
  </si>
  <si>
    <t xml:space="preserve"> Dº ANTONIO PEREZ ROBLES             </t>
  </si>
  <si>
    <t xml:space="preserve"> Dº MARCELINO SANTIAGO RODRIGUEZ     </t>
  </si>
  <si>
    <t xml:space="preserve"> Dº DAVID GALLEGO SERRANO          </t>
  </si>
  <si>
    <t xml:space="preserve"> Dº EDGAR FABIAN GONZALEZ PEÑA              </t>
  </si>
  <si>
    <t xml:space="preserve"> Dº ANDRES FELIPE ÑAÑEZ MUÑOZ               </t>
  </si>
  <si>
    <t xml:space="preserve"> Dº ALEJANDRO ACEITUNA CANO         </t>
  </si>
  <si>
    <t xml:space="preserve">  Dº CARLOS ALVARO VALLEJO        </t>
  </si>
  <si>
    <t xml:space="preserve"> Dº OSCAR ANDRES ANDRADE MARTINEZ  </t>
  </si>
  <si>
    <t xml:space="preserve"> Dº TOMAS MANUEL ARROYO DIAZ        </t>
  </si>
  <si>
    <t xml:space="preserve"> Dº PEDRO BARCHIN PONCE                     </t>
  </si>
  <si>
    <t xml:space="preserve"> Dº OSCAR JIMMY BOLAÑOS ESCOBAR           </t>
  </si>
  <si>
    <t xml:space="preserve"> Dº ALEJANDRO BOTANA DIEZ                 </t>
  </si>
  <si>
    <t xml:space="preserve"> Dº GIOVANI FEDERICO CALANDRIA GARCIA</t>
  </si>
  <si>
    <t xml:space="preserve"> Dº FRANCISCO MANUEL CAMPUZANO RAMOS</t>
  </si>
  <si>
    <t xml:space="preserve"> Dº ESTEBAN CAPEL JIMENEZ            </t>
  </si>
  <si>
    <t xml:space="preserve"> Dº DAVID CAPITAN LOMINCHAR        </t>
  </si>
  <si>
    <t xml:space="preserve">  Dº ALVARO CARRASCO MOTA         </t>
  </si>
  <si>
    <t xml:space="preserve"> Dº JUAN CARLOS CASILLAS VALERA      </t>
  </si>
  <si>
    <t xml:space="preserve"> Dº JAVIER CAVIA MIÑAMBRES                </t>
  </si>
  <si>
    <t xml:space="preserve"> Dº GONZALO CEBALLOS CARO                   </t>
  </si>
  <si>
    <t xml:space="preserve">  Dº JOSE LUIS CERVERA HARO       </t>
  </si>
  <si>
    <t xml:space="preserve"> Dº CRISTIAN JAVIER CHANCUSIG VIRACUCHA   </t>
  </si>
  <si>
    <t xml:space="preserve"> Dº GINO PAUL CONSTANTE RAMIREZ    </t>
  </si>
  <si>
    <t xml:space="preserve"> Dº KEVIN COPANO DOMINGUEZ         </t>
  </si>
  <si>
    <t xml:space="preserve"> Dº ADRIAN FERNANDEZ GUTIERREZ     </t>
  </si>
  <si>
    <t xml:space="preserve"> Dº BORJA IGNACIO GARAU JIMENEZ    </t>
  </si>
  <si>
    <t xml:space="preserve"> Dº ISMAEL GARCIA DIAZ              </t>
  </si>
  <si>
    <t xml:space="preserve"> Dº SERGIO GARCIA TORNERO                 </t>
  </si>
  <si>
    <t xml:space="preserve"> Dº ENRIQUE JESUS GARCIA UBEDA     </t>
  </si>
  <si>
    <t xml:space="preserve">  Dº NICOLAS GATO PARDAL          </t>
  </si>
  <si>
    <t xml:space="preserve"> Dº SAUL GILABERT ANDRES            </t>
  </si>
  <si>
    <t xml:space="preserve"> Dº JON GIMENEZ SANCHEZ                     </t>
  </si>
  <si>
    <t xml:space="preserve"> Dº GREGORIO GOMEZ MARTINEZ        </t>
  </si>
  <si>
    <t xml:space="preserve"> Dº DIEGO GOMEZ PEREIRO            </t>
  </si>
  <si>
    <t xml:space="preserve"> Dº FRANCISCO GOMEZ RUIZ           </t>
  </si>
  <si>
    <t xml:space="preserve"> Dº JOSE MANUEL GONZALEZ PEREZ      </t>
  </si>
  <si>
    <t xml:space="preserve"> Dº ALBERTO MAURICIO GUEVARA GARCIA         </t>
  </si>
  <si>
    <t xml:space="preserve">  Dº SAUL GUTIERREZ IGLESIAS      </t>
  </si>
  <si>
    <t xml:space="preserve"> Dº GABRIEL GONZALO HEREDIA YAGUANA</t>
  </si>
  <si>
    <t xml:space="preserve"> Dº MARCOS JESUS HUETO CAMPOS  </t>
  </si>
  <si>
    <t xml:space="preserve"> Dº DANIEL IÑIGO SANCHEZ       </t>
  </si>
  <si>
    <t xml:space="preserve"> Dº ELOY LOPEZ NUÑEZ               </t>
  </si>
  <si>
    <t xml:space="preserve">  Dº DAVID MARTINEZ ZAMARREÑO     </t>
  </si>
  <si>
    <t xml:space="preserve"> Dº PEDRO PABLO MORENO FERNANDEZ    </t>
  </si>
  <si>
    <t xml:space="preserve">  Dº JAVIER MORENO SUAREZ         </t>
  </si>
  <si>
    <t xml:space="preserve">  Dº PABLO MUÑOZ CONEJERO         </t>
  </si>
  <si>
    <t xml:space="preserve"> Dº EDWIN ALEJANDRO MURILLO RAMIREZ</t>
  </si>
  <si>
    <t xml:space="preserve"> Dº DANIEL NAVARRO GERVILLA        </t>
  </si>
  <si>
    <t xml:space="preserve">  Dº MARIO NOGUEIRA BOUZAS        </t>
  </si>
  <si>
    <t xml:space="preserve"> Dº FRANCISCO JAVIER ORTEGA - GARCIA</t>
  </si>
  <si>
    <t xml:space="preserve"> Dº RAFAEL PASTOR CUENCA           </t>
  </si>
  <si>
    <t xml:space="preserve"> Dº SERGIO PEDREIRA GARCIA                  </t>
  </si>
  <si>
    <t xml:space="preserve"> Dº JULIO PEREA DURANGO              </t>
  </si>
  <si>
    <t xml:space="preserve"> Dº RAUL PEREZ RUIZ                </t>
  </si>
  <si>
    <t xml:space="preserve">  Dº JAIME PEREZ TORRENS          </t>
  </si>
  <si>
    <t xml:space="preserve"> Dº DIEGO PRIETO SANZ               </t>
  </si>
  <si>
    <t xml:space="preserve"> Dª CANDELA PUIME LOPEZ            </t>
  </si>
  <si>
    <t xml:space="preserve"> Dº ROBERTO REDONDO GARCIA                </t>
  </si>
  <si>
    <t xml:space="preserve">  Dº CRISTOBAL MANUEL REYES HERRERA</t>
  </si>
  <si>
    <t xml:space="preserve"> Dº ESTEBAN ALEJANDRO RIOS GUZMAN           </t>
  </si>
  <si>
    <t xml:space="preserve"> Dº JORGE RIOS LABRA               </t>
  </si>
  <si>
    <t xml:space="preserve"> Dº ADRIAN RODRIGO NUBLA            </t>
  </si>
  <si>
    <t xml:space="preserve"> Dª SARA YLEENOHAN RODRIGUEZ GONZALEZ</t>
  </si>
  <si>
    <t xml:space="preserve"> Dº XAVIER SANCHEZ SANCHO           </t>
  </si>
  <si>
    <t xml:space="preserve"> Dº DAVID SANTANA CEDRES                  </t>
  </si>
  <si>
    <t xml:space="preserve"> Dº JORGE SEOANE LUACES                   </t>
  </si>
  <si>
    <t xml:space="preserve"> Dº JOSE MARCEL SOBREVELA CARRASCO        </t>
  </si>
  <si>
    <t xml:space="preserve"> Dº NORBERTO TRUJILLO JIMENEZ  </t>
  </si>
  <si>
    <t xml:space="preserve"> Dº JUAN ULLOA GIL                 </t>
  </si>
  <si>
    <t xml:space="preserve"> Dº CHRISTOPHER VON BISCHHOFFSHAUSEN HEIMPELL</t>
  </si>
  <si>
    <t xml:space="preserve"> Dº SERGIO YUBERO GOMEZ                   </t>
  </si>
  <si>
    <t xml:space="preserve"> Dº LUIS ALEXANDER ZEGARRA CACERES </t>
  </si>
  <si>
    <t xml:space="preserve"> Dº JESUS RODRIGUEZ DE BLAS        </t>
  </si>
  <si>
    <t xml:space="preserve"> Dº DAVID ALVAREZ ROCA             </t>
  </si>
  <si>
    <t xml:space="preserve"> Dª VIVIANA ELIZABETH NUÑEZ CHATA  </t>
  </si>
  <si>
    <t xml:space="preserve"> Dº ISIDRO ALONSO SANCHEZ          </t>
  </si>
  <si>
    <t xml:space="preserve"> Dº JUAN CAMILO BERMUDEZ RAMIREZ   </t>
  </si>
  <si>
    <t xml:space="preserve"> Dº BORJA CABALLERO GARCIA            </t>
  </si>
  <si>
    <t xml:space="preserve"> Dº CARLOS CANO NOGUERAS           </t>
  </si>
  <si>
    <t xml:space="preserve"> Dº JOSE CASTRO SANCHEZ            </t>
  </si>
  <si>
    <t xml:space="preserve"> Dº GABRIEL JOSE DIAZ ARRANZ       </t>
  </si>
  <si>
    <t xml:space="preserve"> Dº ALVARO DIAZ DE LERA            </t>
  </si>
  <si>
    <t xml:space="preserve"> Dº JUAN ANTONIO FERNANDEZ ABAD       </t>
  </si>
  <si>
    <t xml:space="preserve"> Dº JORGE ENRIQUE GARCES BALAGUERA </t>
  </si>
  <si>
    <t xml:space="preserve"> Dº ALVARO HERRAIZ CABAÑIL         </t>
  </si>
  <si>
    <t xml:space="preserve"> Dº IBAN LASO AMEZ                   </t>
  </si>
  <si>
    <t xml:space="preserve"> Dº JORGE MARTIN RIAÑO                </t>
  </si>
  <si>
    <t xml:space="preserve"> Dº IGNACIO MARTINEZ LAGO          </t>
  </si>
  <si>
    <t xml:space="preserve"> Dº IGNACIO RODRIGUEZ NEBOT        </t>
  </si>
  <si>
    <t xml:space="preserve"> Dº SERGIO ENRIQUE SANCHEZ GONZALEZ</t>
  </si>
  <si>
    <t xml:space="preserve"> Dº FRANCISCO JAVIER TELLEZ IÑIGUEZ   </t>
  </si>
  <si>
    <t xml:space="preserve"> Dº ALEJANDRO SERRANO PARCERISAS      </t>
  </si>
  <si>
    <t xml:space="preserve"> Dº SERGIO SEVILLA BRAVO             </t>
  </si>
  <si>
    <t xml:space="preserve"> Dº MANUEL PEREZ PEREZ                     </t>
  </si>
  <si>
    <t xml:space="preserve"> Dº ALVARO HONRADO MARTIN                  </t>
  </si>
  <si>
    <t xml:space="preserve"> Dº MIGUEL A. CORTES HOYOS                 </t>
  </si>
  <si>
    <t xml:space="preserve"> Dº FRANCISCO J. URBANOS QUESADA           </t>
  </si>
  <si>
    <t xml:space="preserve"> Dº JORGE GARCIA GOMEZ CALCERRADA          </t>
  </si>
  <si>
    <t xml:space="preserve"> Dº JESUS GONZALEZ RIPIO                   </t>
  </si>
  <si>
    <t xml:space="preserve"> Dº JAVIER LASSO GIL                       </t>
  </si>
  <si>
    <t xml:space="preserve"> Dº EDUARDO LOPEZ SANZ       </t>
  </si>
  <si>
    <t xml:space="preserve"> Dº JOSE ALBERTO ALCARAZ LEON              </t>
  </si>
  <si>
    <t xml:space="preserve"> Dº ADRIAN JOSE GIL PRIETO                 </t>
  </si>
  <si>
    <t xml:space="preserve"> Dª JOAQUINA BENITO GARCIA          </t>
  </si>
  <si>
    <t xml:space="preserve"> Dª TANIA CEPEDA NUÑEZ              </t>
  </si>
  <si>
    <t xml:space="preserve"> Dº RUBEN MARTIN BRAVO       </t>
  </si>
  <si>
    <t xml:space="preserve"> Dº JAVIER RINO MORCILLO                   </t>
  </si>
  <si>
    <t xml:space="preserve"> Dº LUIS ALEJANDRO RODRIGUEZ-TABARES ZAMORA </t>
  </si>
  <si>
    <t xml:space="preserve"> Dº MARCOS ADAN RIOS         </t>
  </si>
  <si>
    <t xml:space="preserve"> Dº VICTOR MANUEL ALVAREZ MELLADO   </t>
  </si>
  <si>
    <t xml:space="preserve"> Dº LUIS SANTIAGO CALDERON RODRIGUEZ</t>
  </si>
  <si>
    <t xml:space="preserve"> Dº DANIEL CHAMORRO LOPEZ    </t>
  </si>
  <si>
    <t xml:space="preserve"> Dº SERGIO JOSE CAVAS MENDEZ    </t>
  </si>
  <si>
    <t xml:space="preserve"> Dº VICENTE GARCIA MARTIN    </t>
  </si>
  <si>
    <t xml:space="preserve"> Dª MARIA TERESA GILA PACHECO</t>
  </si>
  <si>
    <t xml:space="preserve"> Dº RAFAEL GOMEZ CASTILLO    </t>
  </si>
  <si>
    <t xml:space="preserve"> Dº CESAR AUGUSTO LOPEZ CASTRO      </t>
  </si>
  <si>
    <t xml:space="preserve"> Dº EZEQUIEL LOPEZ POZO             </t>
  </si>
  <si>
    <t xml:space="preserve"> Dº ALVARO MESA PEREIRA      </t>
  </si>
  <si>
    <t xml:space="preserve"> Dº MANUEL MORALES MARTINEZ         </t>
  </si>
  <si>
    <t xml:space="preserve"> Dª MELANI MUÑOZ ROBLES             </t>
  </si>
  <si>
    <t xml:space="preserve"> Dª LORENZA PEREZ TORRES            </t>
  </si>
  <si>
    <t xml:space="preserve"> Dº MANUEL JOSE SEVILLA MANZANO  </t>
  </si>
  <si>
    <t xml:space="preserve">Dº TOMAS DIAZ IZQUIERDO                        </t>
  </si>
  <si>
    <t xml:space="preserve"> Dº RICARDO GARCIA RODRIGUEZ     </t>
  </si>
  <si>
    <t xml:space="preserve"> Dª PATRICIA MONSALVE DE MINGO   </t>
  </si>
  <si>
    <t xml:space="preserve"> Dª MIRIAM TORE NAVALON          </t>
  </si>
  <si>
    <t xml:space="preserve">Dº BORJA ANDRADE GALAN                      </t>
  </si>
  <si>
    <t xml:space="preserve"> Dº MAXIMO LACASTA CAMPO             </t>
  </si>
  <si>
    <t xml:space="preserve"> Dº JUAN LUIS RUIZ PUERTO            </t>
  </si>
  <si>
    <t xml:space="preserve"> Dº MIGUEL CASA EXPOSITO           </t>
  </si>
  <si>
    <t xml:space="preserve"> Dº MIGUEL ANGEL ABELLEIRA BARREIRO  </t>
  </si>
  <si>
    <t xml:space="preserve"> Dº PEDRO ALASTRUE BERGONDO          </t>
  </si>
  <si>
    <t xml:space="preserve"> Dª NATALIA MANSILLA MORENO          </t>
  </si>
  <si>
    <t xml:space="preserve">Dº ANGEL MANUEL ORTEGA CIFUENTES </t>
  </si>
  <si>
    <t xml:space="preserve">Dº JOSE JUAN SARRION AGUADO      </t>
  </si>
  <si>
    <t xml:space="preserve"> Dº JONATHAN DAVID BAIDES GUILLEN    </t>
  </si>
  <si>
    <t xml:space="preserve"> Dº DOUGLAS MARCELO CASTELO BUSTOS </t>
  </si>
  <si>
    <t xml:space="preserve"> Dº DAVID ANGEL GONZALEZ GOMEZ       </t>
  </si>
  <si>
    <t xml:space="preserve"> Dº JOSE LOPEZ CHICHARRO          </t>
  </si>
  <si>
    <t xml:space="preserve"> Dª SILVIA ANITA ORTEGA ARCOS     </t>
  </si>
  <si>
    <t xml:space="preserve"> Dº CARLOS TORRES SOTOMAYOR       </t>
  </si>
  <si>
    <t xml:space="preserve"> Dº JOSE LUIS VALENCIA CUCHIPARTES</t>
  </si>
  <si>
    <t xml:space="preserve">  Dº JOSE LUIS GOMEZ GONZALEZ       </t>
  </si>
  <si>
    <t xml:space="preserve"> Dº SANTIAGO JAIME LATRE         </t>
  </si>
  <si>
    <t xml:space="preserve"> Dª MONICA MARQUES CARDENAS           </t>
  </si>
  <si>
    <t xml:space="preserve"> Dº OSCAR LUIS SIERRA RODRIGUEZ       </t>
  </si>
  <si>
    <t xml:space="preserve">Dª NATALIA HERNANDO CHUECA                  </t>
  </si>
  <si>
    <t xml:space="preserve"> Dº PEDRO LORENZO NAVARRO AGUDO       </t>
  </si>
  <si>
    <t xml:space="preserve"> Dª ISABEL BALLESTEROS SALES     </t>
  </si>
  <si>
    <t xml:space="preserve">  Dº JUAN JOSE GARCIA CONTRERAS     </t>
  </si>
  <si>
    <t xml:space="preserve"> Dº DIEGO LIEBANA CALLE               </t>
  </si>
  <si>
    <t xml:space="preserve"> Dº ALEJANDRO OLMO LOPEZ              </t>
  </si>
  <si>
    <t xml:space="preserve">  Dº MIGUEL ANGEL DOMINGUEZ CONTRERAS</t>
  </si>
  <si>
    <t xml:space="preserve"> Dº JORGE ARROYO AMOR                 </t>
  </si>
  <si>
    <t xml:space="preserve"> Dº LUIS FRANCISCO BARBERO VILLAFUERTE </t>
  </si>
  <si>
    <t xml:space="preserve">  Dº FEDERICO AUGUSTO BATISTA ARIAS </t>
  </si>
  <si>
    <t xml:space="preserve"> Dº MANUEL CAPABLANCA RODRIGUEZ        </t>
  </si>
  <si>
    <t xml:space="preserve"> Dº DAVID GARCIA CASILLAS             </t>
  </si>
  <si>
    <t xml:space="preserve">  Dº GONZALO GARCIA PAULOS          </t>
  </si>
  <si>
    <t xml:space="preserve"> Dº ALBERTO PABLO GONZALEZ GARCIA     </t>
  </si>
  <si>
    <t xml:space="preserve"> Dº JON ROSS HENNEFORD SANCHEZ        </t>
  </si>
  <si>
    <t xml:space="preserve"> Dº JOSE CARLOS HEREDIA MARTINEZ      </t>
  </si>
  <si>
    <t xml:space="preserve"> Dº VICTOR MANUEL MADRID YUSTA   </t>
  </si>
  <si>
    <t xml:space="preserve">  Dº JAVIER MULLOR GOMEZ            </t>
  </si>
  <si>
    <t xml:space="preserve"> Dº JORGE RAFAEL PECHARROMAN CARRETERO</t>
  </si>
  <si>
    <t xml:space="preserve">  Dº ALVARO RAPOSO MORALES          </t>
  </si>
  <si>
    <t xml:space="preserve"> Dº FRANCISCO JAVIER SOLER ROJO  </t>
  </si>
  <si>
    <t xml:space="preserve"> Dº MIGUEL TRUJILLO CAZALLAS     </t>
  </si>
  <si>
    <t xml:space="preserve"> Dº ENRIQUE VALS SANCHEZ         </t>
  </si>
  <si>
    <t xml:space="preserve">  Dº RUBEN CARLOS VIEIRA LOPEZ      </t>
  </si>
  <si>
    <t xml:space="preserve"> Dº RAMON CASTILLA BERTOLIN       </t>
  </si>
  <si>
    <t xml:space="preserve"> Dº EDUARDO VILLAVERDE CALVO      </t>
  </si>
  <si>
    <t xml:space="preserve"> Dº EDUARDO PALACIOS LOPEZ        </t>
  </si>
  <si>
    <t xml:space="preserve">Dº ANTONIO SANCHEZ ROMERO                   </t>
  </si>
  <si>
    <t xml:space="preserve"> Dº FRANCISCO BENITEZ DURAN  </t>
  </si>
  <si>
    <t xml:space="preserve"> Dº LEONARDO CORCHO CORDOBA  </t>
  </si>
  <si>
    <t xml:space="preserve"> Dº JUAN FRANCISCO SANCHEZ ORGAZ  </t>
  </si>
  <si>
    <t xml:space="preserve"> Dº PABLO MORENO HERAS            </t>
  </si>
  <si>
    <t xml:space="preserve"> Dº SANTIAGO AMADOR PANTOJA       </t>
  </si>
  <si>
    <t xml:space="preserve"> Dª MYRIAM CASTELLANOS IGLESIAS   </t>
  </si>
  <si>
    <t xml:space="preserve"> Dº FERMIN FERNANDEZ AJA          </t>
  </si>
  <si>
    <t xml:space="preserve"> Dº DAVID MARTINEZ CUEZVA         </t>
  </si>
  <si>
    <t xml:space="preserve"> Dº SERGIO MENDEZ FERNANDEZ       </t>
  </si>
  <si>
    <t xml:space="preserve"> Dª ANA ISABEL NICOLAS SANCHEZ    </t>
  </si>
  <si>
    <t xml:space="preserve"> Dº JOSE LUIS BENAVENT REY        </t>
  </si>
  <si>
    <t xml:space="preserve"> Dº FERNANDO DELGADO RIZO         </t>
  </si>
  <si>
    <t xml:space="preserve"> Dº LUIS SANTIAGO LOPEZ MARTIN    </t>
  </si>
  <si>
    <t xml:space="preserve"> Dº JUAN VICENTE MORENO FERNANDEZ </t>
  </si>
  <si>
    <t xml:space="preserve"> Dº RICARDO SANCHEZ FERNANDEZ     </t>
  </si>
  <si>
    <t xml:space="preserve"> Dª ANA BELEN BONILLA DOMINGO    </t>
  </si>
  <si>
    <t xml:space="preserve"> Dº FERMIN GARNACHO GALISTEO     </t>
  </si>
  <si>
    <t xml:space="preserve"> Dº MIGUEL ANGEL RODRIGUEZ BRAVO </t>
  </si>
  <si>
    <t xml:space="preserve"> Dº FELIPE GARCIA HERNANDEZ           </t>
  </si>
  <si>
    <t xml:space="preserve"> Dª LEONOR PINO PEREZ DE LA LASTRA    </t>
  </si>
  <si>
    <t xml:space="preserve"> Dº ADRIAN BARCELO MARTINEZ           </t>
  </si>
  <si>
    <t xml:space="preserve"> Dº IGNACIO DE MERLO RODRIGUEZ        </t>
  </si>
  <si>
    <t xml:space="preserve"> Dº JOSE CARLOS GOMEZ FERNANDEZ       </t>
  </si>
  <si>
    <t xml:space="preserve"> Dº PABLO HERNANDEZ LUCAS             </t>
  </si>
  <si>
    <t xml:space="preserve"> Dº VICTOR SANCHEZ-ARANZUEQUE PANTOJA </t>
  </si>
  <si>
    <t xml:space="preserve"> Dº EULOGIO SANCHIS AYELO             </t>
  </si>
  <si>
    <t xml:space="preserve"> Dº ROBERTO GARRIDO GUTIERREZ    </t>
  </si>
  <si>
    <t xml:space="preserve"> Dº CESAR ALEJANDRO LOPEZ CUESTA </t>
  </si>
  <si>
    <t xml:space="preserve"> Dº CARLOS ALMELA MARTINEZ       </t>
  </si>
  <si>
    <t xml:space="preserve"> Dº ALVARO GALINDO AGUIRRE       </t>
  </si>
  <si>
    <t xml:space="preserve"> Dº RAUL GOMEZ DEL AMO           </t>
  </si>
  <si>
    <t xml:space="preserve"> Dº ADRIAN GONZALEZ MENDEZ       </t>
  </si>
  <si>
    <t xml:space="preserve"> Dº VICTOR ALFREDO GUAL PARRILLA </t>
  </si>
  <si>
    <t xml:space="preserve"> Dº DAVID MALMIERCA ENCINAS      </t>
  </si>
  <si>
    <t xml:space="preserve"> Dº DANIEL MARTIN HODAR          </t>
  </si>
  <si>
    <t xml:space="preserve"> Dº JAVIER OLAYA GARCIA          </t>
  </si>
  <si>
    <t xml:space="preserve"> Dº JOSE JAVIER BERNABEU LOPEZ  </t>
  </si>
  <si>
    <t xml:space="preserve"> Dº ALBERTO PARRA DURO          </t>
  </si>
  <si>
    <t xml:space="preserve">Dº FRANCIS JAVIER ORTIZ ANDRADE                </t>
  </si>
  <si>
    <t xml:space="preserve"> Dº JOSE LOPEZ MOLERO          </t>
  </si>
  <si>
    <t xml:space="preserve"> Dº SANTIAGO DELGADO DE ARNAIZ</t>
  </si>
  <si>
    <t xml:space="preserve"> Dº ALBERTO CUEVAS CARO       </t>
  </si>
  <si>
    <t xml:space="preserve"> Dº IVAN ROMERO CANTADOR         </t>
  </si>
  <si>
    <t xml:space="preserve"> Dº CARLOS ANTONIO RUIZ ESCOBAR  </t>
  </si>
  <si>
    <t xml:space="preserve"> Dª MARIA ISABEL GONZALEZ DA SILVA  </t>
  </si>
  <si>
    <t xml:space="preserve"> Dª ANA MARIA SANCHEZ MARTIN        </t>
  </si>
  <si>
    <t xml:space="preserve"> Dº FRANCISCO FERNANDEZ PACHECO </t>
  </si>
  <si>
    <t xml:space="preserve"> Dº JOSUE GUERRERO UGENA        </t>
  </si>
  <si>
    <t xml:space="preserve"> Dº MANUEL COLLADO ROMERO       </t>
  </si>
  <si>
    <t xml:space="preserve"> Dº ANTONIO DAVID DIAZ MARTIN   </t>
  </si>
  <si>
    <t xml:space="preserve"> Dº ALVARO PEINADO ORTIZ        </t>
  </si>
  <si>
    <t xml:space="preserve">Dº VICTOR BETETA NUÑEZ                          </t>
  </si>
  <si>
    <t xml:space="preserve"> Dº JOSE RAMON CAÑIZARES NEVADO </t>
  </si>
  <si>
    <t xml:space="preserve"> Dº IVAN SAN JOSE GAVILAN       </t>
  </si>
  <si>
    <t xml:space="preserve"> Dº MANUEL BARCO DEL VALLE        </t>
  </si>
  <si>
    <t xml:space="preserve"> Dº CARLOS EUCLIDES MADRIL GUANO  </t>
  </si>
  <si>
    <t xml:space="preserve"> Dº LUIS LAZARO GARCIA-BERMEJO    </t>
  </si>
  <si>
    <t xml:space="preserve"> Dº JAIRO RIESCO GARCIA           </t>
  </si>
  <si>
    <t xml:space="preserve"> Dº JHON WILSON TORRES MERCADO  </t>
  </si>
  <si>
    <t xml:space="preserve"> Dª YANIRA PEREZ DORTA          </t>
  </si>
  <si>
    <t xml:space="preserve">Dº JORGE GARCIA-OLIVA CALDERON                  </t>
  </si>
  <si>
    <t xml:space="preserve"> Dº DAVID REY MIÑAMBRES        </t>
  </si>
  <si>
    <t xml:space="preserve"> Dº FRANCISCO OCHANDO TERREROS </t>
  </si>
  <si>
    <t xml:space="preserve"> Dª MARIBEL VAZQUEZ VELAZQUEZ  </t>
  </si>
  <si>
    <t xml:space="preserve">Dº MIGUEL ANGEL ZAMORANO JUAN                 </t>
  </si>
  <si>
    <t xml:space="preserve"> Dª NOELIA OROZCO GONZALEZ </t>
  </si>
  <si>
    <t xml:space="preserve"> Dº OVIDIO LOPEZ ALONSO    </t>
  </si>
  <si>
    <t xml:space="preserve">Dª SAGRARIO ALONSO DIAZ                        </t>
  </si>
  <si>
    <t xml:space="preserve">Dº JOSE ENRIQUE FERNANDEZ SANCHEZ             </t>
  </si>
  <si>
    <t xml:space="preserve"> Dº FERNANDO LOPEZ REYES      </t>
  </si>
  <si>
    <t xml:space="preserve">Dº JORGE DORADO ALONSO                        </t>
  </si>
  <si>
    <t xml:space="preserve">Dª SONIA SANCHEZ SENA                       </t>
  </si>
  <si>
    <t xml:space="preserve"> Dª SARA RIVERO BAEZA              </t>
  </si>
  <si>
    <t xml:space="preserve"> Dº JOSE ANGEL ARRIAGA RODRIGUEZ   </t>
  </si>
  <si>
    <t xml:space="preserve"> Dº DAVID OCHOA LOZANO   </t>
  </si>
  <si>
    <t xml:space="preserve"> Dº RUBEN ARIAS RATON    </t>
  </si>
  <si>
    <t xml:space="preserve"> Dº ISMAEL GAJATE LUNA   </t>
  </si>
  <si>
    <t xml:space="preserve">Dº ANDRES JIMENEZ PEREZ                        </t>
  </si>
  <si>
    <t xml:space="preserve"> Dº JESUS MARTINEZ ALCAZAR        </t>
  </si>
  <si>
    <t xml:space="preserve"> Dº LUIS EMILIO PEREZ RODRIGUEZ     </t>
  </si>
  <si>
    <t>03474371</t>
  </si>
  <si>
    <t>02286852</t>
  </si>
  <si>
    <t>07997158</t>
  </si>
  <si>
    <t>02666174</t>
  </si>
  <si>
    <t>03913349</t>
  </si>
  <si>
    <t>09051212</t>
  </si>
  <si>
    <t>05303056</t>
  </si>
  <si>
    <t>04210471</t>
  </si>
  <si>
    <t>05310539</t>
  </si>
  <si>
    <t>02283530</t>
  </si>
  <si>
    <t>04617951</t>
  </si>
  <si>
    <t>05300476</t>
  </si>
  <si>
    <t>03473795</t>
  </si>
  <si>
    <t>05701441</t>
  </si>
  <si>
    <t>02664209</t>
  </si>
  <si>
    <t>05302157</t>
  </si>
  <si>
    <t>04227903</t>
  </si>
  <si>
    <t>05677769</t>
  </si>
  <si>
    <t>05322217</t>
  </si>
  <si>
    <t>05695552</t>
  </si>
  <si>
    <t>09340348</t>
  </si>
  <si>
    <t>04159086</t>
  </si>
  <si>
    <t>05404153</t>
  </si>
  <si>
    <t>07248203</t>
  </si>
  <si>
    <t>02657596</t>
  </si>
  <si>
    <t>47048059</t>
  </si>
  <si>
    <t>08889856</t>
  </si>
  <si>
    <t>22598824</t>
  </si>
  <si>
    <t>75909843</t>
  </si>
  <si>
    <t xml:space="preserve">46848870 </t>
  </si>
  <si>
    <t>51474330</t>
  </si>
  <si>
    <t>47467757</t>
  </si>
  <si>
    <t>76428615</t>
  </si>
  <si>
    <t>45767878</t>
  </si>
  <si>
    <t>03839915</t>
  </si>
  <si>
    <t>07478110</t>
  </si>
  <si>
    <t>05296927</t>
  </si>
  <si>
    <t>03138327</t>
  </si>
  <si>
    <t>04610202</t>
  </si>
  <si>
    <t>03200573</t>
  </si>
  <si>
    <t>09061838</t>
  </si>
  <si>
    <t>06262010</t>
  </si>
  <si>
    <t>09052380</t>
  </si>
  <si>
    <t>04218483</t>
  </si>
  <si>
    <t>05327916</t>
  </si>
  <si>
    <t>02716227</t>
  </si>
  <si>
    <t>09051423</t>
  </si>
  <si>
    <t>03128400</t>
  </si>
  <si>
    <t>05701039</t>
  </si>
  <si>
    <t>02888115</t>
  </si>
  <si>
    <t>03892488</t>
  </si>
  <si>
    <t>08799172</t>
  </si>
  <si>
    <t>08978128</t>
  </si>
  <si>
    <t>03441596</t>
  </si>
  <si>
    <t>03869173</t>
  </si>
  <si>
    <t>05698457</t>
  </si>
  <si>
    <t>08944923</t>
  </si>
  <si>
    <t>00395408</t>
  </si>
  <si>
    <t>02202050</t>
  </si>
  <si>
    <t>04160600</t>
  </si>
  <si>
    <t>05208361</t>
  </si>
  <si>
    <t>09785151</t>
  </si>
  <si>
    <t>06276771</t>
  </si>
  <si>
    <t>02903117</t>
  </si>
  <si>
    <t>04228683</t>
  </si>
  <si>
    <t>06266809</t>
  </si>
  <si>
    <t>05265626</t>
  </si>
  <si>
    <t>02660743</t>
  </si>
  <si>
    <t>02754001</t>
  </si>
  <si>
    <t>07239728</t>
  </si>
  <si>
    <t>02231057</t>
  </si>
  <si>
    <t>02241782</t>
  </si>
  <si>
    <t>03872860</t>
  </si>
  <si>
    <t>04606061</t>
  </si>
  <si>
    <t>23297058</t>
  </si>
  <si>
    <t>50896558</t>
  </si>
  <si>
    <t>08123875</t>
  </si>
  <si>
    <t>07447683</t>
  </si>
  <si>
    <t>06628587</t>
  </si>
  <si>
    <t>07985332</t>
  </si>
  <si>
    <t>05554468</t>
  </si>
  <si>
    <t>09921594</t>
  </si>
  <si>
    <t>04137742</t>
  </si>
  <si>
    <t>03897279</t>
  </si>
  <si>
    <t>32647300</t>
  </si>
  <si>
    <t>70885005</t>
  </si>
  <si>
    <t>52104415</t>
  </si>
  <si>
    <t>50102439</t>
  </si>
  <si>
    <t>71517503</t>
  </si>
  <si>
    <t>50215975</t>
  </si>
  <si>
    <t>74829185</t>
  </si>
  <si>
    <t>50126621</t>
  </si>
  <si>
    <t>50882243</t>
  </si>
  <si>
    <t>23053098</t>
  </si>
  <si>
    <t>25597662</t>
  </si>
  <si>
    <t>47494222</t>
  </si>
  <si>
    <t>11850641</t>
  </si>
  <si>
    <t>50902499</t>
  </si>
  <si>
    <t>77358607</t>
  </si>
  <si>
    <t>75113154</t>
  </si>
  <si>
    <t>76115237</t>
  </si>
  <si>
    <t>49007834</t>
  </si>
  <si>
    <t>50550838</t>
  </si>
  <si>
    <t>58440528</t>
  </si>
  <si>
    <t>02674716</t>
  </si>
  <si>
    <t>46928963</t>
  </si>
  <si>
    <t xml:space="preserve">51535182 </t>
  </si>
  <si>
    <t xml:space="preserve">74740236 </t>
  </si>
  <si>
    <t>46890574</t>
  </si>
  <si>
    <t>47533462</t>
  </si>
  <si>
    <t>71149345</t>
  </si>
  <si>
    <t>47397342</t>
  </si>
  <si>
    <t>71670036</t>
  </si>
  <si>
    <t>05698364</t>
  </si>
  <si>
    <t>76428614</t>
  </si>
  <si>
    <t>51102730</t>
  </si>
  <si>
    <t>48969496</t>
  </si>
  <si>
    <t>78586901</t>
  </si>
  <si>
    <t>47287884</t>
  </si>
  <si>
    <t>11861228</t>
  </si>
  <si>
    <t>20049092</t>
  </si>
  <si>
    <t xml:space="preserve">73587262 </t>
  </si>
  <si>
    <t>70588581</t>
  </si>
  <si>
    <t xml:space="preserve">47410215 </t>
  </si>
  <si>
    <t>76427732</t>
  </si>
  <si>
    <t xml:space="preserve">50988871 </t>
  </si>
  <si>
    <t xml:space="preserve">48200541 </t>
  </si>
  <si>
    <t>76640468</t>
  </si>
  <si>
    <t>47084749</t>
  </si>
  <si>
    <t xml:space="preserve">50231702 </t>
  </si>
  <si>
    <t>11861859</t>
  </si>
  <si>
    <t xml:space="preserve">25348737 </t>
  </si>
  <si>
    <t>20914580</t>
  </si>
  <si>
    <t xml:space="preserve">30986061 </t>
  </si>
  <si>
    <t>53361899</t>
  </si>
  <si>
    <t>50558132</t>
  </si>
  <si>
    <t>09062218</t>
  </si>
  <si>
    <t>71971132</t>
  </si>
  <si>
    <t>26254068</t>
  </si>
  <si>
    <t>47226927</t>
  </si>
  <si>
    <t xml:space="preserve">78856928 </t>
  </si>
  <si>
    <t xml:space="preserve">03138890 </t>
  </si>
  <si>
    <t xml:space="preserve">28843708 </t>
  </si>
  <si>
    <t>03450150</t>
  </si>
  <si>
    <t>50439330</t>
  </si>
  <si>
    <t>33926071</t>
  </si>
  <si>
    <t>50862377</t>
  </si>
  <si>
    <t>24399744</t>
  </si>
  <si>
    <t>75097767</t>
  </si>
  <si>
    <t>76941277</t>
  </si>
  <si>
    <t>51095370</t>
  </si>
  <si>
    <t>49310413</t>
  </si>
  <si>
    <t>32735572</t>
  </si>
  <si>
    <t>50754711</t>
  </si>
  <si>
    <t>24440089</t>
  </si>
  <si>
    <t>47553134</t>
  </si>
  <si>
    <t>50363966</t>
  </si>
  <si>
    <t>53756927</t>
  </si>
  <si>
    <t>07428968</t>
  </si>
  <si>
    <t>50559483</t>
  </si>
  <si>
    <t>47706512</t>
  </si>
  <si>
    <t>53475484</t>
  </si>
  <si>
    <t>71940817</t>
  </si>
  <si>
    <t>50996520</t>
  </si>
  <si>
    <t>72149436</t>
  </si>
  <si>
    <t>47460660</t>
  </si>
  <si>
    <t>76255290</t>
  </si>
  <si>
    <t>51472523</t>
  </si>
  <si>
    <t>44433014</t>
  </si>
  <si>
    <t>71939025</t>
  </si>
  <si>
    <t>43152994</t>
  </si>
  <si>
    <t>41508090</t>
  </si>
  <si>
    <t>75268647</t>
  </si>
  <si>
    <t>71946461</t>
  </si>
  <si>
    <t>48671966</t>
  </si>
  <si>
    <t>72468206</t>
  </si>
  <si>
    <t>47091517</t>
  </si>
  <si>
    <t>49077463</t>
  </si>
  <si>
    <t>76131697</t>
  </si>
  <si>
    <t>70958401</t>
  </si>
  <si>
    <t>12341502</t>
  </si>
  <si>
    <t>48744208</t>
  </si>
  <si>
    <t>76434227</t>
  </si>
  <si>
    <t>11838290</t>
  </si>
  <si>
    <t>25725263</t>
  </si>
  <si>
    <t>25193555</t>
  </si>
  <si>
    <t>15482472</t>
  </si>
  <si>
    <t>75171084</t>
  </si>
  <si>
    <t>50553370</t>
  </si>
  <si>
    <t>53374069</t>
  </si>
  <si>
    <t>76872443</t>
  </si>
  <si>
    <t>54093600</t>
  </si>
  <si>
    <t>53604055</t>
  </si>
  <si>
    <t>11853580</t>
  </si>
  <si>
    <t>71952375</t>
  </si>
  <si>
    <t>79340153</t>
  </si>
  <si>
    <t>28976672</t>
  </si>
  <si>
    <t>53186306</t>
  </si>
  <si>
    <t>53378967</t>
  </si>
  <si>
    <t>30992817</t>
  </si>
  <si>
    <t>45683699</t>
  </si>
  <si>
    <t>47531965</t>
  </si>
  <si>
    <t>42232403</t>
  </si>
  <si>
    <t>47278001</t>
  </si>
  <si>
    <t>44744279</t>
  </si>
  <si>
    <t>23054916</t>
  </si>
  <si>
    <t>71729182</t>
  </si>
  <si>
    <t>45765680</t>
  </si>
  <si>
    <t>44062829</t>
  </si>
  <si>
    <t>33529218</t>
  </si>
  <si>
    <t>49572152</t>
  </si>
  <si>
    <t>47521817</t>
  </si>
  <si>
    <t>46362559</t>
  </si>
  <si>
    <t>53902377</t>
  </si>
  <si>
    <t>54213423</t>
  </si>
  <si>
    <t>50890335</t>
  </si>
  <si>
    <t>75131936</t>
  </si>
  <si>
    <t>70080559</t>
  </si>
  <si>
    <t>23318419</t>
  </si>
  <si>
    <t>50900170</t>
  </si>
  <si>
    <t>71417299</t>
  </si>
  <si>
    <t>77823679</t>
  </si>
  <si>
    <t>53617889</t>
  </si>
  <si>
    <t>48597249</t>
  </si>
  <si>
    <t>32066778</t>
  </si>
  <si>
    <t>74916658</t>
  </si>
  <si>
    <t>50162784</t>
  </si>
  <si>
    <t>70802256</t>
  </si>
  <si>
    <t>50989114</t>
  </si>
  <si>
    <t>48353257</t>
  </si>
  <si>
    <t>18161278</t>
  </si>
  <si>
    <t>52936286</t>
  </si>
  <si>
    <t>53392552</t>
  </si>
  <si>
    <t>53573684</t>
  </si>
  <si>
    <t>47083968</t>
  </si>
  <si>
    <t>44388723</t>
  </si>
  <si>
    <t>54349498</t>
  </si>
  <si>
    <t>47040845</t>
  </si>
  <si>
    <t>70818990</t>
  </si>
  <si>
    <t>71677159</t>
  </si>
  <si>
    <t>50612284</t>
  </si>
  <si>
    <t>18042191</t>
  </si>
  <si>
    <t>47016275</t>
  </si>
  <si>
    <t>25186711</t>
  </si>
  <si>
    <t>47025113</t>
  </si>
  <si>
    <t>75775324</t>
  </si>
  <si>
    <t>70356964</t>
  </si>
  <si>
    <t>76654158</t>
  </si>
  <si>
    <t>51875244</t>
  </si>
  <si>
    <t>11818074</t>
  </si>
  <si>
    <t>71144861</t>
  </si>
  <si>
    <t>72979246</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</si>
</sst>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rgb="FFC00000"/>
      <name val="Calibri"/>
      <family val="2"/>
      <scheme val="minor"/>
    </font>
    <font>
      <vertAlign val="superscript"/>
      <sz val="11"/>
      <color theme="1"/>
      <name val="Calibri"/>
      <family val="2"/>
      <scheme val="minor"/>
    </font>
    <font>
      <sz val="11"/>
      <color rgb="FF333333"/>
      <name val="Calibri"/>
      <family val="2"/>
      <scheme val="minor"/>
    </font>
    <font>
      <sz val="11"/>
      <color theme="1"/>
      <name val="Arial"/>
      <family val="2"/>
    </font>
    <font>
      <i/>
      <sz val="11"/>
      <color theme="1"/>
      <name val="Arial"/>
      <family val="2"/>
    </font>
    <font>
      <sz val="8"/>
      <color theme="1"/>
      <name val="Calibri"/>
      <family val="2"/>
      <scheme val="minor"/>
    </font>
    <font>
      <sz val="10"/>
      <color theme="1"/>
      <name val="Calibri"/>
      <family val="2"/>
      <scheme val="minor"/>
    </font>
    <font>
      <sz val="12"/>
      <color theme="1"/>
      <name val="Calibri"/>
      <family val="2"/>
      <scheme val="minor"/>
    </font>
    <font>
      <u/>
      <sz val="11"/>
      <color theme="1"/>
      <name val="Calibri"/>
      <family val="2"/>
      <scheme val="minor"/>
    </font>
    <font>
      <i/>
      <u/>
      <sz val="11"/>
      <color theme="1"/>
      <name val="Calibri"/>
      <family val="2"/>
      <scheme val="minor"/>
    </font>
    <font>
      <i/>
      <sz val="11"/>
      <color theme="1"/>
      <name val="Calibri"/>
      <family val="2"/>
      <scheme val="minor"/>
    </font>
    <font>
      <u/>
      <vertAlign val="superscript"/>
      <sz val="11"/>
      <color theme="1"/>
      <name val="Calibri"/>
      <family val="2"/>
      <scheme val="minor"/>
    </font>
    <font>
      <sz val="11.5"/>
      <color theme="1"/>
      <name val="Calibri"/>
      <family val="2"/>
      <scheme val="minor"/>
    </font>
    <font>
      <sz val="11.5"/>
      <color theme="1"/>
      <name val="Arial"/>
      <family val="2"/>
    </font>
  </fonts>
  <fills count="26">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
      <patternFill patternType="solid">
        <fgColor rgb="FFFFCCCC"/>
        <bgColor indexed="64"/>
      </patternFill>
    </fill>
    <fill>
      <patternFill patternType="solid">
        <fgColor rgb="FF99FFCC"/>
        <bgColor indexed="64"/>
      </patternFill>
    </fill>
    <fill>
      <patternFill patternType="solid">
        <fgColor rgb="FFFFC000"/>
        <bgColor indexed="64"/>
      </patternFill>
    </fill>
    <fill>
      <patternFill patternType="solid">
        <fgColor theme="6" tint="0.59999389629810485"/>
        <bgColor indexed="64"/>
      </patternFill>
    </fill>
    <fill>
      <patternFill patternType="solid">
        <fgColor rgb="FFFFCCFF"/>
        <bgColor indexed="64"/>
      </patternFill>
    </fill>
    <fill>
      <patternFill patternType="solid">
        <fgColor rgb="FFCCFFFF"/>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5" tint="0.79998168889431442"/>
        <bgColor indexed="64"/>
      </patternFill>
    </fill>
  </fills>
  <borders count="7">
    <border>
      <left/>
      <right/>
      <top/>
      <bottom/>
      <diagonal/>
    </border>
    <border>
      <left style="thin">
        <color theme="0"/>
      </left>
      <right/>
      <top/>
      <bottom style="thin">
        <color theme="0"/>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102">
    <xf numFmtId="0" fontId="0" fillId="0" borderId="0" xfId="0"/>
    <xf numFmtId="0" fontId="0" fillId="0" borderId="0" xfId="0" applyAlignment="1">
      <alignment wrapText="1"/>
    </xf>
    <xf numFmtId="0" fontId="0" fillId="0" borderId="0" xfId="0" applyAlignment="1"/>
    <xf numFmtId="49" fontId="0" fillId="2" borderId="1" xfId="0" applyNumberFormat="1" applyFill="1" applyBorder="1"/>
    <xf numFmtId="0" fontId="1" fillId="0" borderId="0" xfId="0" applyFont="1"/>
    <xf numFmtId="0" fontId="1" fillId="4" borderId="0" xfId="0" applyFont="1" applyFill="1"/>
    <xf numFmtId="49" fontId="0" fillId="3" borderId="2" xfId="0" applyNumberFormat="1" applyFill="1" applyBorder="1"/>
    <xf numFmtId="0" fontId="0" fillId="5" borderId="3" xfId="0" applyFill="1" applyBorder="1" applyAlignment="1"/>
    <xf numFmtId="0" fontId="0" fillId="5" borderId="3" xfId="0" applyFill="1" applyBorder="1" applyAlignment="1">
      <alignment wrapText="1"/>
    </xf>
    <xf numFmtId="0" fontId="0" fillId="5" borderId="4" xfId="0" applyFill="1" applyBorder="1" applyAlignment="1"/>
    <xf numFmtId="0" fontId="0" fillId="5" borderId="4" xfId="0" applyFill="1" applyBorder="1" applyAlignment="1">
      <alignment wrapText="1"/>
    </xf>
    <xf numFmtId="0" fontId="0" fillId="6" borderId="3" xfId="0" applyFill="1" applyBorder="1" applyAlignment="1"/>
    <xf numFmtId="0" fontId="0" fillId="7" borderId="3" xfId="0" applyFill="1" applyBorder="1" applyAlignment="1"/>
    <xf numFmtId="0" fontId="0" fillId="6" borderId="3" xfId="0" applyFont="1" applyFill="1" applyBorder="1" applyAlignment="1"/>
    <xf numFmtId="0" fontId="0" fillId="8" borderId="3" xfId="0" applyFill="1" applyBorder="1" applyAlignment="1"/>
    <xf numFmtId="0" fontId="0" fillId="8" borderId="3" xfId="0" applyFill="1" applyBorder="1"/>
    <xf numFmtId="0" fontId="0" fillId="8" borderId="3" xfId="0" applyFill="1" applyBorder="1" applyAlignment="1">
      <alignment wrapText="1"/>
    </xf>
    <xf numFmtId="0" fontId="0" fillId="9" borderId="3" xfId="0" applyFill="1" applyBorder="1" applyAlignment="1">
      <alignment wrapText="1"/>
    </xf>
    <xf numFmtId="0" fontId="0" fillId="10" borderId="3" xfId="0" applyFill="1" applyBorder="1" applyAlignment="1">
      <alignment wrapText="1"/>
    </xf>
    <xf numFmtId="0" fontId="0" fillId="7" borderId="3" xfId="0" applyFont="1" applyFill="1" applyBorder="1" applyAlignment="1"/>
    <xf numFmtId="0" fontId="0" fillId="6" borderId="3" xfId="0" applyFill="1" applyBorder="1" applyAlignment="1">
      <alignment wrapText="1"/>
    </xf>
    <xf numFmtId="0" fontId="0" fillId="8" borderId="0" xfId="0" applyFill="1" applyAlignment="1">
      <alignment wrapText="1"/>
    </xf>
    <xf numFmtId="0" fontId="0" fillId="8" borderId="5" xfId="0" applyFill="1" applyBorder="1" applyAlignment="1">
      <alignment wrapText="1"/>
    </xf>
    <xf numFmtId="0" fontId="0" fillId="8" borderId="5" xfId="0" applyFill="1" applyBorder="1" applyAlignment="1"/>
    <xf numFmtId="0" fontId="0" fillId="8" borderId="5" xfId="0" applyFill="1" applyBorder="1"/>
    <xf numFmtId="0" fontId="0" fillId="11" borderId="3" xfId="0" applyFill="1" applyBorder="1" applyAlignment="1">
      <alignment wrapText="1"/>
    </xf>
    <xf numFmtId="0" fontId="0" fillId="12" borderId="3" xfId="0" applyFill="1" applyBorder="1" applyAlignment="1">
      <alignment wrapText="1"/>
    </xf>
    <xf numFmtId="0" fontId="0" fillId="12" borderId="0" xfId="0" applyFill="1" applyAlignment="1">
      <alignment wrapText="1"/>
    </xf>
    <xf numFmtId="0" fontId="0" fillId="12" borderId="3" xfId="0" applyFill="1" applyBorder="1" applyAlignment="1"/>
    <xf numFmtId="0" fontId="0" fillId="12" borderId="3" xfId="0" applyFill="1" applyBorder="1"/>
    <xf numFmtId="0" fontId="0" fillId="13" borderId="0" xfId="0" applyFill="1" applyAlignment="1">
      <alignment wrapText="1"/>
    </xf>
    <xf numFmtId="0" fontId="0" fillId="13" borderId="3" xfId="0" applyFill="1" applyBorder="1" applyAlignment="1"/>
    <xf numFmtId="0" fontId="0" fillId="13" borderId="3" xfId="0" applyFill="1" applyBorder="1"/>
    <xf numFmtId="0" fontId="0" fillId="13" borderId="3" xfId="0" applyFill="1" applyBorder="1" applyAlignment="1">
      <alignment wrapText="1"/>
    </xf>
    <xf numFmtId="0" fontId="0" fillId="14" borderId="0" xfId="0" applyFill="1" applyAlignment="1">
      <alignment wrapText="1"/>
    </xf>
    <xf numFmtId="0" fontId="0" fillId="14" borderId="3" xfId="0" applyFill="1" applyBorder="1" applyAlignment="1"/>
    <xf numFmtId="0" fontId="0" fillId="14" borderId="3" xfId="0" applyFill="1" applyBorder="1"/>
    <xf numFmtId="0" fontId="0" fillId="14" borderId="3" xfId="0" applyFill="1" applyBorder="1" applyAlignment="1">
      <alignment wrapText="1"/>
    </xf>
    <xf numFmtId="0" fontId="0" fillId="15" borderId="0" xfId="0" applyFill="1" applyAlignment="1">
      <alignment wrapText="1"/>
    </xf>
    <xf numFmtId="0" fontId="0" fillId="15" borderId="3" xfId="0" applyFill="1" applyBorder="1" applyAlignment="1"/>
    <xf numFmtId="0" fontId="0" fillId="15" borderId="3" xfId="0" applyFill="1" applyBorder="1"/>
    <xf numFmtId="0" fontId="0" fillId="15" borderId="3" xfId="0" applyFill="1" applyBorder="1" applyAlignment="1">
      <alignment wrapText="1"/>
    </xf>
    <xf numFmtId="0" fontId="6" fillId="15" borderId="3" xfId="0" applyFont="1" applyFill="1" applyBorder="1" applyAlignment="1">
      <alignment wrapText="1"/>
    </xf>
    <xf numFmtId="0" fontId="0" fillId="5" borderId="0" xfId="0" applyFill="1" applyBorder="1" applyAlignment="1">
      <alignment wrapText="1"/>
    </xf>
    <xf numFmtId="0" fontId="0" fillId="0" borderId="0" xfId="0" applyFill="1" applyAlignment="1">
      <alignment wrapText="1"/>
    </xf>
    <xf numFmtId="0" fontId="0" fillId="0" borderId="4" xfId="0" applyNumberFormat="1" applyFill="1" applyBorder="1" applyAlignment="1"/>
    <xf numFmtId="0" fontId="0" fillId="0" borderId="0" xfId="0" applyNumberFormat="1" applyFill="1" applyBorder="1" applyAlignment="1"/>
    <xf numFmtId="0" fontId="0" fillId="0" borderId="0" xfId="0" applyNumberFormat="1" applyFill="1" applyAlignment="1"/>
    <xf numFmtId="0" fontId="0" fillId="8" borderId="4" xfId="0" applyFill="1" applyBorder="1" applyAlignment="1"/>
    <xf numFmtId="0" fontId="7" fillId="8" borderId="4" xfId="0" applyFont="1" applyFill="1" applyBorder="1" applyAlignment="1"/>
    <xf numFmtId="0" fontId="7" fillId="8" borderId="4" xfId="0" applyFont="1" applyFill="1" applyBorder="1" applyAlignment="1">
      <alignment wrapText="1"/>
    </xf>
    <xf numFmtId="0" fontId="0" fillId="8" borderId="4" xfId="0" applyFill="1" applyBorder="1" applyAlignment="1">
      <alignment wrapText="1"/>
    </xf>
    <xf numFmtId="0" fontId="0" fillId="16" borderId="3" xfId="0" applyFill="1" applyBorder="1" applyAlignment="1"/>
    <xf numFmtId="0" fontId="0" fillId="16" borderId="3" xfId="0" applyFont="1" applyFill="1" applyBorder="1" applyAlignment="1"/>
    <xf numFmtId="0" fontId="0" fillId="16" borderId="4" xfId="0" applyFill="1" applyBorder="1" applyAlignment="1"/>
    <xf numFmtId="0" fontId="0" fillId="16" borderId="3" xfId="0" applyFill="1" applyBorder="1" applyAlignment="1">
      <alignment wrapText="1"/>
    </xf>
    <xf numFmtId="0" fontId="0" fillId="7" borderId="3" xfId="0" applyFill="1" applyBorder="1" applyAlignment="1">
      <alignment wrapText="1"/>
    </xf>
    <xf numFmtId="0" fontId="0" fillId="17" borderId="3" xfId="0" applyFill="1" applyBorder="1" applyAlignment="1">
      <alignment wrapText="1"/>
    </xf>
    <xf numFmtId="0" fontId="0" fillId="17" borderId="3" xfId="0" applyFill="1" applyBorder="1" applyAlignment="1"/>
    <xf numFmtId="0" fontId="0" fillId="17" borderId="3" xfId="0" applyFill="1" applyBorder="1"/>
    <xf numFmtId="0" fontId="0" fillId="17" borderId="0" xfId="0" applyFill="1" applyAlignment="1">
      <alignment wrapText="1"/>
    </xf>
    <xf numFmtId="0" fontId="0" fillId="17" borderId="0" xfId="0" applyFill="1"/>
    <xf numFmtId="0" fontId="0" fillId="18" borderId="3" xfId="0" applyFill="1" applyBorder="1" applyAlignment="1"/>
    <xf numFmtId="0" fontId="0" fillId="18" borderId="3" xfId="0" applyFill="1" applyBorder="1"/>
    <xf numFmtId="0" fontId="0" fillId="18" borderId="3" xfId="0" applyFill="1" applyBorder="1" applyAlignment="1">
      <alignment wrapText="1"/>
    </xf>
    <xf numFmtId="0" fontId="0" fillId="18" borderId="5" xfId="0" applyFill="1" applyBorder="1" applyAlignment="1">
      <alignment wrapText="1"/>
    </xf>
    <xf numFmtId="0" fontId="0" fillId="18" borderId="5" xfId="0" applyFill="1" applyBorder="1" applyAlignment="1"/>
    <xf numFmtId="0" fontId="0" fillId="18" borderId="5" xfId="0" applyFill="1" applyBorder="1"/>
    <xf numFmtId="0" fontId="0" fillId="8" borderId="0" xfId="0" applyFill="1" applyBorder="1"/>
    <xf numFmtId="0" fontId="0" fillId="9" borderId="4" xfId="0" applyFill="1" applyBorder="1" applyAlignment="1"/>
    <xf numFmtId="0" fontId="0" fillId="9" borderId="6" xfId="0" applyFill="1" applyBorder="1" applyAlignment="1">
      <alignment wrapText="1"/>
    </xf>
    <xf numFmtId="0" fontId="0" fillId="9" borderId="3" xfId="0" applyFill="1" applyBorder="1" applyAlignment="1"/>
    <xf numFmtId="0" fontId="0" fillId="9" borderId="6" xfId="0" applyFill="1" applyBorder="1" applyAlignment="1"/>
    <xf numFmtId="0" fontId="0" fillId="9" borderId="6" xfId="0" applyFill="1" applyBorder="1"/>
    <xf numFmtId="0" fontId="0" fillId="19" borderId="0" xfId="0" applyFill="1" applyAlignment="1">
      <alignment wrapText="1"/>
    </xf>
    <xf numFmtId="0" fontId="0" fillId="19" borderId="3" xfId="0" applyFill="1" applyBorder="1" applyAlignment="1"/>
    <xf numFmtId="0" fontId="0" fillId="19" borderId="3" xfId="0" applyFill="1" applyBorder="1"/>
    <xf numFmtId="0" fontId="0" fillId="19" borderId="3" xfId="0" applyFill="1" applyBorder="1" applyAlignment="1">
      <alignment wrapText="1"/>
    </xf>
    <xf numFmtId="0" fontId="0" fillId="20" borderId="4" xfId="0" applyFill="1" applyBorder="1" applyAlignment="1"/>
    <xf numFmtId="0" fontId="0" fillId="20" borderId="6" xfId="0" applyFill="1" applyBorder="1" applyAlignment="1">
      <alignment wrapText="1"/>
    </xf>
    <xf numFmtId="0" fontId="0" fillId="20" borderId="3" xfId="0" applyFill="1" applyBorder="1" applyAlignment="1"/>
    <xf numFmtId="0" fontId="0" fillId="20" borderId="6" xfId="0" applyFill="1" applyBorder="1" applyAlignment="1"/>
    <xf numFmtId="0" fontId="0" fillId="20" borderId="0" xfId="0" applyFill="1" applyAlignment="1">
      <alignment wrapText="1"/>
    </xf>
    <xf numFmtId="0" fontId="0" fillId="20" borderId="3" xfId="0" applyFill="1" applyBorder="1" applyAlignment="1">
      <alignment wrapText="1"/>
    </xf>
    <xf numFmtId="0" fontId="8" fillId="20" borderId="6" xfId="0" applyFont="1" applyFill="1" applyBorder="1" applyAlignment="1">
      <alignment wrapText="1"/>
    </xf>
    <xf numFmtId="0" fontId="0" fillId="18" borderId="6" xfId="0" applyFill="1" applyBorder="1" applyAlignment="1"/>
    <xf numFmtId="0" fontId="0" fillId="18" borderId="6" xfId="0" applyFill="1" applyBorder="1" applyAlignment="1">
      <alignment wrapText="1"/>
    </xf>
    <xf numFmtId="0" fontId="0" fillId="18" borderId="0" xfId="0" applyFill="1" applyBorder="1" applyAlignment="1"/>
    <xf numFmtId="0" fontId="0" fillId="18" borderId="4" xfId="0" applyFill="1" applyBorder="1" applyAlignment="1"/>
    <xf numFmtId="0" fontId="0" fillId="20" borderId="0" xfId="0" applyFill="1" applyBorder="1" applyAlignment="1">
      <alignment wrapText="1"/>
    </xf>
    <xf numFmtId="0" fontId="9" fillId="20" borderId="0" xfId="0" applyFont="1" applyFill="1" applyAlignment="1">
      <alignment wrapText="1"/>
    </xf>
    <xf numFmtId="0" fontId="9" fillId="17" borderId="3" xfId="0" applyFont="1" applyFill="1" applyBorder="1"/>
    <xf numFmtId="49" fontId="0" fillId="0" borderId="0" xfId="0" applyNumberFormat="1"/>
    <xf numFmtId="0" fontId="0" fillId="21" borderId="0" xfId="0" applyFill="1" applyAlignment="1">
      <alignment wrapText="1"/>
    </xf>
    <xf numFmtId="0" fontId="0" fillId="22" borderId="3" xfId="0" applyFill="1" applyBorder="1" applyAlignment="1">
      <alignment wrapText="1"/>
    </xf>
    <xf numFmtId="0" fontId="13" fillId="0" borderId="0" xfId="0" applyFont="1"/>
    <xf numFmtId="0" fontId="14" fillId="0" borderId="0" xfId="0" applyFont="1" applyAlignment="1">
      <alignment horizontal="left" vertical="top" wrapText="1"/>
    </xf>
    <xf numFmtId="0" fontId="0" fillId="23" borderId="3" xfId="0" applyFill="1" applyBorder="1" applyAlignment="1">
      <alignment wrapText="1"/>
    </xf>
    <xf numFmtId="0" fontId="0" fillId="24" borderId="3" xfId="0" applyFill="1" applyBorder="1" applyAlignment="1">
      <alignment wrapText="1"/>
    </xf>
    <xf numFmtId="0" fontId="0" fillId="25" borderId="3" xfId="0" applyFill="1" applyBorder="1" applyAlignment="1">
      <alignment wrapText="1"/>
    </xf>
    <xf numFmtId="17" fontId="0" fillId="10" borderId="3" xfId="0" applyNumberFormat="1" applyFill="1" applyBorder="1" applyAlignment="1">
      <alignment wrapText="1"/>
    </xf>
    <xf numFmtId="0" fontId="0" fillId="4" borderId="3" xfId="0" applyFill="1" applyBorder="1"/>
  </cellXfs>
  <cellStyles count="1">
    <cellStyle name="Normal" xfId="0" builtinId="0"/>
  </cellStyles>
  <dxfs count="34">
    <dxf>
      <numFmt numFmtId="30" formatCode="@"/>
      <fill>
        <patternFill patternType="solid">
          <fgColor theme="4" tint="0.79998168889431442"/>
          <bgColor theme="4" tint="0.79998168889431442"/>
        </patternFill>
      </fill>
      <border diagonalUp="0" diagonalDown="0">
        <left style="thin">
          <color theme="0"/>
        </left>
        <right/>
        <top/>
        <bottom style="thin">
          <color theme="0"/>
        </bottom>
        <vertical/>
        <horizontal/>
      </border>
    </dxf>
    <dxf>
      <border outline="0">
        <left style="thin">
          <color theme="0"/>
        </left>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rgb="FFC00000"/>
        <name val="Calibri"/>
        <scheme val="minor"/>
      </font>
      <fill>
        <patternFill patternType="solid">
          <fgColor indexed="64"/>
          <bgColor theme="0"/>
        </patternFill>
      </fill>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bgColor rgb="FFFFFF00"/>
        </patternFill>
      </fill>
      <alignment horizontal="general" vertical="bottom" textRotation="0" wrapText="0" indent="0" justifyLastLine="0" shrinkToFit="0" readingOrder="0"/>
    </dxf>
    <dxf>
      <alignment horizontal="general" vertical="bottom" textRotation="0" wrapText="1" relative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99FFCC"/>
      <color rgb="FFFFCCCC"/>
      <color rgb="FFFFCCFF"/>
      <color rgb="FFCCFFFF"/>
      <color rgb="FF00FFFF"/>
      <color rgb="FFFFFFCC"/>
      <color rgb="FFCCCCFF"/>
      <color rgb="FFCCFFCC"/>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sites">
        <xsd:complexType>
          <xsd:sequence minOccurs="0">
            <xsd:element minOccurs="0" nillable="true" name="site" form="unqualified">
              <xsd:complexType>
                <xsd:sequence minOccurs="0">
                  <xsd:element minOccurs="0" maxOccurs="unbounded" nillable="true" name="pregunta" form="unqualified">
                    <xsd:complexType>
                      <xsd:sequence minOccurs="0">
                        <xsd:element minOccurs="0" nillable="true" type="xsd:string" name="url" form="unqualified"/>
                        <xsd:element minOccurs="0" nillable="true" name="respuestas" form="unqualified">
                          <xsd:complexType>
                            <xsd:sequence minOccurs="0">
                              <xsd:element minOccurs="0" nillable="true" name="brief" form="unqualified">
                                <xsd:complexType>
                                  <xsd:sequence minOccurs="0">
                                    <xsd:element minOccurs="0" nillable="true" type="xsd:string" name="resp1" form="unqualified"/>
                                    <xsd:element minOccurs="0" nillable="true" type="xsd:string" name="resp2" form="unqualified"/>
                                    <xsd:element minOccurs="0" nillable="true" type="xsd:string" name="resp3" form="unqualified"/>
                                    <xsd:element minOccurs="0" nillable="true" type="xsd:string" name="resp4" form="unqualified"/>
                                    <xsd:element minOccurs="0" nillable="true" type="xsd:string" name="long" form="unqualified"/>
                                  </xsd:sequence>
                                </xsd:complexType>
                              </xsd:element>
                            </xsd:sequence>
                          </xsd:complexType>
                        </xsd:element>
                      </xsd:sequence>
                      <xsd:attribute name="id" form="unqualified" type="xsd:integer"/>
                      <xsd:attribute name="texto" form="unqualified" type="xsd:string"/>
                    </xsd:complexType>
                  </xsd:element>
                </xsd:sequence>
                <xsd:attribute name="id" form="unqualified" type="xsd:integer"/>
              </xsd:complexType>
            </xsd:element>
          </xsd:sequence>
          <xsd:attribute name="fecha" form="unqualified" type="xsd:string"/>
          <xsd:attribute name="titulo" form="unqualified" type="xsd:string"/>
        </xsd:complexType>
      </xsd:element>
    </xsd:schema>
  </Schema>
  <Map ID="1" Name="sites_Map" RootElement="site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4" name="Mitabla5" displayName="Mitabla5" ref="A1:N121" totalsRowShown="0" headerRowDxfId="33" dataDxfId="32">
  <tableColumns count="14">
    <tableColumn id="1" name="fecha" dataDxfId="31"/>
    <tableColumn id="2" name="titulo" dataDxfId="30"/>
    <tableColumn id="3" name="id_exam" dataDxfId="29"/>
    <tableColumn id="13" name="nombre_examen" dataDxfId="28"/>
    <tableColumn id="4" name="nquest" dataDxfId="27"/>
    <tableColumn id="5" name="Question" dataDxfId="26"/>
    <tableColumn id="6" name="url" dataDxfId="25"/>
    <tableColumn id="12" name="repeat" dataDxfId="24"/>
    <tableColumn id="11" name="delay" dataDxfId="23"/>
    <tableColumn id="7" name="answ1" dataDxfId="22"/>
    <tableColumn id="8" name="answ2" dataDxfId="21"/>
    <tableColumn id="9" name="answ3" dataDxfId="20"/>
    <tableColumn id="10" name="answ4" dataDxfId="19"/>
    <tableColumn id="14" name="answ5" dataDxfId="18">
      <calculatedColumnFormula>CONCATENATE("A. ",(J2))</calculatedColumnFormula>
    </tableColumn>
  </tableColumns>
  <tableStyleInfo showFirstColumn="0" showLastColumn="0" showRowStripes="1" showColumnStripes="0"/>
</table>
</file>

<file path=xl/tables/table2.xml><?xml version="1.0" encoding="utf-8"?>
<table xmlns="http://schemas.openxmlformats.org/spreadsheetml/2006/main" id="3" name="Mitabla34" displayName="Mitabla34" ref="A1:L2" insertRow="1" totalsRowShown="0" headerRowDxfId="17" dataDxfId="16">
  <tableColumns count="12">
    <tableColumn id="1" name="fecha" dataDxfId="15"/>
    <tableColumn id="2" name="titulo" dataDxfId="14"/>
    <tableColumn id="3" name="id_exam" dataDxfId="13"/>
    <tableColumn id="13" name="nombre_examen" dataDxfId="12"/>
    <tableColumn id="4" name="nquest" dataDxfId="11"/>
    <tableColumn id="5" name="Texto" dataDxfId="10"/>
    <tableColumn id="6" name="Question1" dataDxfId="9"/>
    <tableColumn id="7" name="answ1" dataDxfId="8"/>
    <tableColumn id="8" name="answ2" dataDxfId="7"/>
    <tableColumn id="9" name="answ3" dataDxfId="6"/>
    <tableColumn id="10" name="answ4" dataDxfId="5"/>
    <tableColumn id="11" name="Question2" dataDxfId="4"/>
  </tableColumns>
  <tableStyleInfo showFirstColumn="0" showLastColumn="0" showRowStripes="1" showColumnStripes="0"/>
</table>
</file>

<file path=xl/tables/table3.xml><?xml version="1.0" encoding="utf-8"?>
<table xmlns="http://schemas.openxmlformats.org/spreadsheetml/2006/main" id="2" name="Tabla2" displayName="Tabla2" ref="B1:B425" totalsRowShown="0" headerRowDxfId="3" dataDxfId="2" tableBorderDxfId="1">
  <tableColumns count="1">
    <tableColumn id="1" name="Poner DNI sin letra" dataDxfId="0"/>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1043"/>
  <sheetViews>
    <sheetView zoomScale="70" zoomScaleNormal="70" workbookViewId="0">
      <selection activeCell="D4" sqref="D4"/>
    </sheetView>
  </sheetViews>
  <sheetFormatPr baseColWidth="10" defaultRowHeight="15" x14ac:dyDescent="0.25"/>
  <cols>
    <col min="1" max="1" width="6.42578125" style="1" customWidth="1"/>
    <col min="2" max="2" width="5.140625" style="1" customWidth="1"/>
    <col min="3" max="3" width="7.140625" style="1" customWidth="1"/>
    <col min="4" max="4" width="23" style="1" customWidth="1"/>
    <col min="5" max="5" width="8.140625" style="1" customWidth="1"/>
    <col min="6" max="6" width="66.140625" style="1" customWidth="1"/>
    <col min="7" max="7" width="40.5703125" style="1" customWidth="1"/>
    <col min="8" max="8" width="5.28515625" style="1" customWidth="1"/>
    <col min="9" max="9" width="5.42578125" style="1" customWidth="1"/>
    <col min="10" max="10" width="58.28515625" style="1" customWidth="1"/>
    <col min="11" max="11" width="64.140625" style="1" customWidth="1"/>
    <col min="12" max="12" width="41.42578125" style="1" customWidth="1"/>
    <col min="13" max="13" width="36.42578125" style="1" bestFit="1" customWidth="1"/>
    <col min="14" max="14" width="14.28515625" style="1" customWidth="1"/>
    <col min="15" max="16384" width="11.42578125" style="1"/>
  </cols>
  <sheetData>
    <row r="1" spans="1:14" ht="30" x14ac:dyDescent="0.25">
      <c r="A1" s="1" t="s">
        <v>0</v>
      </c>
      <c r="B1" s="1" t="s">
        <v>1</v>
      </c>
      <c r="C1" s="1" t="s">
        <v>8</v>
      </c>
      <c r="D1" s="1" t="s">
        <v>15</v>
      </c>
      <c r="E1" s="1" t="s">
        <v>10</v>
      </c>
      <c r="F1" s="1" t="s">
        <v>9</v>
      </c>
      <c r="G1" s="1" t="s">
        <v>2</v>
      </c>
      <c r="H1" s="1" t="s">
        <v>5</v>
      </c>
      <c r="I1" s="1" t="s">
        <v>11</v>
      </c>
      <c r="J1" s="1" t="s">
        <v>3</v>
      </c>
      <c r="K1" s="1" t="s">
        <v>4</v>
      </c>
      <c r="L1" s="1" t="s">
        <v>6</v>
      </c>
      <c r="M1" s="1" t="s">
        <v>7</v>
      </c>
      <c r="N1" s="1" t="s">
        <v>2053</v>
      </c>
    </row>
    <row r="2" spans="1:14" s="7" customFormat="1" x14ac:dyDescent="0.25">
      <c r="A2" s="9"/>
      <c r="B2" s="9"/>
      <c r="C2" s="9">
        <v>1</v>
      </c>
      <c r="D2" s="9" t="s">
        <v>54</v>
      </c>
      <c r="E2" s="9">
        <v>1</v>
      </c>
      <c r="F2" s="9" t="s">
        <v>55</v>
      </c>
      <c r="G2" s="9" t="s">
        <v>1228</v>
      </c>
      <c r="H2" s="9">
        <v>1</v>
      </c>
      <c r="I2" s="9">
        <v>20</v>
      </c>
      <c r="J2" s="9" t="s">
        <v>361</v>
      </c>
      <c r="K2" s="9" t="s">
        <v>1691</v>
      </c>
      <c r="L2" s="9" t="s">
        <v>175</v>
      </c>
      <c r="M2" s="9" t="s">
        <v>1693</v>
      </c>
      <c r="N2" s="45" t="str">
        <f>CONCATENATE("A. ",(J2))</f>
        <v>A. A. My Uncle Percy is married to a Welsh woman.</v>
      </c>
    </row>
    <row r="3" spans="1:14" s="7" customFormat="1" x14ac:dyDescent="0.25">
      <c r="A3" s="9"/>
      <c r="B3" s="9"/>
      <c r="C3" s="9"/>
      <c r="D3" s="9" t="s">
        <v>2027</v>
      </c>
      <c r="E3" s="9">
        <v>2</v>
      </c>
      <c r="F3" s="9" t="s">
        <v>56</v>
      </c>
      <c r="G3" s="9" t="s">
        <v>1229</v>
      </c>
      <c r="H3" s="9">
        <v>1</v>
      </c>
      <c r="I3" s="9">
        <v>20</v>
      </c>
      <c r="J3" s="9" t="s">
        <v>362</v>
      </c>
      <c r="K3" s="9" t="s">
        <v>386</v>
      </c>
      <c r="L3" s="9" t="s">
        <v>176</v>
      </c>
      <c r="M3" s="9" t="s">
        <v>174</v>
      </c>
      <c r="N3" s="45" t="str">
        <f t="shared" ref="N3:N33" si="0">CONCATENATE("A. ",(J3))</f>
        <v>A. A. The authorities kept the disease under control</v>
      </c>
    </row>
    <row r="4" spans="1:14" s="7" customFormat="1" x14ac:dyDescent="0.25">
      <c r="A4" s="9"/>
      <c r="B4" s="9"/>
      <c r="C4" s="9"/>
      <c r="D4" s="9" t="s">
        <v>16</v>
      </c>
      <c r="E4" s="9">
        <v>3</v>
      </c>
      <c r="F4" s="9" t="s">
        <v>57</v>
      </c>
      <c r="G4" s="9" t="s">
        <v>1230</v>
      </c>
      <c r="H4" s="9">
        <v>1</v>
      </c>
      <c r="I4" s="9">
        <v>20</v>
      </c>
      <c r="J4" s="9" t="s">
        <v>1690</v>
      </c>
      <c r="K4" s="9" t="s">
        <v>1692</v>
      </c>
      <c r="L4" s="9" t="s">
        <v>1695</v>
      </c>
      <c r="M4" s="9" t="s">
        <v>173</v>
      </c>
      <c r="N4" s="45" t="str">
        <f t="shared" si="0"/>
        <v>A. A. Mrs. Peters made an offer of $500 for the grandfather clock</v>
      </c>
    </row>
    <row r="5" spans="1:14" s="7" customFormat="1" x14ac:dyDescent="0.25">
      <c r="A5" s="9"/>
      <c r="B5" s="9"/>
      <c r="C5" s="9"/>
      <c r="D5" s="9" t="s">
        <v>1758</v>
      </c>
      <c r="E5" s="9">
        <v>4</v>
      </c>
      <c r="F5" s="9" t="s">
        <v>58</v>
      </c>
      <c r="G5" s="9" t="s">
        <v>1231</v>
      </c>
      <c r="H5" s="9">
        <v>1</v>
      </c>
      <c r="I5" s="9">
        <v>20</v>
      </c>
      <c r="J5" s="9" t="s">
        <v>1759</v>
      </c>
      <c r="K5" s="9" t="s">
        <v>367</v>
      </c>
      <c r="L5" s="9" t="s">
        <v>1696</v>
      </c>
      <c r="M5" s="9" t="s">
        <v>172</v>
      </c>
      <c r="N5" s="45" t="str">
        <f t="shared" si="0"/>
        <v>A. A. A visa is always necessary when you travel</v>
      </c>
    </row>
    <row r="6" spans="1:14" s="7" customFormat="1" x14ac:dyDescent="0.25">
      <c r="A6" s="9"/>
      <c r="B6" s="9"/>
      <c r="C6" s="9"/>
      <c r="D6" s="9"/>
      <c r="E6" s="9">
        <v>5</v>
      </c>
      <c r="F6" s="9" t="s">
        <v>59</v>
      </c>
      <c r="G6" s="9" t="s">
        <v>1232</v>
      </c>
      <c r="H6" s="9">
        <v>1</v>
      </c>
      <c r="I6" s="9">
        <v>20</v>
      </c>
      <c r="J6" s="9" t="s">
        <v>363</v>
      </c>
      <c r="K6" s="9" t="s">
        <v>368</v>
      </c>
      <c r="L6" s="9" t="s">
        <v>1697</v>
      </c>
      <c r="M6" s="9" t="s">
        <v>171</v>
      </c>
      <c r="N6" s="45" t="str">
        <f t="shared" si="0"/>
        <v>A. A. The meeting has been postponed.</v>
      </c>
    </row>
    <row r="7" spans="1:14" s="7" customFormat="1" x14ac:dyDescent="0.25">
      <c r="A7" s="9"/>
      <c r="B7" s="9"/>
      <c r="C7" s="9"/>
      <c r="D7" s="9"/>
      <c r="E7" s="9">
        <v>6</v>
      </c>
      <c r="F7" s="9" t="s">
        <v>60</v>
      </c>
      <c r="G7" s="9" t="s">
        <v>1233</v>
      </c>
      <c r="H7" s="9">
        <v>1</v>
      </c>
      <c r="I7" s="9">
        <v>20</v>
      </c>
      <c r="J7" s="9" t="s">
        <v>364</v>
      </c>
      <c r="K7" s="9" t="s">
        <v>369</v>
      </c>
      <c r="L7" s="9" t="s">
        <v>177</v>
      </c>
      <c r="M7" s="9" t="s">
        <v>1694</v>
      </c>
      <c r="N7" s="45" t="str">
        <f t="shared" si="0"/>
        <v>A. A. He is on his way, but he will arrive late</v>
      </c>
    </row>
    <row r="8" spans="1:14" s="7" customFormat="1" x14ac:dyDescent="0.25">
      <c r="A8" s="9"/>
      <c r="B8" s="9"/>
      <c r="C8" s="9"/>
      <c r="D8" s="9"/>
      <c r="E8" s="9">
        <v>7</v>
      </c>
      <c r="F8" s="9" t="s">
        <v>61</v>
      </c>
      <c r="G8" s="9" t="s">
        <v>1234</v>
      </c>
      <c r="H8" s="9">
        <v>1</v>
      </c>
      <c r="I8" s="9">
        <v>20</v>
      </c>
      <c r="J8" s="9" t="s">
        <v>365</v>
      </c>
      <c r="K8" s="9" t="s">
        <v>370</v>
      </c>
      <c r="L8" s="9" t="s">
        <v>178</v>
      </c>
      <c r="M8" s="9" t="s">
        <v>170</v>
      </c>
      <c r="N8" s="45" t="str">
        <f t="shared" si="0"/>
        <v>A. A. This time I have to drive my car</v>
      </c>
    </row>
    <row r="9" spans="1:14" s="7" customFormat="1" x14ac:dyDescent="0.25">
      <c r="A9" s="9"/>
      <c r="B9" s="9"/>
      <c r="C9" s="9"/>
      <c r="D9" s="9"/>
      <c r="E9" s="9">
        <v>8</v>
      </c>
      <c r="F9" s="9" t="s">
        <v>62</v>
      </c>
      <c r="G9" s="9" t="s">
        <v>1235</v>
      </c>
      <c r="H9" s="9">
        <v>1</v>
      </c>
      <c r="I9" s="9">
        <v>20</v>
      </c>
      <c r="J9" s="9" t="s">
        <v>1246</v>
      </c>
      <c r="K9" s="9" t="s">
        <v>1247</v>
      </c>
      <c r="L9" s="9" t="s">
        <v>1248</v>
      </c>
      <c r="M9" s="9" t="s">
        <v>1249</v>
      </c>
      <c r="N9" s="45" t="str">
        <f t="shared" si="0"/>
        <v>A. A. I was looking for him when he found me</v>
      </c>
    </row>
    <row r="10" spans="1:14" s="7" customFormat="1" x14ac:dyDescent="0.25">
      <c r="A10" s="9"/>
      <c r="B10" s="9"/>
      <c r="C10" s="9"/>
      <c r="D10" s="9"/>
      <c r="E10" s="9">
        <v>9</v>
      </c>
      <c r="F10" s="9" t="s">
        <v>63</v>
      </c>
      <c r="G10" s="9" t="s">
        <v>1236</v>
      </c>
      <c r="H10" s="9">
        <v>1</v>
      </c>
      <c r="I10" s="9">
        <v>20</v>
      </c>
      <c r="J10" s="9" t="s">
        <v>1698</v>
      </c>
      <c r="K10" s="9" t="s">
        <v>371</v>
      </c>
      <c r="L10" s="9" t="s">
        <v>179</v>
      </c>
      <c r="M10" s="9" t="s">
        <v>1701</v>
      </c>
      <c r="N10" s="45" t="str">
        <f t="shared" si="0"/>
        <v>A. A. Pat is acting like a child tonight</v>
      </c>
    </row>
    <row r="11" spans="1:14" s="7" customFormat="1" x14ac:dyDescent="0.25">
      <c r="A11" s="9"/>
      <c r="B11" s="9"/>
      <c r="C11" s="9"/>
      <c r="D11" s="9"/>
      <c r="E11" s="9">
        <v>10</v>
      </c>
      <c r="F11" s="9" t="s">
        <v>64</v>
      </c>
      <c r="G11" s="9" t="s">
        <v>24</v>
      </c>
      <c r="H11" s="9">
        <v>1</v>
      </c>
      <c r="I11" s="9">
        <v>20</v>
      </c>
      <c r="J11" s="9" t="s">
        <v>1699</v>
      </c>
      <c r="K11" s="9" t="s">
        <v>372</v>
      </c>
      <c r="L11" s="9" t="s">
        <v>1700</v>
      </c>
      <c r="M11" s="9" t="s">
        <v>1702</v>
      </c>
      <c r="N11" s="45" t="str">
        <f t="shared" si="0"/>
        <v>A. A. It has not rained since spring</v>
      </c>
    </row>
    <row r="12" spans="1:14" s="7" customFormat="1" x14ac:dyDescent="0.25">
      <c r="A12" s="9"/>
      <c r="B12" s="9"/>
      <c r="C12" s="9"/>
      <c r="D12" s="9"/>
      <c r="E12" s="9">
        <v>11</v>
      </c>
      <c r="F12" s="9" t="s">
        <v>65</v>
      </c>
      <c r="G12" s="9" t="s">
        <v>25</v>
      </c>
      <c r="H12" s="9">
        <v>1</v>
      </c>
      <c r="I12" s="9">
        <v>20</v>
      </c>
      <c r="J12" s="9" t="s">
        <v>366</v>
      </c>
      <c r="K12" s="9" t="s">
        <v>373</v>
      </c>
      <c r="L12" s="9" t="s">
        <v>180</v>
      </c>
      <c r="M12" s="9" t="s">
        <v>1688</v>
      </c>
      <c r="N12" s="45" t="str">
        <f t="shared" si="0"/>
        <v>A. A. I would not have the time to do what he did</v>
      </c>
    </row>
    <row r="13" spans="1:14" s="7" customFormat="1" x14ac:dyDescent="0.25">
      <c r="A13" s="9"/>
      <c r="B13" s="9"/>
      <c r="C13" s="9"/>
      <c r="D13" s="9"/>
      <c r="E13" s="9">
        <v>12</v>
      </c>
      <c r="F13" s="9" t="s">
        <v>66</v>
      </c>
      <c r="G13" s="9" t="s">
        <v>26</v>
      </c>
      <c r="H13" s="9">
        <v>1</v>
      </c>
      <c r="I13" s="9">
        <v>20</v>
      </c>
      <c r="J13" s="9" t="s">
        <v>385</v>
      </c>
      <c r="K13" s="9" t="s">
        <v>374</v>
      </c>
      <c r="L13" s="9" t="s">
        <v>181</v>
      </c>
      <c r="M13" s="9" t="s">
        <v>1703</v>
      </c>
      <c r="N13" s="45" t="str">
        <f t="shared" si="0"/>
        <v>A. A. Paul didn't get the job</v>
      </c>
    </row>
    <row r="14" spans="1:14" s="7" customFormat="1" x14ac:dyDescent="0.25">
      <c r="A14" s="9"/>
      <c r="B14" s="9"/>
      <c r="C14" s="9"/>
      <c r="D14" s="9"/>
      <c r="E14" s="9">
        <v>13</v>
      </c>
      <c r="F14" s="9" t="s">
        <v>67</v>
      </c>
      <c r="G14" s="9" t="s">
        <v>27</v>
      </c>
      <c r="H14" s="9">
        <v>1</v>
      </c>
      <c r="I14" s="9">
        <v>20</v>
      </c>
      <c r="J14" s="9" t="s">
        <v>379</v>
      </c>
      <c r="K14" s="9" t="s">
        <v>375</v>
      </c>
      <c r="L14" s="9" t="s">
        <v>182</v>
      </c>
      <c r="M14" s="9" t="s">
        <v>1704</v>
      </c>
      <c r="N14" s="45" t="str">
        <f t="shared" si="0"/>
        <v>A. A. The man's sister works with chickens</v>
      </c>
    </row>
    <row r="15" spans="1:14" s="7" customFormat="1" x14ac:dyDescent="0.25">
      <c r="A15" s="9"/>
      <c r="B15" s="9"/>
      <c r="C15" s="9"/>
      <c r="D15" s="9"/>
      <c r="E15" s="9">
        <v>14</v>
      </c>
      <c r="F15" s="9" t="s">
        <v>68</v>
      </c>
      <c r="G15" s="9" t="s">
        <v>28</v>
      </c>
      <c r="H15" s="9">
        <v>1</v>
      </c>
      <c r="I15" s="9">
        <v>20</v>
      </c>
      <c r="J15" s="9" t="s">
        <v>1756</v>
      </c>
      <c r="K15" s="9" t="s">
        <v>1755</v>
      </c>
      <c r="L15" s="9" t="s">
        <v>1757</v>
      </c>
      <c r="M15" s="9" t="s">
        <v>169</v>
      </c>
      <c r="N15" s="45" t="str">
        <f t="shared" si="0"/>
        <v>A. A. McGregor beat O’Malley</v>
      </c>
    </row>
    <row r="16" spans="1:14" s="7" customFormat="1" x14ac:dyDescent="0.25">
      <c r="A16" s="9"/>
      <c r="B16" s="9"/>
      <c r="C16" s="9"/>
      <c r="D16" s="9"/>
      <c r="E16" s="9">
        <v>15</v>
      </c>
      <c r="F16" s="9" t="s">
        <v>69</v>
      </c>
      <c r="G16" s="9" t="s">
        <v>29</v>
      </c>
      <c r="H16" s="9">
        <v>1</v>
      </c>
      <c r="I16" s="9">
        <v>20</v>
      </c>
      <c r="J16" s="9" t="s">
        <v>380</v>
      </c>
      <c r="K16" s="9" t="s">
        <v>376</v>
      </c>
      <c r="L16" s="9" t="s">
        <v>183</v>
      </c>
      <c r="M16" s="9" t="s">
        <v>1705</v>
      </c>
      <c r="N16" s="45" t="str">
        <f t="shared" si="0"/>
        <v>A. A. That she is not as young as she looks</v>
      </c>
    </row>
    <row r="17" spans="1:18" s="7" customFormat="1" x14ac:dyDescent="0.25">
      <c r="A17" s="9"/>
      <c r="B17" s="9"/>
      <c r="C17" s="9"/>
      <c r="D17" s="9"/>
      <c r="E17" s="9">
        <v>16</v>
      </c>
      <c r="F17" s="9" t="s">
        <v>70</v>
      </c>
      <c r="G17" s="9" t="s">
        <v>30</v>
      </c>
      <c r="H17" s="9">
        <v>1</v>
      </c>
      <c r="I17" s="9">
        <v>20</v>
      </c>
      <c r="J17" s="9" t="s">
        <v>381</v>
      </c>
      <c r="K17" s="9" t="s">
        <v>387</v>
      </c>
      <c r="L17" s="9" t="s">
        <v>184</v>
      </c>
      <c r="M17" s="9" t="s">
        <v>392</v>
      </c>
      <c r="N17" s="45" t="str">
        <f t="shared" si="0"/>
        <v>A. A. He passes the dry cleaner’s on the way to work</v>
      </c>
    </row>
    <row r="18" spans="1:18" s="7" customFormat="1" x14ac:dyDescent="0.25">
      <c r="A18" s="9"/>
      <c r="B18" s="9"/>
      <c r="C18" s="9"/>
      <c r="D18" s="9"/>
      <c r="E18" s="9">
        <v>17</v>
      </c>
      <c r="F18" s="9" t="s">
        <v>71</v>
      </c>
      <c r="G18" s="9" t="s">
        <v>31</v>
      </c>
      <c r="H18" s="9">
        <v>1</v>
      </c>
      <c r="I18" s="9">
        <v>20</v>
      </c>
      <c r="J18" s="9" t="s">
        <v>391</v>
      </c>
      <c r="K18" s="9" t="s">
        <v>377</v>
      </c>
      <c r="L18" s="9" t="s">
        <v>185</v>
      </c>
      <c r="M18" s="9" t="s">
        <v>1706</v>
      </c>
      <c r="N18" s="45" t="str">
        <f t="shared" si="0"/>
        <v>A. A. He doesn't normally like Hugh Grant films</v>
      </c>
    </row>
    <row r="19" spans="1:18" s="7" customFormat="1" x14ac:dyDescent="0.25">
      <c r="A19" s="9"/>
      <c r="B19" s="9"/>
      <c r="C19" s="9"/>
      <c r="D19" s="9"/>
      <c r="E19" s="9">
        <v>18</v>
      </c>
      <c r="F19" s="9" t="s">
        <v>72</v>
      </c>
      <c r="G19" s="9" t="s">
        <v>32</v>
      </c>
      <c r="H19" s="9">
        <v>1</v>
      </c>
      <c r="I19" s="9">
        <v>20</v>
      </c>
      <c r="J19" s="9" t="s">
        <v>382</v>
      </c>
      <c r="K19" s="9" t="s">
        <v>378</v>
      </c>
      <c r="L19" s="9" t="s">
        <v>186</v>
      </c>
      <c r="M19" s="9" t="s">
        <v>1707</v>
      </c>
      <c r="N19" s="45" t="str">
        <f t="shared" si="0"/>
        <v>A. A. If the radio uses batteries</v>
      </c>
    </row>
    <row r="20" spans="1:18" s="7" customFormat="1" x14ac:dyDescent="0.25">
      <c r="A20" s="9"/>
      <c r="B20" s="9"/>
      <c r="C20" s="9"/>
      <c r="D20" s="9"/>
      <c r="E20" s="9">
        <v>19</v>
      </c>
      <c r="F20" s="9" t="s">
        <v>73</v>
      </c>
      <c r="G20" s="9" t="s">
        <v>33</v>
      </c>
      <c r="H20" s="9">
        <v>1</v>
      </c>
      <c r="I20" s="9">
        <v>20</v>
      </c>
      <c r="J20" s="9" t="s">
        <v>1689</v>
      </c>
      <c r="K20" s="9" t="s">
        <v>389</v>
      </c>
      <c r="L20" s="9" t="s">
        <v>187</v>
      </c>
      <c r="M20" s="9" t="s">
        <v>388</v>
      </c>
      <c r="N20" s="45" t="str">
        <f t="shared" si="0"/>
        <v>A. A. They will have to take a credit card to the U.S.A</v>
      </c>
    </row>
    <row r="21" spans="1:18" s="7" customFormat="1" x14ac:dyDescent="0.25">
      <c r="A21" s="9"/>
      <c r="B21" s="9"/>
      <c r="C21" s="9"/>
      <c r="D21" s="9"/>
      <c r="E21" s="9">
        <v>20</v>
      </c>
      <c r="F21" s="9" t="s">
        <v>74</v>
      </c>
      <c r="G21" s="9" t="s">
        <v>34</v>
      </c>
      <c r="H21" s="9">
        <v>1</v>
      </c>
      <c r="I21" s="9">
        <v>20</v>
      </c>
      <c r="J21" s="9" t="s">
        <v>390</v>
      </c>
      <c r="K21" s="9" t="s">
        <v>383</v>
      </c>
      <c r="L21" s="9" t="s">
        <v>394</v>
      </c>
      <c r="M21" s="9" t="s">
        <v>1708</v>
      </c>
      <c r="N21" s="45" t="str">
        <f t="shared" si="0"/>
        <v>A. A.  She can't borrow the manual until he finishes with it</v>
      </c>
    </row>
    <row r="22" spans="1:18" s="7" customFormat="1" x14ac:dyDescent="0.25">
      <c r="A22" s="9"/>
      <c r="B22" s="9"/>
      <c r="C22" s="9"/>
      <c r="D22" s="9"/>
      <c r="E22" s="9">
        <v>21</v>
      </c>
      <c r="F22" s="9" t="s">
        <v>75</v>
      </c>
      <c r="G22" s="9" t="s">
        <v>76</v>
      </c>
      <c r="H22" s="9">
        <v>1</v>
      </c>
      <c r="I22" s="9">
        <v>20</v>
      </c>
      <c r="J22" s="9" t="s">
        <v>77</v>
      </c>
      <c r="K22" s="9" t="s">
        <v>78</v>
      </c>
      <c r="L22" s="9" t="s">
        <v>79</v>
      </c>
      <c r="M22" s="9" t="s">
        <v>80</v>
      </c>
      <c r="N22" s="45" t="str">
        <f t="shared" si="0"/>
        <v>A. A. It turned out to be a big money earner</v>
      </c>
    </row>
    <row r="23" spans="1:18" s="7" customFormat="1" x14ac:dyDescent="0.25">
      <c r="A23" s="9"/>
      <c r="B23" s="9"/>
      <c r="C23" s="9"/>
      <c r="D23" s="9"/>
      <c r="E23" s="9">
        <v>22</v>
      </c>
      <c r="F23" s="9" t="s">
        <v>81</v>
      </c>
      <c r="G23" s="9" t="s">
        <v>82</v>
      </c>
      <c r="H23" s="9">
        <v>1</v>
      </c>
      <c r="I23" s="9">
        <v>20</v>
      </c>
      <c r="J23" s="9" t="s">
        <v>83</v>
      </c>
      <c r="K23" s="9" t="s">
        <v>84</v>
      </c>
      <c r="L23" s="9" t="s">
        <v>85</v>
      </c>
      <c r="M23" s="9" t="s">
        <v>86</v>
      </c>
      <c r="N23" s="45" t="str">
        <f t="shared" si="0"/>
        <v xml:space="preserve">A. A. It dismissed two people </v>
      </c>
    </row>
    <row r="24" spans="1:18" s="7" customFormat="1" x14ac:dyDescent="0.25">
      <c r="A24" s="9"/>
      <c r="B24" s="9"/>
      <c r="C24" s="9"/>
      <c r="D24" s="9"/>
      <c r="E24" s="9">
        <v>23</v>
      </c>
      <c r="F24" s="9" t="s">
        <v>87</v>
      </c>
      <c r="G24" s="9" t="s">
        <v>88</v>
      </c>
      <c r="H24" s="9">
        <v>1</v>
      </c>
      <c r="I24" s="9">
        <v>20</v>
      </c>
      <c r="J24" s="9" t="s">
        <v>89</v>
      </c>
      <c r="K24" s="9" t="s">
        <v>90</v>
      </c>
      <c r="L24" s="9" t="s">
        <v>91</v>
      </c>
      <c r="M24" s="9" t="s">
        <v>92</v>
      </c>
      <c r="N24" s="45" t="str">
        <f t="shared" si="0"/>
        <v>A. A. All  indigenous groups are opposed to it</v>
      </c>
    </row>
    <row r="25" spans="1:18" s="7" customFormat="1" x14ac:dyDescent="0.25">
      <c r="A25" s="9"/>
      <c r="B25" s="9"/>
      <c r="C25" s="9"/>
      <c r="D25" s="9"/>
      <c r="E25" s="9">
        <v>24</v>
      </c>
      <c r="F25" s="9" t="s">
        <v>1743</v>
      </c>
      <c r="G25" s="9" t="s">
        <v>93</v>
      </c>
      <c r="H25" s="9">
        <v>1</v>
      </c>
      <c r="I25" s="9">
        <v>20</v>
      </c>
      <c r="J25" s="9" t="s">
        <v>94</v>
      </c>
      <c r="K25" s="9" t="s">
        <v>95</v>
      </c>
      <c r="L25" s="9" t="s">
        <v>96</v>
      </c>
      <c r="M25" s="9" t="s">
        <v>1709</v>
      </c>
      <c r="N25" s="45" t="str">
        <f t="shared" si="0"/>
        <v>A. A. The history girls are fashion models</v>
      </c>
    </row>
    <row r="26" spans="1:18" s="7" customFormat="1" ht="15" customHeight="1" x14ac:dyDescent="0.25">
      <c r="A26" s="9"/>
      <c r="B26" s="9"/>
      <c r="C26" s="9"/>
      <c r="D26" s="9"/>
      <c r="E26" s="9">
        <v>25</v>
      </c>
      <c r="F26" s="9" t="s">
        <v>97</v>
      </c>
      <c r="G26" s="9" t="s">
        <v>98</v>
      </c>
      <c r="H26" s="9">
        <v>1</v>
      </c>
      <c r="I26" s="9">
        <v>20</v>
      </c>
      <c r="J26" s="9" t="s">
        <v>99</v>
      </c>
      <c r="K26" s="9" t="s">
        <v>100</v>
      </c>
      <c r="L26" s="9" t="s">
        <v>101</v>
      </c>
      <c r="M26" s="9" t="s">
        <v>102</v>
      </c>
      <c r="N26" s="45" t="str">
        <f t="shared" si="0"/>
        <v>A. A. They think she will set a new record</v>
      </c>
    </row>
    <row r="27" spans="1:18" s="7" customFormat="1" ht="15" customHeight="1" x14ac:dyDescent="0.25">
      <c r="A27" s="9"/>
      <c r="B27" s="9"/>
      <c r="C27" s="9"/>
      <c r="D27" s="9"/>
      <c r="E27" s="9">
        <v>26</v>
      </c>
      <c r="F27" s="9" t="s">
        <v>1875</v>
      </c>
      <c r="G27" s="9" t="s">
        <v>103</v>
      </c>
      <c r="H27" s="9">
        <v>1</v>
      </c>
      <c r="I27" s="9">
        <v>20</v>
      </c>
      <c r="J27" s="9" t="s">
        <v>106</v>
      </c>
      <c r="K27" s="9" t="s">
        <v>1710</v>
      </c>
      <c r="L27" s="9" t="s">
        <v>107</v>
      </c>
      <c r="M27" s="9" t="s">
        <v>1711</v>
      </c>
      <c r="N27" s="45" t="str">
        <f t="shared" si="0"/>
        <v>A. A. They contacted the families of the survivors immediately</v>
      </c>
      <c r="O27" s="1" t="str">
        <f>CONCATENATE("A. ",(J27))</f>
        <v>A. A. They contacted the families of the survivors immediately</v>
      </c>
      <c r="P27" s="1" t="str">
        <f>CONCATENATE("B. ",(K27))</f>
        <v>B. B. They wouldn’t let the survivors contact anyone</v>
      </c>
      <c r="Q27" s="1" t="str">
        <f>CONCATENATE("C. ",(L27))</f>
        <v>C. C. They captured millions of barrels of oil</v>
      </c>
      <c r="R27" s="1" t="str">
        <f>CONCATENATE("D. ",(M27))</f>
        <v>D. D.  They provided a comfortable hotel for the survivors right away</v>
      </c>
    </row>
    <row r="28" spans="1:18" s="7" customFormat="1" ht="15" customHeight="1" x14ac:dyDescent="0.25">
      <c r="A28" s="9"/>
      <c r="B28" s="9"/>
      <c r="C28" s="9"/>
      <c r="D28" s="9"/>
      <c r="E28" s="9">
        <v>27</v>
      </c>
      <c r="F28" s="9" t="s">
        <v>1744</v>
      </c>
      <c r="G28" s="9" t="s">
        <v>104</v>
      </c>
      <c r="H28" s="9">
        <v>1</v>
      </c>
      <c r="I28" s="9">
        <v>20</v>
      </c>
      <c r="J28" s="9" t="s">
        <v>1712</v>
      </c>
      <c r="K28" s="9" t="s">
        <v>109</v>
      </c>
      <c r="L28" s="9" t="s">
        <v>1713</v>
      </c>
      <c r="M28" s="9" t="s">
        <v>110</v>
      </c>
      <c r="N28" s="45" t="str">
        <f t="shared" si="0"/>
        <v>A. A.   He had been advised to marry his cousin</v>
      </c>
      <c r="O28" s="1" t="str">
        <f t="shared" ref="O28:O41" si="1">CONCATENATE("A. ",(J28))</f>
        <v>A. A.   He had been advised to marry his cousin</v>
      </c>
      <c r="P28" s="1" t="str">
        <f t="shared" ref="P28:P41" si="2">CONCATENATE("B. ",(K28))</f>
        <v>B. B. He suspected that plants were in-breeding and so healthier</v>
      </c>
      <c r="Q28" s="1" t="str">
        <f t="shared" ref="Q28:Q41" si="3">CONCATENATE("C. ",(L28))</f>
        <v>C. C. His marriage to his first cousin affected his  health</v>
      </c>
      <c r="R28" s="1" t="str">
        <f t="shared" ref="R28:R41" si="4">CONCATENATE("D. ",(M28))</f>
        <v xml:space="preserve">D. D. He  thought that cross-breeding produced more robust species </v>
      </c>
    </row>
    <row r="29" spans="1:18" s="7" customFormat="1" ht="15" customHeight="1" x14ac:dyDescent="0.25">
      <c r="A29" s="9"/>
      <c r="B29" s="9"/>
      <c r="C29" s="9"/>
      <c r="D29" s="9"/>
      <c r="E29" s="9">
        <v>28</v>
      </c>
      <c r="F29" s="9" t="s">
        <v>1745</v>
      </c>
      <c r="G29" s="9" t="s">
        <v>105</v>
      </c>
      <c r="H29" s="9">
        <v>1</v>
      </c>
      <c r="I29" s="9">
        <v>20</v>
      </c>
      <c r="J29" s="9" t="s">
        <v>112</v>
      </c>
      <c r="K29" s="9" t="s">
        <v>1714</v>
      </c>
      <c r="L29" s="9" t="s">
        <v>1715</v>
      </c>
      <c r="M29" s="9" t="s">
        <v>1716</v>
      </c>
      <c r="N29" s="45" t="str">
        <f t="shared" si="0"/>
        <v>A. A. They are psychologically different to other people</v>
      </c>
      <c r="O29" s="1" t="str">
        <f t="shared" si="1"/>
        <v>A. A. They are psychologically different to other people</v>
      </c>
      <c r="P29" s="1" t="str">
        <f t="shared" si="2"/>
        <v>B. B. Their emotional profile doesn’t differ significantly from non-hoarders</v>
      </c>
      <c r="Q29" s="1" t="str">
        <f t="shared" si="3"/>
        <v>C. C.   Irene  is a hoarder who got rid of clutter to keep her husband</v>
      </c>
      <c r="R29" s="1" t="str">
        <f t="shared" si="4"/>
        <v>D. D. In general, hoarders can’t get out of their houses</v>
      </c>
    </row>
    <row r="30" spans="1:18" s="7" customFormat="1" ht="15" customHeight="1" x14ac:dyDescent="0.25">
      <c r="A30" s="9"/>
      <c r="B30" s="9"/>
      <c r="C30" s="9"/>
      <c r="D30" s="9"/>
      <c r="E30" s="9">
        <v>29</v>
      </c>
      <c r="F30" s="9" t="s">
        <v>1746</v>
      </c>
      <c r="G30" s="9" t="s">
        <v>108</v>
      </c>
      <c r="H30" s="9">
        <v>1</v>
      </c>
      <c r="I30" s="9">
        <v>20</v>
      </c>
      <c r="J30" s="9" t="s">
        <v>1717</v>
      </c>
      <c r="K30" s="9" t="s">
        <v>1718</v>
      </c>
      <c r="L30" s="9" t="s">
        <v>115</v>
      </c>
      <c r="M30" s="9" t="s">
        <v>116</v>
      </c>
      <c r="N30" s="45" t="str">
        <f t="shared" si="0"/>
        <v>A. A. Khodorkovsky is still the richest man in Russia</v>
      </c>
      <c r="O30" s="1" t="str">
        <f t="shared" si="1"/>
        <v>A. A. Khodorkovsky is still the richest man in Russia</v>
      </c>
      <c r="P30" s="1" t="str">
        <f t="shared" si="2"/>
        <v>B. B. The Yukos Oil Company once controlled 20% of the world’s oil</v>
      </c>
      <c r="Q30" s="1" t="str">
        <f t="shared" si="3"/>
        <v>C. C. Khodorkovsky purchased state assets for way below market price</v>
      </c>
      <c r="R30" s="1" t="str">
        <f t="shared" si="4"/>
        <v>D. D. Boris Yelstin built up the Yukos Oil company in the 1990s</v>
      </c>
    </row>
    <row r="31" spans="1:18" s="7" customFormat="1" ht="15" customHeight="1" x14ac:dyDescent="0.25">
      <c r="A31" s="9"/>
      <c r="B31" s="9"/>
      <c r="C31" s="9"/>
      <c r="D31" s="9"/>
      <c r="E31" s="9">
        <v>30</v>
      </c>
      <c r="F31" s="9" t="s">
        <v>423</v>
      </c>
      <c r="G31" s="9" t="s">
        <v>111</v>
      </c>
      <c r="H31" s="9">
        <v>1</v>
      </c>
      <c r="I31" s="9">
        <v>20</v>
      </c>
      <c r="J31" s="9" t="s">
        <v>118</v>
      </c>
      <c r="K31" s="9" t="s">
        <v>119</v>
      </c>
      <c r="L31" s="9" t="s">
        <v>1719</v>
      </c>
      <c r="M31" s="9" t="s">
        <v>1720</v>
      </c>
      <c r="N31" s="45" t="str">
        <f t="shared" si="0"/>
        <v>A. A. Americans insist on having public tap water</v>
      </c>
      <c r="O31" s="1" t="str">
        <f t="shared" si="1"/>
        <v>A. A. Americans insist on having public tap water</v>
      </c>
      <c r="P31" s="1" t="str">
        <f t="shared" si="2"/>
        <v>B. B. Bottled water ends up contaminating the environment</v>
      </c>
      <c r="Q31" s="1" t="str">
        <f t="shared" si="3"/>
        <v>C. C. Water systems are always well- maintained in the US</v>
      </c>
      <c r="R31" s="1" t="str">
        <f t="shared" si="4"/>
        <v>D. D. Gleik’s book is causing problems in the US</v>
      </c>
    </row>
    <row r="32" spans="1:18" s="7" customFormat="1" ht="15" customHeight="1" x14ac:dyDescent="0.25">
      <c r="A32" s="9"/>
      <c r="B32" s="9"/>
      <c r="C32" s="9"/>
      <c r="D32" s="9"/>
      <c r="E32" s="9">
        <v>31</v>
      </c>
      <c r="F32" s="9" t="s">
        <v>113</v>
      </c>
      <c r="G32" s="9" t="s">
        <v>114</v>
      </c>
      <c r="H32" s="9">
        <v>1</v>
      </c>
      <c r="I32" s="9">
        <v>20</v>
      </c>
      <c r="J32" s="9" t="s">
        <v>1721</v>
      </c>
      <c r="K32" s="9" t="s">
        <v>1722</v>
      </c>
      <c r="L32" s="9" t="s">
        <v>1723</v>
      </c>
      <c r="M32" s="9" t="s">
        <v>1724</v>
      </c>
      <c r="N32" s="45" t="str">
        <f t="shared" si="0"/>
        <v>A. A. Two sets of twins met in a hotel</v>
      </c>
      <c r="O32" s="1" t="str">
        <f t="shared" si="1"/>
        <v>A. A. Two sets of twins met in a hotel</v>
      </c>
      <c r="P32" s="1" t="str">
        <f t="shared" si="2"/>
        <v>B. B. There were two weddings</v>
      </c>
      <c r="Q32" s="1" t="str">
        <f t="shared" si="3"/>
        <v>C. C. The two brides wore different wedding dresses</v>
      </c>
      <c r="R32" s="1" t="str">
        <f t="shared" si="4"/>
        <v>D. D. The twins were easy to tell apart</v>
      </c>
    </row>
    <row r="33" spans="1:18" s="7" customFormat="1" ht="15" customHeight="1" x14ac:dyDescent="0.25">
      <c r="A33" s="9"/>
      <c r="B33" s="9"/>
      <c r="C33" s="9"/>
      <c r="D33" s="9"/>
      <c r="E33" s="9">
        <v>32</v>
      </c>
      <c r="F33" s="9" t="s">
        <v>1747</v>
      </c>
      <c r="G33" s="9" t="s">
        <v>117</v>
      </c>
      <c r="H33" s="9">
        <v>1</v>
      </c>
      <c r="I33" s="9">
        <v>20</v>
      </c>
      <c r="J33" s="9" t="s">
        <v>122</v>
      </c>
      <c r="K33" s="9" t="s">
        <v>1725</v>
      </c>
      <c r="L33" s="9" t="s">
        <v>123</v>
      </c>
      <c r="M33" s="9" t="s">
        <v>124</v>
      </c>
      <c r="N33" s="45" t="str">
        <f t="shared" si="0"/>
        <v>A. A. She does not like to be photographed</v>
      </c>
      <c r="O33" s="1" t="str">
        <f t="shared" si="1"/>
        <v>A. A. She does not like to be photographed</v>
      </c>
      <c r="P33" s="1" t="str">
        <f t="shared" si="2"/>
        <v>B. B. She asked a newspaper to film her</v>
      </c>
      <c r="Q33" s="1" t="str">
        <f t="shared" si="3"/>
        <v>C. C. She steered clear of the press in LA airport</v>
      </c>
      <c r="R33" s="1" t="str">
        <f t="shared" si="4"/>
        <v>D. D. She needed half a million pounds for charity work</v>
      </c>
    </row>
    <row r="34" spans="1:18" s="7" customFormat="1" ht="15" customHeight="1" x14ac:dyDescent="0.25">
      <c r="A34" s="9"/>
      <c r="B34" s="9"/>
      <c r="C34" s="9"/>
      <c r="D34" s="9"/>
      <c r="E34" s="9">
        <v>33</v>
      </c>
      <c r="F34" s="9" t="s">
        <v>274</v>
      </c>
      <c r="G34" s="9" t="s">
        <v>120</v>
      </c>
      <c r="H34" s="9">
        <v>1</v>
      </c>
      <c r="I34" s="9">
        <v>20</v>
      </c>
      <c r="J34" s="9" t="s">
        <v>126</v>
      </c>
      <c r="K34" s="9" t="s">
        <v>1726</v>
      </c>
      <c r="L34" s="9" t="s">
        <v>1727</v>
      </c>
      <c r="M34" s="9" t="s">
        <v>1728</v>
      </c>
      <c r="N34" s="45" t="str">
        <f t="shared" ref="N34:N41" si="5">CONCATENATE("A. ",(J34))</f>
        <v>A. A. Seniesa started to fight a couple of years ago</v>
      </c>
      <c r="O34" s="1" t="str">
        <f t="shared" si="1"/>
        <v>A. A. Seniesa started to fight a couple of years ago</v>
      </c>
      <c r="P34" s="1" t="str">
        <f t="shared" si="2"/>
        <v xml:space="preserve">B. B. Seniesa’s father had been in street gangs in his youth </v>
      </c>
      <c r="Q34" s="1" t="str">
        <f t="shared" si="3"/>
        <v>C. C. Seniesa used to go to boxing matches when she was little</v>
      </c>
      <c r="R34" s="1" t="str">
        <f t="shared" si="4"/>
        <v>D. D. Seneisa’s father thinks boxing is not for girls</v>
      </c>
    </row>
    <row r="35" spans="1:18" s="8" customFormat="1" ht="15" customHeight="1" x14ac:dyDescent="0.25">
      <c r="A35" s="9"/>
      <c r="B35" s="9"/>
      <c r="C35" s="10"/>
      <c r="D35" s="10"/>
      <c r="E35" s="10">
        <v>34</v>
      </c>
      <c r="F35" s="10" t="s">
        <v>1748</v>
      </c>
      <c r="G35" s="10" t="s">
        <v>121</v>
      </c>
      <c r="H35" s="10">
        <v>1</v>
      </c>
      <c r="I35" s="9">
        <v>20</v>
      </c>
      <c r="J35" s="9" t="s">
        <v>128</v>
      </c>
      <c r="K35" s="9" t="s">
        <v>1729</v>
      </c>
      <c r="L35" s="9" t="s">
        <v>129</v>
      </c>
      <c r="M35" s="9" t="s">
        <v>1730</v>
      </c>
      <c r="N35" s="45" t="str">
        <f t="shared" si="5"/>
        <v>A. A. Brain abnormalities are common among adolescents</v>
      </c>
      <c r="O35" s="1" t="str">
        <f t="shared" si="1"/>
        <v>A. A. Brain abnormalities are common among adolescents</v>
      </c>
      <c r="P35" s="1" t="str">
        <f t="shared" si="2"/>
        <v xml:space="preserve">B. B. It is advisable for teenagers to delay drinking alcohol </v>
      </c>
      <c r="Q35" s="1" t="str">
        <f t="shared" si="3"/>
        <v>C. C. Binge drinking is OK  three times a month</v>
      </c>
      <c r="R35" s="1" t="str">
        <f t="shared" si="4"/>
        <v>D. D. Alcohol abuse causes brain cells to develop</v>
      </c>
    </row>
    <row r="36" spans="1:18" s="8" customFormat="1" ht="15" customHeight="1" x14ac:dyDescent="0.25">
      <c r="A36" s="9"/>
      <c r="B36" s="9"/>
      <c r="C36" s="10"/>
      <c r="D36" s="10"/>
      <c r="E36" s="10">
        <v>35</v>
      </c>
      <c r="F36" s="10" t="s">
        <v>1749</v>
      </c>
      <c r="G36" s="10" t="s">
        <v>125</v>
      </c>
      <c r="H36" s="10">
        <v>1</v>
      </c>
      <c r="I36" s="9">
        <v>20</v>
      </c>
      <c r="J36" s="9" t="s">
        <v>1731</v>
      </c>
      <c r="K36" s="9" t="s">
        <v>1760</v>
      </c>
      <c r="L36" s="9" t="s">
        <v>1732</v>
      </c>
      <c r="M36" s="9" t="s">
        <v>131</v>
      </c>
      <c r="N36" s="45" t="str">
        <f t="shared" si="5"/>
        <v>A. A. To sell cereal the milk must be fresh</v>
      </c>
      <c r="O36" s="1" t="str">
        <f t="shared" si="1"/>
        <v>A. A. To sell cereal the milk must be fresh</v>
      </c>
      <c r="P36" s="1" t="str">
        <f t="shared" si="2"/>
        <v>B. B. If the ad is for cereal, the milk doesn't have to be real</v>
      </c>
      <c r="Q36" s="1" t="str">
        <f t="shared" si="3"/>
        <v>C. C. If the ad is for milk, the milk can be real or digital</v>
      </c>
      <c r="R36" s="1" t="str">
        <f t="shared" si="4"/>
        <v>D. D. With the arrival of digital nothing in the photo is real</v>
      </c>
    </row>
    <row r="37" spans="1:18" s="8" customFormat="1" ht="15" customHeight="1" x14ac:dyDescent="0.25">
      <c r="A37" s="9"/>
      <c r="B37" s="9"/>
      <c r="C37" s="10"/>
      <c r="D37" s="10"/>
      <c r="E37" s="10">
        <v>36</v>
      </c>
      <c r="F37" s="10" t="s">
        <v>1750</v>
      </c>
      <c r="G37" s="10" t="s">
        <v>127</v>
      </c>
      <c r="H37" s="10">
        <v>1</v>
      </c>
      <c r="I37" s="9">
        <v>20</v>
      </c>
      <c r="J37" s="9" t="s">
        <v>133</v>
      </c>
      <c r="K37" s="9" t="s">
        <v>134</v>
      </c>
      <c r="L37" s="9" t="s">
        <v>1733</v>
      </c>
      <c r="M37" s="9" t="s">
        <v>135</v>
      </c>
      <c r="N37" s="45" t="str">
        <f t="shared" si="5"/>
        <v>A. A. The government cannot establish a price for the gas</v>
      </c>
      <c r="O37" s="1" t="str">
        <f t="shared" si="1"/>
        <v>A. A. The government cannot establish a price for the gas</v>
      </c>
      <c r="P37" s="1" t="str">
        <f t="shared" si="2"/>
        <v>B. B. The dispute between the brothers has been going on for nine years</v>
      </c>
      <c r="Q37" s="1" t="str">
        <f t="shared" si="3"/>
        <v>C. C. Gas –pricing regulations in India do not affect the stock markets</v>
      </c>
      <c r="R37" s="1" t="str">
        <f t="shared" si="4"/>
        <v xml:space="preserve">D. D. The brothers have been given a time limit to draw up a new agreement </v>
      </c>
    </row>
    <row r="38" spans="1:18" s="8" customFormat="1" ht="15" customHeight="1" x14ac:dyDescent="0.25">
      <c r="A38" s="9"/>
      <c r="B38" s="9"/>
      <c r="C38" s="10"/>
      <c r="D38" s="10"/>
      <c r="E38" s="10">
        <v>37</v>
      </c>
      <c r="F38" s="10" t="s">
        <v>1751</v>
      </c>
      <c r="G38" s="10" t="s">
        <v>130</v>
      </c>
      <c r="H38" s="10">
        <v>1</v>
      </c>
      <c r="I38" s="9">
        <v>20</v>
      </c>
      <c r="J38" s="9" t="s">
        <v>1734</v>
      </c>
      <c r="K38" s="9" t="s">
        <v>1735</v>
      </c>
      <c r="L38" s="9" t="s">
        <v>1736</v>
      </c>
      <c r="M38" s="9" t="s">
        <v>1737</v>
      </c>
      <c r="N38" s="45" t="str">
        <f t="shared" si="5"/>
        <v>A. A. Caesar’s image was calculated to transmit specific qualities</v>
      </c>
      <c r="O38" s="1" t="str">
        <f t="shared" si="1"/>
        <v>A. A. Caesar’s image was calculated to transmit specific qualities</v>
      </c>
      <c r="P38" s="1" t="str">
        <f t="shared" si="2"/>
        <v>B. B. Caesar  introduced football to ancient Rome</v>
      </c>
      <c r="Q38" s="1" t="str">
        <f t="shared" si="3"/>
        <v>C. C. The bronze head of Caesar is in a gallery in Rome</v>
      </c>
      <c r="R38" s="1" t="str">
        <f t="shared" si="4"/>
        <v>D. D. The tousled hair makes Caesar look old</v>
      </c>
    </row>
    <row r="39" spans="1:18" s="8" customFormat="1" ht="15" customHeight="1" x14ac:dyDescent="0.25">
      <c r="A39" s="9"/>
      <c r="B39" s="9"/>
      <c r="C39" s="10"/>
      <c r="D39" s="10"/>
      <c r="E39" s="10">
        <v>38</v>
      </c>
      <c r="F39" s="10" t="s">
        <v>1752</v>
      </c>
      <c r="G39" s="10" t="s">
        <v>132</v>
      </c>
      <c r="H39" s="10">
        <v>1</v>
      </c>
      <c r="I39" s="9">
        <v>20</v>
      </c>
      <c r="J39" s="9" t="s">
        <v>138</v>
      </c>
      <c r="K39" s="9" t="s">
        <v>139</v>
      </c>
      <c r="L39" s="9" t="s">
        <v>140</v>
      </c>
      <c r="M39" s="9" t="s">
        <v>141</v>
      </c>
      <c r="N39" s="45" t="str">
        <f t="shared" si="5"/>
        <v>A. A. Some clients tortured their financial advisor</v>
      </c>
      <c r="O39" s="1" t="str">
        <f t="shared" si="1"/>
        <v>A. A. Some clients tortured their financial advisor</v>
      </c>
      <c r="P39" s="1" t="str">
        <f t="shared" si="2"/>
        <v>B. B. The financial advisor was on trial for the sub-prime melt-down</v>
      </c>
      <c r="Q39" s="1" t="str">
        <f t="shared" si="3"/>
        <v>C. C. The financial advisor was taken on a holiday for four days</v>
      </c>
      <c r="R39" s="1" t="str">
        <f t="shared" si="4"/>
        <v>D. D. The pensioners had risked their money on real estate</v>
      </c>
    </row>
    <row r="40" spans="1:18" s="8" customFormat="1" ht="15" customHeight="1" x14ac:dyDescent="0.25">
      <c r="A40" s="9"/>
      <c r="B40" s="9"/>
      <c r="C40" s="10"/>
      <c r="D40" s="10"/>
      <c r="E40" s="10">
        <v>39</v>
      </c>
      <c r="F40" s="10" t="s">
        <v>1753</v>
      </c>
      <c r="G40" s="10" t="s">
        <v>136</v>
      </c>
      <c r="H40" s="10">
        <v>1</v>
      </c>
      <c r="I40" s="9">
        <v>20</v>
      </c>
      <c r="J40" s="9" t="s">
        <v>395</v>
      </c>
      <c r="K40" s="9" t="s">
        <v>1738</v>
      </c>
      <c r="L40" s="9" t="s">
        <v>1739</v>
      </c>
      <c r="M40" s="9" t="s">
        <v>1740</v>
      </c>
      <c r="N40" s="45" t="str">
        <f t="shared" si="5"/>
        <v>A. A. The Andes mountain range is 7,000 miles long</v>
      </c>
      <c r="O40" s="1" t="str">
        <f t="shared" si="1"/>
        <v>A. A. The Andes mountain range is 7,000 miles long</v>
      </c>
      <c r="P40" s="1" t="str">
        <f t="shared" si="2"/>
        <v>B. B. Michael Palin wanted to see a series of different landscapes</v>
      </c>
      <c r="Q40" s="1" t="str">
        <f t="shared" si="3"/>
        <v>C. C. The journey took more than a year</v>
      </c>
      <c r="R40" s="1" t="str">
        <f t="shared" si="4"/>
        <v>D. D. Extreme weather made the journey difficult</v>
      </c>
    </row>
    <row r="41" spans="1:18" s="8" customFormat="1" ht="15" customHeight="1" x14ac:dyDescent="0.25">
      <c r="A41" s="9"/>
      <c r="B41" s="9"/>
      <c r="C41" s="10"/>
      <c r="D41" s="10"/>
      <c r="E41" s="10">
        <v>40</v>
      </c>
      <c r="F41" s="10" t="s">
        <v>1754</v>
      </c>
      <c r="G41" s="10" t="s">
        <v>137</v>
      </c>
      <c r="H41" s="10">
        <v>1</v>
      </c>
      <c r="I41" s="9">
        <v>20</v>
      </c>
      <c r="J41" s="9" t="s">
        <v>1741</v>
      </c>
      <c r="K41" s="9" t="s">
        <v>1742</v>
      </c>
      <c r="L41" s="9" t="s">
        <v>406</v>
      </c>
      <c r="M41" s="9" t="s">
        <v>410</v>
      </c>
      <c r="N41" s="45" t="str">
        <f t="shared" si="5"/>
        <v>A. A. Pay-by-phone parking means people save money</v>
      </c>
      <c r="O41" s="1" t="str">
        <f t="shared" si="1"/>
        <v>A. A. Pay-by-phone parking means people save money</v>
      </c>
      <c r="P41" s="1" t="str">
        <f t="shared" si="2"/>
        <v>B. B. Pay-by-phone parking has been the norm in Europe for a long time</v>
      </c>
      <c r="Q41" s="1" t="str">
        <f t="shared" si="3"/>
        <v>C. C. Westminster sold all its old parking metres on eBay</v>
      </c>
      <c r="R41" s="1" t="str">
        <f t="shared" si="4"/>
        <v>D. D. There are no coin-operated parking meters in Westminster anymore</v>
      </c>
    </row>
    <row r="42" spans="1:18" x14ac:dyDescent="0.25">
      <c r="A42" s="11"/>
      <c r="B42" s="11"/>
      <c r="C42" s="11">
        <v>2</v>
      </c>
      <c r="D42" s="11" t="s">
        <v>35</v>
      </c>
      <c r="E42" s="11">
        <v>1</v>
      </c>
      <c r="F42" s="13" t="s">
        <v>416</v>
      </c>
      <c r="G42" s="11" t="s">
        <v>1237</v>
      </c>
      <c r="H42" s="13">
        <v>1</v>
      </c>
      <c r="I42" s="13">
        <v>20</v>
      </c>
      <c r="J42" s="13" t="s">
        <v>188</v>
      </c>
      <c r="K42" s="13" t="s">
        <v>208</v>
      </c>
      <c r="L42" s="13" t="s">
        <v>228</v>
      </c>
      <c r="M42" s="13" t="s">
        <v>248</v>
      </c>
      <c r="N42" s="47" t="str">
        <f t="shared" ref="N42:N57" si="6">CONCATENATE("A. ",(J42))</f>
        <v>A. A. It was okay where I left my car</v>
      </c>
    </row>
    <row r="43" spans="1:18" x14ac:dyDescent="0.25">
      <c r="A43" s="11"/>
      <c r="B43" s="11"/>
      <c r="C43" s="11"/>
      <c r="D43" s="11" t="s">
        <v>2110</v>
      </c>
      <c r="E43" s="11">
        <v>2</v>
      </c>
      <c r="F43" s="13" t="s">
        <v>417</v>
      </c>
      <c r="G43" s="11" t="s">
        <v>1238</v>
      </c>
      <c r="H43" s="13">
        <v>1</v>
      </c>
      <c r="I43" s="13">
        <v>20</v>
      </c>
      <c r="J43" s="13" t="s">
        <v>189</v>
      </c>
      <c r="K43" s="13" t="s">
        <v>209</v>
      </c>
      <c r="L43" s="13" t="s">
        <v>229</v>
      </c>
      <c r="M43" s="13" t="s">
        <v>249</v>
      </c>
      <c r="N43" s="47" t="str">
        <f t="shared" si="6"/>
        <v>A. A. We helped the bulldog</v>
      </c>
    </row>
    <row r="44" spans="1:18" x14ac:dyDescent="0.25">
      <c r="A44" s="11"/>
      <c r="B44" s="11"/>
      <c r="C44" s="11"/>
      <c r="D44" s="9" t="s">
        <v>16</v>
      </c>
      <c r="E44" s="11">
        <v>3</v>
      </c>
      <c r="F44" s="13" t="s">
        <v>418</v>
      </c>
      <c r="G44" s="11" t="s">
        <v>1239</v>
      </c>
      <c r="H44" s="13">
        <v>1</v>
      </c>
      <c r="I44" s="13">
        <v>20</v>
      </c>
      <c r="J44" s="13" t="s">
        <v>190</v>
      </c>
      <c r="K44" s="13" t="s">
        <v>210</v>
      </c>
      <c r="L44" s="13" t="s">
        <v>230</v>
      </c>
      <c r="M44" s="13" t="s">
        <v>250</v>
      </c>
      <c r="N44" s="47" t="str">
        <f t="shared" si="6"/>
        <v>A. A. I haven’t drunk too much coffee.</v>
      </c>
    </row>
    <row r="45" spans="1:18" x14ac:dyDescent="0.25">
      <c r="A45" s="11"/>
      <c r="B45" s="11"/>
      <c r="C45" s="11"/>
      <c r="D45" s="11"/>
      <c r="E45" s="11">
        <v>4</v>
      </c>
      <c r="F45" s="13" t="s">
        <v>419</v>
      </c>
      <c r="G45" s="11" t="s">
        <v>1240</v>
      </c>
      <c r="H45" s="13">
        <v>1</v>
      </c>
      <c r="I45" s="13">
        <v>20</v>
      </c>
      <c r="J45" s="13" t="s">
        <v>191</v>
      </c>
      <c r="K45" s="13" t="s">
        <v>211</v>
      </c>
      <c r="L45" s="13" t="s">
        <v>231</v>
      </c>
      <c r="M45" s="13" t="s">
        <v>251</v>
      </c>
      <c r="N45" s="47" t="str">
        <f t="shared" si="6"/>
        <v>A. A. Motivation and experience determine success.</v>
      </c>
    </row>
    <row r="46" spans="1:18" x14ac:dyDescent="0.25">
      <c r="A46" s="11"/>
      <c r="B46" s="11"/>
      <c r="C46" s="11"/>
      <c r="D46" s="11"/>
      <c r="E46" s="11">
        <v>5</v>
      </c>
      <c r="F46" s="13" t="s">
        <v>420</v>
      </c>
      <c r="G46" s="11" t="s">
        <v>1241</v>
      </c>
      <c r="H46" s="13">
        <v>1</v>
      </c>
      <c r="I46" s="13">
        <v>20</v>
      </c>
      <c r="J46" s="13" t="s">
        <v>192</v>
      </c>
      <c r="K46" s="13" t="s">
        <v>212</v>
      </c>
      <c r="L46" s="13" t="s">
        <v>232</v>
      </c>
      <c r="M46" s="13" t="s">
        <v>252</v>
      </c>
      <c r="N46" s="47" t="str">
        <f t="shared" si="6"/>
        <v>A. A. I’m dying to get the new Harry Potter book.</v>
      </c>
    </row>
    <row r="47" spans="1:18" x14ac:dyDescent="0.25">
      <c r="A47" s="11"/>
      <c r="B47" s="11"/>
      <c r="C47" s="11"/>
      <c r="D47" s="11"/>
      <c r="E47" s="11">
        <v>6</v>
      </c>
      <c r="F47" s="13" t="s">
        <v>421</v>
      </c>
      <c r="G47" s="11" t="s">
        <v>1242</v>
      </c>
      <c r="H47" s="13">
        <v>1</v>
      </c>
      <c r="I47" s="13">
        <v>20</v>
      </c>
      <c r="J47" s="13" t="s">
        <v>193</v>
      </c>
      <c r="K47" s="13" t="s">
        <v>213</v>
      </c>
      <c r="L47" s="13" t="s">
        <v>233</v>
      </c>
      <c r="M47" s="13" t="s">
        <v>253</v>
      </c>
      <c r="N47" s="47" t="str">
        <f t="shared" si="6"/>
        <v>A. A. Before long it will be summer.</v>
      </c>
    </row>
    <row r="48" spans="1:18" x14ac:dyDescent="0.25">
      <c r="A48" s="11"/>
      <c r="B48" s="11"/>
      <c r="C48" s="11"/>
      <c r="D48" s="11"/>
      <c r="E48" s="11">
        <v>7</v>
      </c>
      <c r="F48" s="13" t="s">
        <v>415</v>
      </c>
      <c r="G48" s="11" t="s">
        <v>1243</v>
      </c>
      <c r="H48" s="13">
        <v>1</v>
      </c>
      <c r="I48" s="13">
        <v>20</v>
      </c>
      <c r="J48" s="13" t="s">
        <v>194</v>
      </c>
      <c r="K48" s="13" t="s">
        <v>214</v>
      </c>
      <c r="L48" s="13" t="s">
        <v>234</v>
      </c>
      <c r="M48" s="13" t="s">
        <v>254</v>
      </c>
      <c r="N48" s="47" t="str">
        <f t="shared" si="6"/>
        <v>A. A. John has forgotten the man</v>
      </c>
    </row>
    <row r="49" spans="1:17" x14ac:dyDescent="0.25">
      <c r="A49" s="11"/>
      <c r="B49" s="11"/>
      <c r="C49" s="11"/>
      <c r="D49" s="11"/>
      <c r="E49" s="11">
        <v>8</v>
      </c>
      <c r="F49" s="13" t="s">
        <v>422</v>
      </c>
      <c r="G49" s="11" t="s">
        <v>1244</v>
      </c>
      <c r="H49" s="13">
        <v>1</v>
      </c>
      <c r="I49" s="13">
        <v>20</v>
      </c>
      <c r="J49" s="13" t="s">
        <v>195</v>
      </c>
      <c r="K49" s="13" t="s">
        <v>215</v>
      </c>
      <c r="L49" s="13" t="s">
        <v>235</v>
      </c>
      <c r="M49" s="13" t="s">
        <v>255</v>
      </c>
      <c r="N49" s="47" t="str">
        <f t="shared" si="6"/>
        <v>A. A. Weather permitting, the barbecue will take place.</v>
      </c>
    </row>
    <row r="50" spans="1:17" x14ac:dyDescent="0.25">
      <c r="A50" s="11"/>
      <c r="B50" s="11"/>
      <c r="C50" s="11"/>
      <c r="D50" s="11"/>
      <c r="E50" s="11">
        <v>9</v>
      </c>
      <c r="F50" s="13" t="s">
        <v>142</v>
      </c>
      <c r="G50" s="11" t="s">
        <v>1245</v>
      </c>
      <c r="H50" s="13">
        <v>1</v>
      </c>
      <c r="I50" s="13">
        <v>20</v>
      </c>
      <c r="J50" s="13" t="s">
        <v>196</v>
      </c>
      <c r="K50" s="13" t="s">
        <v>216</v>
      </c>
      <c r="L50" s="13" t="s">
        <v>236</v>
      </c>
      <c r="M50" s="13" t="s">
        <v>256</v>
      </c>
      <c r="N50" s="47" t="str">
        <f t="shared" si="6"/>
        <v>A. A. He is faced with a wide selection of hats.</v>
      </c>
    </row>
    <row r="51" spans="1:17" x14ac:dyDescent="0.25">
      <c r="A51" s="11"/>
      <c r="B51" s="11"/>
      <c r="C51" s="11"/>
      <c r="D51" s="11"/>
      <c r="E51" s="11">
        <v>10</v>
      </c>
      <c r="F51" s="13" t="s">
        <v>143</v>
      </c>
      <c r="G51" s="13" t="s">
        <v>440</v>
      </c>
      <c r="H51" s="13">
        <v>1</v>
      </c>
      <c r="I51" s="13">
        <v>20</v>
      </c>
      <c r="J51" s="13" t="s">
        <v>197</v>
      </c>
      <c r="K51" s="13" t="s">
        <v>217</v>
      </c>
      <c r="L51" s="13" t="s">
        <v>237</v>
      </c>
      <c r="M51" s="13" t="s">
        <v>257</v>
      </c>
      <c r="N51" s="47" t="str">
        <f t="shared" si="6"/>
        <v xml:space="preserve">A. A. The woman’s offer fell short. </v>
      </c>
    </row>
    <row r="52" spans="1:17" x14ac:dyDescent="0.25">
      <c r="A52" s="11"/>
      <c r="B52" s="11"/>
      <c r="C52" s="11"/>
      <c r="D52" s="11"/>
      <c r="E52" s="11">
        <v>11</v>
      </c>
      <c r="F52" s="13" t="s">
        <v>144</v>
      </c>
      <c r="G52" s="13" t="s">
        <v>441</v>
      </c>
      <c r="H52" s="13">
        <v>1</v>
      </c>
      <c r="I52" s="13">
        <v>20</v>
      </c>
      <c r="J52" s="13" t="s">
        <v>198</v>
      </c>
      <c r="K52" s="13" t="s">
        <v>218</v>
      </c>
      <c r="L52" s="13" t="s">
        <v>238</v>
      </c>
      <c r="M52" s="13" t="s">
        <v>258</v>
      </c>
      <c r="N52" s="47" t="str">
        <f t="shared" si="6"/>
        <v>A. A. Mike’s Porsche is red not black</v>
      </c>
    </row>
    <row r="53" spans="1:17" x14ac:dyDescent="0.25">
      <c r="A53" s="11"/>
      <c r="B53" s="11"/>
      <c r="C53" s="11"/>
      <c r="D53" s="11"/>
      <c r="E53" s="11">
        <v>12</v>
      </c>
      <c r="F53" s="13" t="s">
        <v>414</v>
      </c>
      <c r="G53" s="13" t="s">
        <v>442</v>
      </c>
      <c r="H53" s="13">
        <v>1</v>
      </c>
      <c r="I53" s="13">
        <v>20</v>
      </c>
      <c r="J53" s="13" t="s">
        <v>199</v>
      </c>
      <c r="K53" s="13" t="s">
        <v>219</v>
      </c>
      <c r="L53" s="13" t="s">
        <v>239</v>
      </c>
      <c r="M53" s="13" t="s">
        <v>259</v>
      </c>
      <c r="N53" s="47" t="str">
        <f t="shared" si="6"/>
        <v>A. A. This war was shorter than the last.</v>
      </c>
    </row>
    <row r="54" spans="1:17" x14ac:dyDescent="0.25">
      <c r="A54" s="11"/>
      <c r="B54" s="11"/>
      <c r="C54" s="11"/>
      <c r="D54" s="11"/>
      <c r="E54" s="11">
        <v>13</v>
      </c>
      <c r="F54" s="13" t="s">
        <v>145</v>
      </c>
      <c r="G54" s="13" t="s">
        <v>443</v>
      </c>
      <c r="H54" s="13">
        <v>1</v>
      </c>
      <c r="I54" s="13">
        <v>20</v>
      </c>
      <c r="J54" s="13" t="s">
        <v>200</v>
      </c>
      <c r="K54" s="13" t="s">
        <v>220</v>
      </c>
      <c r="L54" s="13" t="s">
        <v>240</v>
      </c>
      <c r="M54" s="13" t="s">
        <v>260</v>
      </c>
      <c r="N54" s="47" t="str">
        <f t="shared" si="6"/>
        <v>A. A. She has trouble with her eyesight</v>
      </c>
    </row>
    <row r="55" spans="1:17" x14ac:dyDescent="0.25">
      <c r="A55" s="11"/>
      <c r="B55" s="11"/>
      <c r="C55" s="11"/>
      <c r="D55" s="11"/>
      <c r="E55" s="11">
        <v>14</v>
      </c>
      <c r="F55" s="13" t="s">
        <v>146</v>
      </c>
      <c r="G55" s="13" t="s">
        <v>444</v>
      </c>
      <c r="H55" s="13">
        <v>1</v>
      </c>
      <c r="I55" s="13">
        <v>20</v>
      </c>
      <c r="J55" s="13" t="s">
        <v>201</v>
      </c>
      <c r="K55" s="13" t="s">
        <v>221</v>
      </c>
      <c r="L55" s="13" t="s">
        <v>241</v>
      </c>
      <c r="M55" s="13" t="s">
        <v>261</v>
      </c>
      <c r="N55" s="47" t="str">
        <f t="shared" si="6"/>
        <v>A. A. He will fix the problem with the lift himself</v>
      </c>
    </row>
    <row r="56" spans="1:17" x14ac:dyDescent="0.25">
      <c r="A56" s="11"/>
      <c r="B56" s="11"/>
      <c r="C56" s="11"/>
      <c r="D56" s="11"/>
      <c r="E56" s="11">
        <v>15</v>
      </c>
      <c r="F56" s="13" t="s">
        <v>147</v>
      </c>
      <c r="G56" s="13" t="s">
        <v>445</v>
      </c>
      <c r="H56" s="13">
        <v>1</v>
      </c>
      <c r="I56" s="13">
        <v>20</v>
      </c>
      <c r="J56" s="13" t="s">
        <v>202</v>
      </c>
      <c r="K56" s="13" t="s">
        <v>222</v>
      </c>
      <c r="L56" s="13" t="s">
        <v>242</v>
      </c>
      <c r="M56" s="13" t="s">
        <v>262</v>
      </c>
      <c r="N56" s="47" t="str">
        <f t="shared" si="6"/>
        <v>A. A. A TV programme to begin.</v>
      </c>
    </row>
    <row r="57" spans="1:17" x14ac:dyDescent="0.25">
      <c r="A57" s="11"/>
      <c r="B57" s="11"/>
      <c r="C57" s="11"/>
      <c r="D57" s="11"/>
      <c r="E57" s="11">
        <v>16</v>
      </c>
      <c r="F57" s="13" t="s">
        <v>148</v>
      </c>
      <c r="G57" s="13" t="s">
        <v>446</v>
      </c>
      <c r="H57" s="13">
        <v>1</v>
      </c>
      <c r="I57" s="13">
        <v>20</v>
      </c>
      <c r="J57" s="13" t="s">
        <v>203</v>
      </c>
      <c r="K57" s="13" t="s">
        <v>223</v>
      </c>
      <c r="L57" s="13" t="s">
        <v>243</v>
      </c>
      <c r="M57" s="13" t="s">
        <v>263</v>
      </c>
      <c r="N57" s="47" t="str">
        <f t="shared" si="6"/>
        <v>A. A. Wars are being presented as entertainment.</v>
      </c>
    </row>
    <row r="58" spans="1:17" x14ac:dyDescent="0.25">
      <c r="A58" s="11"/>
      <c r="B58" s="11"/>
      <c r="C58" s="11"/>
      <c r="D58" s="11"/>
      <c r="E58" s="11">
        <v>17</v>
      </c>
      <c r="F58" s="13" t="s">
        <v>149</v>
      </c>
      <c r="G58" s="13" t="s">
        <v>447</v>
      </c>
      <c r="H58" s="13">
        <v>1</v>
      </c>
      <c r="I58" s="13">
        <v>20</v>
      </c>
      <c r="J58" s="13" t="s">
        <v>204</v>
      </c>
      <c r="K58" s="13" t="s">
        <v>224</v>
      </c>
      <c r="L58" s="13" t="s">
        <v>244</v>
      </c>
      <c r="M58" s="13" t="s">
        <v>264</v>
      </c>
      <c r="N58" s="47" t="str">
        <f t="shared" ref="N58:N89" si="7">CONCATENATE("A. ",(J58))</f>
        <v>A. A. Her client is confessing his guilt.</v>
      </c>
    </row>
    <row r="59" spans="1:17" x14ac:dyDescent="0.25">
      <c r="A59" s="11"/>
      <c r="B59" s="11"/>
      <c r="C59" s="11"/>
      <c r="D59" s="11"/>
      <c r="E59" s="11">
        <v>18</v>
      </c>
      <c r="F59" s="13" t="s">
        <v>150</v>
      </c>
      <c r="G59" s="13" t="s">
        <v>448</v>
      </c>
      <c r="H59" s="13">
        <v>1</v>
      </c>
      <c r="I59" s="13">
        <v>20</v>
      </c>
      <c r="J59" s="13" t="s">
        <v>205</v>
      </c>
      <c r="K59" s="13" t="s">
        <v>225</v>
      </c>
      <c r="L59" s="13" t="s">
        <v>245</v>
      </c>
      <c r="M59" s="13" t="s">
        <v>265</v>
      </c>
      <c r="N59" s="47" t="str">
        <f t="shared" si="7"/>
        <v xml:space="preserve">A. A. Strides have been made in modern warfare. </v>
      </c>
    </row>
    <row r="60" spans="1:17" x14ac:dyDescent="0.25">
      <c r="A60" s="11"/>
      <c r="B60" s="11"/>
      <c r="C60" s="11"/>
      <c r="D60" s="11"/>
      <c r="E60" s="11">
        <v>19</v>
      </c>
      <c r="F60" s="13" t="s">
        <v>151</v>
      </c>
      <c r="G60" s="13" t="s">
        <v>449</v>
      </c>
      <c r="H60" s="13">
        <v>1</v>
      </c>
      <c r="I60" s="13">
        <v>20</v>
      </c>
      <c r="J60" s="13" t="s">
        <v>206</v>
      </c>
      <c r="K60" s="13" t="s">
        <v>226</v>
      </c>
      <c r="L60" s="13" t="s">
        <v>246</v>
      </c>
      <c r="M60" s="13" t="s">
        <v>266</v>
      </c>
      <c r="N60" s="47" t="str">
        <f t="shared" si="7"/>
        <v>A. A. He guesses their friends will be over for an hour.</v>
      </c>
    </row>
    <row r="61" spans="1:17" ht="15" customHeight="1" x14ac:dyDescent="0.25">
      <c r="A61" s="11"/>
      <c r="B61" s="11"/>
      <c r="C61" s="11"/>
      <c r="D61" s="11"/>
      <c r="E61" s="11">
        <v>20</v>
      </c>
      <c r="F61" s="11" t="s">
        <v>152</v>
      </c>
      <c r="G61" s="13" t="s">
        <v>450</v>
      </c>
      <c r="H61" s="13">
        <v>1</v>
      </c>
      <c r="I61" s="13">
        <v>20</v>
      </c>
      <c r="J61" s="13" t="s">
        <v>207</v>
      </c>
      <c r="K61" s="13" t="s">
        <v>227</v>
      </c>
      <c r="L61" s="13" t="s">
        <v>247</v>
      </c>
      <c r="M61" s="13" t="s">
        <v>267</v>
      </c>
      <c r="N61" s="47" t="str">
        <f t="shared" si="7"/>
        <v>A. A. Journalists cover wars for financial reasons.</v>
      </c>
    </row>
    <row r="62" spans="1:17" ht="15" customHeight="1" x14ac:dyDescent="0.25">
      <c r="A62" s="11"/>
      <c r="B62" s="11"/>
      <c r="C62" s="11"/>
      <c r="D62" s="11"/>
      <c r="E62" s="11">
        <v>21</v>
      </c>
      <c r="F62" s="11" t="s">
        <v>2034</v>
      </c>
      <c r="G62" s="13" t="s">
        <v>451</v>
      </c>
      <c r="H62" s="13">
        <v>1</v>
      </c>
      <c r="I62" s="13">
        <v>20</v>
      </c>
      <c r="J62" s="13" t="s">
        <v>2054</v>
      </c>
      <c r="K62" s="13" t="s">
        <v>400</v>
      </c>
      <c r="L62" s="13" t="s">
        <v>2055</v>
      </c>
      <c r="M62" s="13" t="s">
        <v>2056</v>
      </c>
      <c r="N62" s="47" t="str">
        <f t="shared" si="7"/>
        <v>A. A. The Pentagon  wanted to establish what the deposits are worth</v>
      </c>
      <c r="O62" s="1" t="str">
        <f>CONCATENATE("B. ",(K62))</f>
        <v>B. B. It is unclear how much the mineral resources are worth</v>
      </c>
      <c r="P62" s="1" t="str">
        <f>CONCATENATE("C. ",(L62))</f>
        <v>C. C. Some resources have already been exploited</v>
      </c>
      <c r="Q62" s="1" t="str">
        <f>CONCATENATE("D. ",(M62))</f>
        <v>D. D. The Pentagon task-force did not include Afghan members</v>
      </c>
    </row>
    <row r="63" spans="1:17" ht="15" customHeight="1" x14ac:dyDescent="0.25">
      <c r="A63" s="11"/>
      <c r="B63" s="11"/>
      <c r="C63" s="11"/>
      <c r="D63" s="11"/>
      <c r="E63" s="11">
        <v>22</v>
      </c>
      <c r="F63" s="11" t="s">
        <v>2035</v>
      </c>
      <c r="G63" s="13" t="s">
        <v>452</v>
      </c>
      <c r="H63" s="13">
        <v>1</v>
      </c>
      <c r="I63" s="13">
        <v>20</v>
      </c>
      <c r="J63" s="13" t="s">
        <v>2057</v>
      </c>
      <c r="K63" s="13" t="s">
        <v>2058</v>
      </c>
      <c r="L63" s="13" t="s">
        <v>405</v>
      </c>
      <c r="M63" s="13" t="s">
        <v>2059</v>
      </c>
      <c r="N63" s="47" t="str">
        <f t="shared" si="7"/>
        <v xml:space="preserve">A. A. The Obama inauguration took place on a weekend </v>
      </c>
      <c r="O63" s="1" t="str">
        <f t="shared" ref="O63:O81" si="8">CONCATENATE("B. ",(K63))</f>
        <v>B. B. Internet traffic was less when people saw matches on TV</v>
      </c>
      <c r="P63" s="1" t="str">
        <f t="shared" ref="P63:P81" si="9">CONCATENATE("C. ",(L63))</f>
        <v>C. C. People have TV sets at work so they can see the matches</v>
      </c>
      <c r="Q63" s="1" t="str">
        <f t="shared" ref="Q63:Q81" si="10">CONCATENATE("D. ",(M63))</f>
        <v>D. D. The  World Cup has collapsed the Internet</v>
      </c>
    </row>
    <row r="64" spans="1:17" ht="15" customHeight="1" x14ac:dyDescent="0.25">
      <c r="A64" s="11"/>
      <c r="B64" s="11"/>
      <c r="C64" s="11"/>
      <c r="D64" s="11"/>
      <c r="E64" s="11">
        <v>23</v>
      </c>
      <c r="F64" s="11" t="s">
        <v>2036</v>
      </c>
      <c r="G64" s="13" t="s">
        <v>453</v>
      </c>
      <c r="H64" s="13">
        <v>1</v>
      </c>
      <c r="I64" s="13">
        <v>20</v>
      </c>
      <c r="J64" s="13" t="s">
        <v>2060</v>
      </c>
      <c r="K64" s="13" t="s">
        <v>401</v>
      </c>
      <c r="L64" s="13" t="s">
        <v>2061</v>
      </c>
      <c r="M64" s="13" t="s">
        <v>2062</v>
      </c>
      <c r="N64" s="47" t="str">
        <f t="shared" si="7"/>
        <v>A. A. McChrystal was reprimanded for his comments</v>
      </c>
      <c r="O64" s="1" t="str">
        <f t="shared" si="8"/>
        <v>B. B. McChrystal was fired for revealing details of war policy</v>
      </c>
      <c r="P64" s="1" t="str">
        <f t="shared" si="9"/>
        <v>C. C. Petreaus has a proven track record in civilian-military relations</v>
      </c>
      <c r="Q64" s="1" t="str">
        <f t="shared" si="10"/>
        <v>D. D. Relations between McChrystal and civilian leaders were acceptable</v>
      </c>
    </row>
    <row r="65" spans="1:17" ht="15" customHeight="1" x14ac:dyDescent="0.25">
      <c r="A65" s="11"/>
      <c r="B65" s="11"/>
      <c r="C65" s="11"/>
      <c r="D65" s="11"/>
      <c r="E65" s="11">
        <v>24</v>
      </c>
      <c r="F65" s="11" t="s">
        <v>2037</v>
      </c>
      <c r="G65" s="13" t="s">
        <v>454</v>
      </c>
      <c r="H65" s="13">
        <v>1</v>
      </c>
      <c r="I65" s="13">
        <v>20</v>
      </c>
      <c r="J65" s="13" t="s">
        <v>2063</v>
      </c>
      <c r="K65" s="13" t="s">
        <v>2064</v>
      </c>
      <c r="L65" s="13" t="s">
        <v>2065</v>
      </c>
      <c r="M65" s="13" t="s">
        <v>411</v>
      </c>
      <c r="N65" s="47" t="str">
        <f t="shared" si="7"/>
        <v>A. A. The Zeta cartel had permission to cut off the  city’s main thoroughfares</v>
      </c>
      <c r="O65" s="1" t="str">
        <f t="shared" si="8"/>
        <v>B. B. Monterey is not a thriving city</v>
      </c>
      <c r="P65" s="1" t="str">
        <f t="shared" si="9"/>
        <v>C. C. The military captured a Zeta member earlier in the month</v>
      </c>
      <c r="Q65" s="1" t="str">
        <f t="shared" si="10"/>
        <v>D. D. Trucks buses and cars were set alight after the drivers had been removed</v>
      </c>
    </row>
    <row r="66" spans="1:17" ht="15" customHeight="1" x14ac:dyDescent="0.25">
      <c r="A66" s="11"/>
      <c r="B66" s="11"/>
      <c r="C66" s="11"/>
      <c r="D66" s="11"/>
      <c r="E66" s="11">
        <v>25</v>
      </c>
      <c r="F66" s="11" t="s">
        <v>2038</v>
      </c>
      <c r="G66" s="13" t="s">
        <v>455</v>
      </c>
      <c r="H66" s="13">
        <v>1</v>
      </c>
      <c r="I66" s="13">
        <v>20</v>
      </c>
      <c r="J66" s="13" t="s">
        <v>2066</v>
      </c>
      <c r="K66" s="13" t="s">
        <v>2067</v>
      </c>
      <c r="L66" s="13" t="s">
        <v>2068</v>
      </c>
      <c r="M66" s="13" t="s">
        <v>2069</v>
      </c>
      <c r="N66" s="47" t="str">
        <f t="shared" si="7"/>
        <v>A. A. It may be a good idea for couples of different religions</v>
      </c>
      <c r="O66" s="1" t="str">
        <f t="shared" si="8"/>
        <v>B. B. The clergy believes it causes couples to lose their faith</v>
      </c>
      <c r="P66" s="1" t="str">
        <f t="shared" si="9"/>
        <v>C. C. Though the friends may be uncertified, this is not a problem</v>
      </c>
      <c r="Q66" s="1" t="str">
        <f t="shared" si="10"/>
        <v>D. D. It can be done over the Internet</v>
      </c>
    </row>
    <row r="67" spans="1:17" ht="15" customHeight="1" x14ac:dyDescent="0.25">
      <c r="A67" s="11"/>
      <c r="B67" s="11"/>
      <c r="C67" s="11"/>
      <c r="D67" s="11"/>
      <c r="E67" s="11">
        <v>26</v>
      </c>
      <c r="F67" s="11" t="s">
        <v>2039</v>
      </c>
      <c r="G67" s="13" t="s">
        <v>456</v>
      </c>
      <c r="H67" s="13">
        <v>1</v>
      </c>
      <c r="I67" s="13">
        <v>20</v>
      </c>
      <c r="J67" s="13" t="s">
        <v>2070</v>
      </c>
      <c r="K67" s="13" t="s">
        <v>402</v>
      </c>
      <c r="L67" s="13" t="s">
        <v>2071</v>
      </c>
      <c r="M67" s="13" t="s">
        <v>2072</v>
      </c>
      <c r="N67" s="47" t="str">
        <f t="shared" si="7"/>
        <v>A. A. Gene’s dad survived a the tunnel collapse</v>
      </c>
      <c r="O67" s="1" t="str">
        <f t="shared" si="8"/>
        <v>B. B. Gene’s description of the mine is first hand</v>
      </c>
      <c r="P67" s="1" t="str">
        <f t="shared" si="9"/>
        <v>C. C. Miners were paid well in West Virginia</v>
      </c>
      <c r="Q67" s="1" t="str">
        <f t="shared" si="10"/>
        <v>D. D. Work in the mine commenced after elementary school</v>
      </c>
    </row>
    <row r="68" spans="1:17" ht="15" customHeight="1" x14ac:dyDescent="0.25">
      <c r="A68" s="11"/>
      <c r="B68" s="11"/>
      <c r="C68" s="11"/>
      <c r="D68" s="11"/>
      <c r="E68" s="11">
        <v>27</v>
      </c>
      <c r="F68" s="11" t="s">
        <v>2040</v>
      </c>
      <c r="G68" s="13" t="s">
        <v>457</v>
      </c>
      <c r="H68" s="13">
        <v>1</v>
      </c>
      <c r="I68" s="13">
        <v>20</v>
      </c>
      <c r="J68" s="13" t="s">
        <v>396</v>
      </c>
      <c r="K68" s="13" t="s">
        <v>2073</v>
      </c>
      <c r="L68" s="13" t="s">
        <v>2074</v>
      </c>
      <c r="M68" s="13" t="s">
        <v>412</v>
      </c>
      <c r="N68" s="47" t="str">
        <f t="shared" si="7"/>
        <v>A. A. The president of FIFA believes human error makes soccer exciting</v>
      </c>
      <c r="O68" s="1" t="str">
        <f t="shared" si="8"/>
        <v>B. B. Referees from Uruguay have changed the nature of the game</v>
      </c>
      <c r="P68" s="1" t="str">
        <f t="shared" si="9"/>
        <v>C. C. TV replays are always controversial</v>
      </c>
      <c r="Q68" s="1" t="str">
        <f t="shared" si="10"/>
        <v>D. D. FIFA is willing to adopt new technologies in football</v>
      </c>
    </row>
    <row r="69" spans="1:17" ht="15" customHeight="1" x14ac:dyDescent="0.25">
      <c r="A69" s="11"/>
      <c r="B69" s="11"/>
      <c r="C69" s="11"/>
      <c r="D69" s="11"/>
      <c r="E69" s="11">
        <v>28</v>
      </c>
      <c r="F69" s="11" t="s">
        <v>2033</v>
      </c>
      <c r="G69" s="13" t="s">
        <v>458</v>
      </c>
      <c r="H69" s="13">
        <v>1</v>
      </c>
      <c r="I69" s="13">
        <v>20</v>
      </c>
      <c r="J69" s="13" t="s">
        <v>2075</v>
      </c>
      <c r="K69" s="13" t="s">
        <v>2076</v>
      </c>
      <c r="L69" s="13" t="s">
        <v>407</v>
      </c>
      <c r="M69" s="13" t="s">
        <v>2077</v>
      </c>
      <c r="N69" s="47" t="str">
        <f t="shared" si="7"/>
        <v>A. A. The G20 countries all have increasing government debt</v>
      </c>
      <c r="O69" s="1" t="str">
        <f t="shared" si="8"/>
        <v>B. B. Aid promised in previous meetings has not been transferred</v>
      </c>
      <c r="P69" s="1" t="str">
        <f t="shared" si="9"/>
        <v>C. C. The Middle East will not be discussed this time round</v>
      </c>
      <c r="Q69" s="1" t="str">
        <f t="shared" si="10"/>
        <v>D. D. Security is quite lax as there have been few problems</v>
      </c>
    </row>
    <row r="70" spans="1:17" ht="15" customHeight="1" x14ac:dyDescent="0.25">
      <c r="A70" s="11"/>
      <c r="B70" s="11"/>
      <c r="C70" s="11"/>
      <c r="D70" s="11"/>
      <c r="E70" s="11">
        <v>29</v>
      </c>
      <c r="F70" s="11" t="s">
        <v>2041</v>
      </c>
      <c r="G70" s="13" t="s">
        <v>459</v>
      </c>
      <c r="H70" s="13">
        <v>1</v>
      </c>
      <c r="I70" s="13">
        <v>20</v>
      </c>
      <c r="J70" s="13" t="s">
        <v>2078</v>
      </c>
      <c r="K70" s="13" t="s">
        <v>2079</v>
      </c>
      <c r="L70" s="13" t="s">
        <v>2080</v>
      </c>
      <c r="M70" s="13" t="s">
        <v>2081</v>
      </c>
      <c r="N70" s="47" t="str">
        <f t="shared" si="7"/>
        <v>A. A. They have been given temporary contracts</v>
      </c>
      <c r="O70" s="1" t="str">
        <f t="shared" si="8"/>
        <v>B. B. KPMG owes money to 200 staff</v>
      </c>
      <c r="P70" s="1" t="str">
        <f t="shared" si="9"/>
        <v>C. C. The administrators did not arrive for a union meeting</v>
      </c>
      <c r="Q70" s="1" t="str">
        <f t="shared" si="10"/>
        <v>D. D. They wanted to stage a twenty-four hour protest</v>
      </c>
    </row>
    <row r="71" spans="1:17" ht="15" customHeight="1" x14ac:dyDescent="0.25">
      <c r="A71" s="11"/>
      <c r="B71" s="11"/>
      <c r="C71" s="11"/>
      <c r="D71" s="11"/>
      <c r="E71" s="11">
        <v>30</v>
      </c>
      <c r="F71" s="11" t="s">
        <v>2042</v>
      </c>
      <c r="G71" s="13" t="s">
        <v>460</v>
      </c>
      <c r="H71" s="13">
        <v>1</v>
      </c>
      <c r="I71" s="13">
        <v>20</v>
      </c>
      <c r="J71" s="13" t="s">
        <v>2082</v>
      </c>
      <c r="K71" s="13" t="s">
        <v>2083</v>
      </c>
      <c r="L71" s="13" t="s">
        <v>2084</v>
      </c>
      <c r="M71" s="13" t="s">
        <v>2085</v>
      </c>
      <c r="N71" s="47" t="str">
        <f t="shared" si="7"/>
        <v>A. A. He had a fight with the immigration judge</v>
      </c>
      <c r="O71" s="1" t="str">
        <f t="shared" si="8"/>
        <v>B. B. He would like to do the entrance exams for Harvard</v>
      </c>
      <c r="P71" s="1" t="str">
        <f t="shared" si="9"/>
        <v>C. C. He was visiting his mother in Boston</v>
      </c>
      <c r="Q71" s="1" t="str">
        <f t="shared" si="10"/>
        <v>D. D. Harvard will try to help him resolve the situation</v>
      </c>
    </row>
    <row r="72" spans="1:17" ht="15" customHeight="1" x14ac:dyDescent="0.25">
      <c r="A72" s="11"/>
      <c r="B72" s="11"/>
      <c r="C72" s="11"/>
      <c r="D72" s="11"/>
      <c r="E72" s="11">
        <v>31</v>
      </c>
      <c r="F72" s="11" t="s">
        <v>2043</v>
      </c>
      <c r="G72" s="13" t="s">
        <v>439</v>
      </c>
      <c r="H72" s="13">
        <v>1</v>
      </c>
      <c r="I72" s="13">
        <v>20</v>
      </c>
      <c r="J72" s="13" t="s">
        <v>2086</v>
      </c>
      <c r="K72" s="13" t="s">
        <v>2087</v>
      </c>
      <c r="L72" s="13" t="s">
        <v>408</v>
      </c>
      <c r="M72" s="13" t="s">
        <v>413</v>
      </c>
      <c r="N72" s="47" t="str">
        <f t="shared" si="7"/>
        <v>A. A. The head in question is made of bronze</v>
      </c>
      <c r="O72" s="1" t="str">
        <f t="shared" si="8"/>
        <v>B. B. The head is of an African warrior</v>
      </c>
      <c r="P72" s="1" t="str">
        <f t="shared" si="9"/>
        <v>C. C. The head symbolizes a culture that left us no evidence in writing</v>
      </c>
      <c r="Q72" s="1" t="str">
        <f t="shared" si="10"/>
        <v>D. D. Heads were discovered in Ife at the turn of the last century</v>
      </c>
    </row>
    <row r="73" spans="1:17" ht="15" customHeight="1" x14ac:dyDescent="0.25">
      <c r="A73" s="11"/>
      <c r="B73" s="11"/>
      <c r="C73" s="11"/>
      <c r="D73" s="11"/>
      <c r="E73" s="11">
        <v>32</v>
      </c>
      <c r="F73" s="11" t="s">
        <v>2044</v>
      </c>
      <c r="G73" s="13" t="s">
        <v>438</v>
      </c>
      <c r="H73" s="13">
        <v>1</v>
      </c>
      <c r="I73" s="13">
        <v>20</v>
      </c>
      <c r="J73" s="13" t="s">
        <v>397</v>
      </c>
      <c r="K73" s="13" t="s">
        <v>403</v>
      </c>
      <c r="L73" s="13" t="s">
        <v>2088</v>
      </c>
      <c r="M73" s="13" t="s">
        <v>2089</v>
      </c>
      <c r="N73" s="47" t="str">
        <f t="shared" si="7"/>
        <v>A. A. Current conflicts show a sense of ideology</v>
      </c>
      <c r="O73" s="1" t="str">
        <f t="shared" si="8"/>
        <v>B. B. Previous liberation movements wanted to change society</v>
      </c>
      <c r="P73" s="1" t="str">
        <f t="shared" si="9"/>
        <v>C. C. Nowadays  whole societies back criminal groups</v>
      </c>
      <c r="Q73" s="1" t="str">
        <f t="shared" si="10"/>
        <v>D. D. The aim of the liberation movement in Eritrea was literacy</v>
      </c>
    </row>
    <row r="74" spans="1:17" ht="15" customHeight="1" x14ac:dyDescent="0.25">
      <c r="A74" s="11"/>
      <c r="B74" s="11"/>
      <c r="C74" s="11"/>
      <c r="D74" s="11"/>
      <c r="E74" s="11">
        <v>33</v>
      </c>
      <c r="F74" s="11" t="s">
        <v>2045</v>
      </c>
      <c r="G74" s="13" t="s">
        <v>437</v>
      </c>
      <c r="H74" s="13">
        <v>1</v>
      </c>
      <c r="I74" s="13">
        <v>20</v>
      </c>
      <c r="J74" s="13" t="s">
        <v>398</v>
      </c>
      <c r="K74" s="13" t="s">
        <v>404</v>
      </c>
      <c r="L74" s="13" t="s">
        <v>2090</v>
      </c>
      <c r="M74" s="13" t="s">
        <v>2091</v>
      </c>
      <c r="N74" s="47" t="str">
        <f t="shared" si="7"/>
        <v>A. A. He likes to wear the traditional dress of the Cofan Indians</v>
      </c>
      <c r="O74" s="1" t="str">
        <f t="shared" si="8"/>
        <v>B. B. He helps them to acquire rainforest territory</v>
      </c>
      <c r="P74" s="1" t="str">
        <f t="shared" si="9"/>
        <v>C. C. He took Cofan lessons before coming to Ecuador</v>
      </c>
      <c r="Q74" s="1" t="str">
        <f t="shared" si="10"/>
        <v>D. D. He doesn’t mind living in a forest</v>
      </c>
    </row>
    <row r="75" spans="1:17" ht="15" customHeight="1" x14ac:dyDescent="0.25">
      <c r="A75" s="11"/>
      <c r="B75" s="11"/>
      <c r="C75" s="11"/>
      <c r="D75" s="11"/>
      <c r="E75" s="11">
        <v>34</v>
      </c>
      <c r="F75" s="11" t="s">
        <v>2046</v>
      </c>
      <c r="G75" s="13" t="s">
        <v>436</v>
      </c>
      <c r="H75" s="13">
        <v>1</v>
      </c>
      <c r="I75" s="13">
        <v>20</v>
      </c>
      <c r="J75" s="13" t="s">
        <v>399</v>
      </c>
      <c r="K75" s="13" t="s">
        <v>2092</v>
      </c>
      <c r="L75" s="13" t="s">
        <v>409</v>
      </c>
      <c r="M75" s="13" t="s">
        <v>2093</v>
      </c>
      <c r="N75" s="47" t="str">
        <f t="shared" si="7"/>
        <v>A. A. Several assassination attempts on Ted Kennedy’s life</v>
      </c>
      <c r="O75" s="1" t="str">
        <f t="shared" si="8"/>
        <v>B. B. That Ted Kennedy killed someone</v>
      </c>
      <c r="P75" s="1" t="str">
        <f t="shared" si="9"/>
        <v>C. C. The Kennedys  were partial to being monitored</v>
      </c>
      <c r="Q75" s="1" t="str">
        <f t="shared" si="10"/>
        <v>D. D. That Ted Kennedy’s life  was continuously under threat</v>
      </c>
    </row>
    <row r="76" spans="1:17" ht="15" customHeight="1" x14ac:dyDescent="0.25">
      <c r="A76" s="11"/>
      <c r="B76" s="11"/>
      <c r="C76" s="11"/>
      <c r="D76" s="11"/>
      <c r="E76" s="11">
        <v>35</v>
      </c>
      <c r="F76" s="11" t="s">
        <v>2047</v>
      </c>
      <c r="G76" s="13" t="s">
        <v>435</v>
      </c>
      <c r="H76" s="13">
        <v>1</v>
      </c>
      <c r="I76" s="13">
        <v>20</v>
      </c>
      <c r="J76" s="13" t="s">
        <v>2094</v>
      </c>
      <c r="K76" s="13" t="s">
        <v>2095</v>
      </c>
      <c r="L76" s="13" t="s">
        <v>2096</v>
      </c>
      <c r="M76" s="13" t="s">
        <v>2097</v>
      </c>
      <c r="N76" s="47" t="str">
        <f t="shared" si="7"/>
        <v>A. A. Clyde Marcel operates a dating agency</v>
      </c>
      <c r="O76" s="1" t="str">
        <f t="shared" si="8"/>
        <v>B. B. Beach weddings are no longer an attractive option for couples</v>
      </c>
      <c r="P76" s="1" t="str">
        <f t="shared" si="9"/>
        <v>C. C. Tar balls and oil mousse attract people to the Mississippi coast</v>
      </c>
      <c r="Q76" s="1" t="str">
        <f t="shared" si="10"/>
        <v>D. D. Clyde is worried about his health</v>
      </c>
    </row>
    <row r="77" spans="1:17" ht="15" customHeight="1" x14ac:dyDescent="0.25">
      <c r="A77" s="11"/>
      <c r="B77" s="11"/>
      <c r="C77" s="11"/>
      <c r="D77" s="11"/>
      <c r="E77" s="11">
        <v>36</v>
      </c>
      <c r="F77" s="11" t="s">
        <v>2048</v>
      </c>
      <c r="G77" s="13" t="s">
        <v>434</v>
      </c>
      <c r="H77" s="13">
        <v>1</v>
      </c>
      <c r="I77" s="13">
        <v>20</v>
      </c>
      <c r="J77" s="13" t="s">
        <v>2098</v>
      </c>
      <c r="K77" s="13" t="s">
        <v>2099</v>
      </c>
      <c r="L77" s="13" t="s">
        <v>2100</v>
      </c>
      <c r="M77" s="13" t="s">
        <v>2101</v>
      </c>
      <c r="N77" s="47" t="str">
        <f t="shared" si="7"/>
        <v xml:space="preserve">A. A. The  US has intervened to bring about the amnesty </v>
      </c>
      <c r="O77" s="1" t="str">
        <f t="shared" si="8"/>
        <v>B. B. Relations between the Catholic Church and Cuba have improved</v>
      </c>
      <c r="P77" s="1" t="str">
        <f t="shared" si="9"/>
        <v>C. C. Fidel Castro released all prisoners when he came to power</v>
      </c>
      <c r="Q77" s="1" t="str">
        <f t="shared" si="10"/>
        <v>D. D. Such a large number of prisoners has never been released</v>
      </c>
    </row>
    <row r="78" spans="1:17" ht="15" customHeight="1" x14ac:dyDescent="0.25">
      <c r="A78" s="11"/>
      <c r="B78" s="11"/>
      <c r="C78" s="11"/>
      <c r="D78" s="11"/>
      <c r="E78" s="11">
        <v>37</v>
      </c>
      <c r="F78" s="11" t="s">
        <v>2049</v>
      </c>
      <c r="G78" s="13" t="s">
        <v>433</v>
      </c>
      <c r="H78" s="13">
        <v>1</v>
      </c>
      <c r="I78" s="13">
        <v>20</v>
      </c>
      <c r="J78" s="13" t="s">
        <v>2102</v>
      </c>
      <c r="K78" s="13" t="s">
        <v>2103</v>
      </c>
      <c r="L78" s="13" t="s">
        <v>2104</v>
      </c>
      <c r="M78" s="13" t="s">
        <v>2105</v>
      </c>
      <c r="N78" s="47" t="str">
        <f t="shared" si="7"/>
        <v>A. A. Gliding in loops</v>
      </c>
      <c r="O78" s="1" t="str">
        <f t="shared" si="8"/>
        <v>B. B. The Jura mountains</v>
      </c>
      <c r="P78" s="1" t="str">
        <f t="shared" si="9"/>
        <v>C. C. The plane made no noise</v>
      </c>
      <c r="Q78" s="1" t="str">
        <f t="shared" si="10"/>
        <v>D. D. There was so much sunlight</v>
      </c>
    </row>
    <row r="79" spans="1:17" ht="15" customHeight="1" x14ac:dyDescent="0.25">
      <c r="A79" s="11"/>
      <c r="B79" s="11"/>
      <c r="C79" s="11"/>
      <c r="D79" s="11"/>
      <c r="E79" s="11">
        <v>38</v>
      </c>
      <c r="F79" s="11" t="s">
        <v>2050</v>
      </c>
      <c r="G79" s="13" t="s">
        <v>432</v>
      </c>
      <c r="H79" s="13">
        <v>1</v>
      </c>
      <c r="I79" s="13">
        <v>20</v>
      </c>
      <c r="J79" s="13" t="s">
        <v>555</v>
      </c>
      <c r="K79" s="13" t="s">
        <v>596</v>
      </c>
      <c r="L79" s="13" t="s">
        <v>633</v>
      </c>
      <c r="M79" s="13" t="s">
        <v>663</v>
      </c>
      <c r="N79" s="47" t="str">
        <f t="shared" si="7"/>
        <v>A. A. She spent eighty four days in prison</v>
      </c>
      <c r="O79" s="1" t="str">
        <f t="shared" si="8"/>
        <v xml:space="preserve">B. B. She has already had problems with the law </v>
      </c>
      <c r="P79" s="1" t="str">
        <f t="shared" si="9"/>
        <v>C. C. She failed a course on in adult education</v>
      </c>
      <c r="Q79" s="1" t="str">
        <f t="shared" si="10"/>
        <v>D. D. She was sentenced to immediate imprisonment</v>
      </c>
    </row>
    <row r="80" spans="1:17" ht="15" customHeight="1" x14ac:dyDescent="0.25">
      <c r="A80" s="11"/>
      <c r="B80" s="11"/>
      <c r="C80" s="11"/>
      <c r="D80" s="11"/>
      <c r="E80" s="11">
        <v>39</v>
      </c>
      <c r="F80" s="11" t="s">
        <v>2051</v>
      </c>
      <c r="G80" s="13" t="s">
        <v>431</v>
      </c>
      <c r="H80" s="13">
        <v>1</v>
      </c>
      <c r="I80" s="13">
        <v>20</v>
      </c>
      <c r="J80" s="13" t="s">
        <v>556</v>
      </c>
      <c r="K80" s="13" t="s">
        <v>595</v>
      </c>
      <c r="L80" s="13" t="s">
        <v>634</v>
      </c>
      <c r="M80" s="13" t="s">
        <v>2106</v>
      </c>
      <c r="N80" s="47" t="str">
        <f t="shared" si="7"/>
        <v>A. A. The extract considers the little-known side of food processing</v>
      </c>
      <c r="O80" s="1" t="str">
        <f t="shared" si="8"/>
        <v>B. B. The jam was tasted before the pails were sealed</v>
      </c>
      <c r="P80" s="1" t="str">
        <f t="shared" si="9"/>
        <v>C. C. Flies are part and parcel of jam making</v>
      </c>
      <c r="Q80" s="1" t="str">
        <f t="shared" si="10"/>
        <v>D. D. Filling  your trolley in the store, you think of food processing</v>
      </c>
    </row>
    <row r="81" spans="1:17" ht="15" customHeight="1" x14ac:dyDescent="0.25">
      <c r="A81" s="11"/>
      <c r="B81" s="11"/>
      <c r="C81" s="11"/>
      <c r="D81" s="11"/>
      <c r="E81" s="11">
        <v>40</v>
      </c>
      <c r="F81" s="11" t="s">
        <v>2052</v>
      </c>
      <c r="G81" s="13" t="s">
        <v>430</v>
      </c>
      <c r="H81" s="13">
        <v>1</v>
      </c>
      <c r="I81" s="13">
        <v>20</v>
      </c>
      <c r="J81" s="13" t="s">
        <v>557</v>
      </c>
      <c r="K81" s="13" t="s">
        <v>2107</v>
      </c>
      <c r="L81" s="13" t="s">
        <v>635</v>
      </c>
      <c r="M81" s="13" t="s">
        <v>661</v>
      </c>
      <c r="N81" s="47" t="str">
        <f t="shared" si="7"/>
        <v xml:space="preserve">A. A. Police are going to be tough on everyone in the street </v>
      </c>
      <c r="O81" s="1" t="str">
        <f t="shared" si="8"/>
        <v>B. B. Staying  away from school will be a serious offence</v>
      </c>
      <c r="P81" s="1" t="str">
        <f t="shared" si="9"/>
        <v>C. C. Youth workers will help sweep the streets during the crackdown</v>
      </c>
      <c r="Q81" s="1" t="str">
        <f t="shared" si="10"/>
        <v>D. D. Stealing among young offenders will be targeted</v>
      </c>
    </row>
    <row r="82" spans="1:17" x14ac:dyDescent="0.25">
      <c r="A82" s="12"/>
      <c r="B82" s="12"/>
      <c r="C82" s="12">
        <v>3</v>
      </c>
      <c r="D82" s="12" t="s">
        <v>153</v>
      </c>
      <c r="E82" s="12">
        <v>1</v>
      </c>
      <c r="F82" s="19" t="s">
        <v>154</v>
      </c>
      <c r="G82" s="12" t="s">
        <v>742</v>
      </c>
      <c r="H82" s="12">
        <v>1</v>
      </c>
      <c r="I82" s="12">
        <v>20</v>
      </c>
      <c r="J82" s="12" t="s">
        <v>542</v>
      </c>
      <c r="K82" s="12" t="s">
        <v>717</v>
      </c>
      <c r="L82" s="12" t="s">
        <v>718</v>
      </c>
      <c r="M82" s="12" t="s">
        <v>674</v>
      </c>
      <c r="N82" s="47" t="str">
        <f t="shared" si="7"/>
        <v>A. A. Billy wakes up early.</v>
      </c>
    </row>
    <row r="83" spans="1:17" x14ac:dyDescent="0.25">
      <c r="A83" s="12"/>
      <c r="B83" s="12"/>
      <c r="C83" s="12"/>
      <c r="D83" s="12" t="s">
        <v>1253</v>
      </c>
      <c r="E83" s="12">
        <v>2</v>
      </c>
      <c r="F83" s="19" t="s">
        <v>56</v>
      </c>
      <c r="G83" s="12" t="s">
        <v>743</v>
      </c>
      <c r="H83" s="12">
        <v>1</v>
      </c>
      <c r="I83" s="12">
        <v>20</v>
      </c>
      <c r="J83" s="12" t="s">
        <v>543</v>
      </c>
      <c r="K83" s="12" t="s">
        <v>575</v>
      </c>
      <c r="L83" s="12" t="s">
        <v>609</v>
      </c>
      <c r="M83" s="12" t="s">
        <v>719</v>
      </c>
      <c r="N83" s="47" t="str">
        <f t="shared" si="7"/>
        <v>A. A. I find it hard to live without the Internet.</v>
      </c>
    </row>
    <row r="84" spans="1:17" x14ac:dyDescent="0.25">
      <c r="A84" s="12"/>
      <c r="B84" s="12"/>
      <c r="C84" s="12"/>
      <c r="D84" s="12" t="s">
        <v>16</v>
      </c>
      <c r="E84" s="12">
        <v>3</v>
      </c>
      <c r="F84" s="19" t="s">
        <v>57</v>
      </c>
      <c r="G84" s="12" t="s">
        <v>744</v>
      </c>
      <c r="H84" s="12">
        <v>1</v>
      </c>
      <c r="I84" s="12">
        <v>20</v>
      </c>
      <c r="J84" s="12" t="s">
        <v>544</v>
      </c>
      <c r="K84" s="12" t="s">
        <v>576</v>
      </c>
      <c r="L84" s="12" t="s">
        <v>720</v>
      </c>
      <c r="M84" s="12" t="s">
        <v>721</v>
      </c>
      <c r="N84" s="47" t="str">
        <f t="shared" si="7"/>
        <v>A. A. Your mother wants to speak to you.</v>
      </c>
    </row>
    <row r="85" spans="1:17" x14ac:dyDescent="0.25">
      <c r="A85" s="12"/>
      <c r="B85" s="12"/>
      <c r="C85" s="12"/>
      <c r="D85" s="12"/>
      <c r="E85" s="12">
        <v>4</v>
      </c>
      <c r="F85" s="19" t="s">
        <v>155</v>
      </c>
      <c r="G85" s="12" t="s">
        <v>745</v>
      </c>
      <c r="H85" s="12">
        <v>1</v>
      </c>
      <c r="I85" s="12">
        <v>20</v>
      </c>
      <c r="J85" s="12" t="s">
        <v>722</v>
      </c>
      <c r="K85" s="12" t="s">
        <v>608</v>
      </c>
      <c r="L85" s="12" t="s">
        <v>610</v>
      </c>
      <c r="M85" s="12" t="s">
        <v>673</v>
      </c>
      <c r="N85" s="47" t="str">
        <f t="shared" si="7"/>
        <v>A. A. He and Raymond can't stand each other anymore.</v>
      </c>
    </row>
    <row r="86" spans="1:17" x14ac:dyDescent="0.25">
      <c r="A86" s="12"/>
      <c r="B86" s="12"/>
      <c r="C86" s="12"/>
      <c r="D86" s="12"/>
      <c r="E86" s="12">
        <v>5</v>
      </c>
      <c r="F86" s="19" t="s">
        <v>156</v>
      </c>
      <c r="G86" s="12" t="s">
        <v>746</v>
      </c>
      <c r="H86" s="12">
        <v>1</v>
      </c>
      <c r="I86" s="12">
        <v>20</v>
      </c>
      <c r="J86" s="12" t="s">
        <v>723</v>
      </c>
      <c r="K86" s="12" t="s">
        <v>607</v>
      </c>
      <c r="L86" s="12" t="s">
        <v>611</v>
      </c>
      <c r="M86" s="12" t="s">
        <v>672</v>
      </c>
      <c r="N86" s="47" t="str">
        <f t="shared" si="7"/>
        <v>A. A. I wasn't interested in finding the school.</v>
      </c>
    </row>
    <row r="87" spans="1:17" x14ac:dyDescent="0.25">
      <c r="A87" s="12"/>
      <c r="B87" s="12"/>
      <c r="C87" s="12"/>
      <c r="D87" s="12"/>
      <c r="E87" s="12">
        <v>6</v>
      </c>
      <c r="F87" s="19" t="s">
        <v>157</v>
      </c>
      <c r="G87" s="12" t="s">
        <v>747</v>
      </c>
      <c r="H87" s="12">
        <v>1</v>
      </c>
      <c r="I87" s="12">
        <v>20</v>
      </c>
      <c r="J87" s="12" t="s">
        <v>724</v>
      </c>
      <c r="K87" s="12" t="s">
        <v>606</v>
      </c>
      <c r="L87" s="12" t="s">
        <v>612</v>
      </c>
      <c r="M87" s="12" t="s">
        <v>725</v>
      </c>
      <c r="N87" s="47" t="str">
        <f t="shared" si="7"/>
        <v>A. A. Receive the woman's calls for her.</v>
      </c>
    </row>
    <row r="88" spans="1:17" x14ac:dyDescent="0.25">
      <c r="A88" s="12"/>
      <c r="B88" s="12"/>
      <c r="C88" s="12"/>
      <c r="D88" s="12"/>
      <c r="E88" s="12">
        <v>7</v>
      </c>
      <c r="F88" s="19" t="s">
        <v>158</v>
      </c>
      <c r="G88" s="12" t="s">
        <v>748</v>
      </c>
      <c r="H88" s="12">
        <v>1</v>
      </c>
      <c r="I88" s="12">
        <v>20</v>
      </c>
      <c r="J88" s="12" t="s">
        <v>726</v>
      </c>
      <c r="K88" s="12" t="s">
        <v>605</v>
      </c>
      <c r="L88" s="12" t="s">
        <v>727</v>
      </c>
      <c r="M88" s="12" t="s">
        <v>728</v>
      </c>
      <c r="N88" s="47" t="str">
        <f t="shared" si="7"/>
        <v>A. A. The man's culinary skills are not as bad as he thinks.</v>
      </c>
    </row>
    <row r="89" spans="1:17" x14ac:dyDescent="0.25">
      <c r="A89" s="12"/>
      <c r="B89" s="12"/>
      <c r="C89" s="12"/>
      <c r="D89" s="12"/>
      <c r="E89" s="12">
        <v>8</v>
      </c>
      <c r="F89" s="19" t="s">
        <v>159</v>
      </c>
      <c r="G89" s="12" t="s">
        <v>749</v>
      </c>
      <c r="H89" s="12">
        <v>1</v>
      </c>
      <c r="I89" s="12">
        <v>20</v>
      </c>
      <c r="J89" s="12" t="s">
        <v>545</v>
      </c>
      <c r="K89" s="12" t="s">
        <v>729</v>
      </c>
      <c r="L89" s="12" t="s">
        <v>613</v>
      </c>
      <c r="M89" s="12" t="s">
        <v>730</v>
      </c>
      <c r="N89" s="47" t="str">
        <f t="shared" si="7"/>
        <v>A. A. He gave Mary the sandwich that made her ill.</v>
      </c>
    </row>
    <row r="90" spans="1:17" x14ac:dyDescent="0.25">
      <c r="A90" s="12"/>
      <c r="B90" s="12"/>
      <c r="C90" s="12"/>
      <c r="D90" s="12"/>
      <c r="E90" s="12">
        <v>9</v>
      </c>
      <c r="F90" s="19" t="s">
        <v>160</v>
      </c>
      <c r="G90" s="12" t="s">
        <v>750</v>
      </c>
      <c r="H90" s="12">
        <v>1</v>
      </c>
      <c r="I90" s="12">
        <v>20</v>
      </c>
      <c r="J90" s="12" t="s">
        <v>546</v>
      </c>
      <c r="K90" s="12" t="s">
        <v>731</v>
      </c>
      <c r="L90" s="12" t="s">
        <v>614</v>
      </c>
      <c r="M90" s="12" t="s">
        <v>732</v>
      </c>
      <c r="N90" s="47" t="str">
        <f t="shared" ref="N90:N121" si="11">CONCATENATE("A. ",(J90))</f>
        <v>A. A. The woman is not yet in possession of the file.</v>
      </c>
    </row>
    <row r="91" spans="1:17" x14ac:dyDescent="0.25">
      <c r="A91" s="12"/>
      <c r="B91" s="12"/>
      <c r="C91" s="12"/>
      <c r="D91" s="12"/>
      <c r="E91" s="12">
        <v>10</v>
      </c>
      <c r="F91" s="19" t="s">
        <v>161</v>
      </c>
      <c r="G91" s="12" t="s">
        <v>468</v>
      </c>
      <c r="H91" s="12">
        <v>1</v>
      </c>
      <c r="I91" s="12">
        <v>20</v>
      </c>
      <c r="J91" s="12" t="s">
        <v>547</v>
      </c>
      <c r="K91" s="12" t="s">
        <v>604</v>
      </c>
      <c r="L91" s="12" t="s">
        <v>615</v>
      </c>
      <c r="M91" s="12" t="s">
        <v>671</v>
      </c>
      <c r="N91" s="47" t="str">
        <f t="shared" si="11"/>
        <v>A. A. The current mayor is to blame for the problem.</v>
      </c>
    </row>
    <row r="92" spans="1:17" x14ac:dyDescent="0.25">
      <c r="A92" s="12"/>
      <c r="B92" s="12"/>
      <c r="C92" s="12"/>
      <c r="D92" s="12"/>
      <c r="E92" s="12">
        <v>11</v>
      </c>
      <c r="F92" s="19" t="s">
        <v>162</v>
      </c>
      <c r="G92" s="12" t="s">
        <v>467</v>
      </c>
      <c r="H92" s="12">
        <v>1</v>
      </c>
      <c r="I92" s="12">
        <v>20</v>
      </c>
      <c r="J92" s="12" t="s">
        <v>548</v>
      </c>
      <c r="K92" s="12" t="s">
        <v>603</v>
      </c>
      <c r="L92" s="12" t="s">
        <v>733</v>
      </c>
      <c r="M92" s="12" t="s">
        <v>670</v>
      </c>
      <c r="N92" s="47" t="str">
        <f t="shared" si="11"/>
        <v>A. A. She was speechless when she heard the news.</v>
      </c>
    </row>
    <row r="93" spans="1:17" x14ac:dyDescent="0.25">
      <c r="A93" s="12"/>
      <c r="B93" s="12"/>
      <c r="C93" s="12"/>
      <c r="D93" s="12"/>
      <c r="E93" s="12">
        <v>12</v>
      </c>
      <c r="F93" s="19" t="s">
        <v>163</v>
      </c>
      <c r="G93" s="12" t="s">
        <v>466</v>
      </c>
      <c r="H93" s="12">
        <v>1</v>
      </c>
      <c r="I93" s="12">
        <v>20</v>
      </c>
      <c r="J93" s="12" t="s">
        <v>549</v>
      </c>
      <c r="K93" s="12" t="s">
        <v>602</v>
      </c>
      <c r="L93" s="12" t="s">
        <v>616</v>
      </c>
      <c r="M93" s="12" t="s">
        <v>669</v>
      </c>
      <c r="N93" s="47" t="str">
        <f t="shared" si="11"/>
        <v>A. A. The sooner they finish the assignment the better</v>
      </c>
    </row>
    <row r="94" spans="1:17" x14ac:dyDescent="0.25">
      <c r="A94" s="12"/>
      <c r="B94" s="12"/>
      <c r="C94" s="12"/>
      <c r="D94" s="12"/>
      <c r="E94" s="12">
        <v>13</v>
      </c>
      <c r="F94" s="19" t="s">
        <v>164</v>
      </c>
      <c r="G94" s="12" t="s">
        <v>465</v>
      </c>
      <c r="H94" s="12">
        <v>1</v>
      </c>
      <c r="I94" s="12">
        <v>20</v>
      </c>
      <c r="J94" s="12" t="s">
        <v>734</v>
      </c>
      <c r="K94" s="12" t="s">
        <v>735</v>
      </c>
      <c r="L94" s="12" t="s">
        <v>617</v>
      </c>
      <c r="M94" s="12" t="s">
        <v>736</v>
      </c>
      <c r="N94" s="47" t="str">
        <f t="shared" si="11"/>
        <v>A. A. He doesn't want Chloe to fret.</v>
      </c>
    </row>
    <row r="95" spans="1:17" x14ac:dyDescent="0.25">
      <c r="A95" s="12"/>
      <c r="B95" s="12"/>
      <c r="C95" s="12"/>
      <c r="D95" s="12"/>
      <c r="E95" s="12">
        <v>14</v>
      </c>
      <c r="F95" s="19" t="s">
        <v>165</v>
      </c>
      <c r="G95" s="12" t="s">
        <v>464</v>
      </c>
      <c r="H95" s="12">
        <v>1</v>
      </c>
      <c r="I95" s="12">
        <v>20</v>
      </c>
      <c r="J95" s="12" t="s">
        <v>550</v>
      </c>
      <c r="K95" s="12" t="s">
        <v>601</v>
      </c>
      <c r="L95" s="12" t="s">
        <v>618</v>
      </c>
      <c r="M95" s="12" t="s">
        <v>737</v>
      </c>
      <c r="N95" s="47" t="str">
        <f t="shared" si="11"/>
        <v>A. A. The police left the card behind.</v>
      </c>
    </row>
    <row r="96" spans="1:17" x14ac:dyDescent="0.25">
      <c r="A96" s="12"/>
      <c r="B96" s="12"/>
      <c r="C96" s="12"/>
      <c r="D96" s="12"/>
      <c r="E96" s="12">
        <v>15</v>
      </c>
      <c r="F96" s="19" t="s">
        <v>166</v>
      </c>
      <c r="G96" s="12" t="s">
        <v>463</v>
      </c>
      <c r="H96" s="12">
        <v>1</v>
      </c>
      <c r="I96" s="12">
        <v>20</v>
      </c>
      <c r="J96" s="12" t="s">
        <v>551</v>
      </c>
      <c r="K96" s="12" t="s">
        <v>738</v>
      </c>
      <c r="L96" s="12" t="s">
        <v>619</v>
      </c>
      <c r="M96" s="12" t="s">
        <v>739</v>
      </c>
      <c r="N96" s="47" t="str">
        <f t="shared" si="11"/>
        <v>A. A. She knew taxes were going to rise.</v>
      </c>
    </row>
    <row r="97" spans="1:14" x14ac:dyDescent="0.25">
      <c r="A97" s="12"/>
      <c r="B97" s="12"/>
      <c r="C97" s="12"/>
      <c r="D97" s="12"/>
      <c r="E97" s="12">
        <v>16</v>
      </c>
      <c r="F97" s="19" t="s">
        <v>167</v>
      </c>
      <c r="G97" s="12" t="s">
        <v>462</v>
      </c>
      <c r="H97" s="12">
        <v>1</v>
      </c>
      <c r="I97" s="12">
        <v>20</v>
      </c>
      <c r="J97" s="12" t="s">
        <v>552</v>
      </c>
      <c r="K97" s="12" t="s">
        <v>600</v>
      </c>
      <c r="L97" s="12" t="s">
        <v>620</v>
      </c>
      <c r="M97" s="12" t="s">
        <v>668</v>
      </c>
      <c r="N97" s="47" t="str">
        <f t="shared" si="11"/>
        <v>A. A. The restaurant has moved to a new location.</v>
      </c>
    </row>
    <row r="98" spans="1:14" x14ac:dyDescent="0.25">
      <c r="A98" s="12"/>
      <c r="B98" s="12"/>
      <c r="C98" s="12"/>
      <c r="D98" s="12"/>
      <c r="E98" s="12">
        <v>17</v>
      </c>
      <c r="F98" s="19" t="s">
        <v>384</v>
      </c>
      <c r="G98" s="12" t="s">
        <v>461</v>
      </c>
      <c r="H98" s="12">
        <v>1</v>
      </c>
      <c r="I98" s="12">
        <v>20</v>
      </c>
      <c r="J98" s="12" t="s">
        <v>553</v>
      </c>
      <c r="K98" s="12" t="s">
        <v>599</v>
      </c>
      <c r="L98" s="12" t="s">
        <v>621</v>
      </c>
      <c r="M98" s="12" t="s">
        <v>667</v>
      </c>
      <c r="N98" s="47" t="str">
        <f t="shared" si="11"/>
        <v>A. A. He believes that we are in the midst of the peak.</v>
      </c>
    </row>
    <row r="99" spans="1:14" x14ac:dyDescent="0.25">
      <c r="A99" s="12"/>
      <c r="B99" s="12"/>
      <c r="C99" s="12"/>
      <c r="D99" s="12"/>
      <c r="E99" s="12">
        <v>18</v>
      </c>
      <c r="F99" s="19" t="s">
        <v>168</v>
      </c>
      <c r="G99" s="12" t="s">
        <v>469</v>
      </c>
      <c r="H99" s="12">
        <v>1</v>
      </c>
      <c r="I99" s="12">
        <v>20</v>
      </c>
      <c r="J99" s="12" t="s">
        <v>554</v>
      </c>
      <c r="K99" s="12" t="s">
        <v>598</v>
      </c>
      <c r="L99" s="12" t="s">
        <v>630</v>
      </c>
      <c r="M99" s="12" t="s">
        <v>666</v>
      </c>
      <c r="N99" s="47" t="str">
        <f t="shared" si="11"/>
        <v>A. A. If the other man had ever stolen anything .</v>
      </c>
    </row>
    <row r="100" spans="1:14" x14ac:dyDescent="0.25">
      <c r="A100" s="12"/>
      <c r="B100" s="12"/>
      <c r="C100" s="12"/>
      <c r="D100" s="12"/>
      <c r="E100" s="12">
        <v>19</v>
      </c>
      <c r="F100" s="19" t="s">
        <v>151</v>
      </c>
      <c r="G100" s="12" t="s">
        <v>470</v>
      </c>
      <c r="H100" s="12">
        <v>1</v>
      </c>
      <c r="I100" s="12">
        <v>20</v>
      </c>
      <c r="J100" s="12" t="s">
        <v>715</v>
      </c>
      <c r="K100" s="12" t="s">
        <v>716</v>
      </c>
      <c r="L100" s="12" t="s">
        <v>631</v>
      </c>
      <c r="M100" s="12" t="s">
        <v>665</v>
      </c>
      <c r="N100" s="47" t="str">
        <f t="shared" si="11"/>
        <v>A. A. He believes the problem shouldn't have become a crisis.</v>
      </c>
    </row>
    <row r="101" spans="1:14" x14ac:dyDescent="0.25">
      <c r="A101" s="12"/>
      <c r="B101" s="12"/>
      <c r="C101" s="12"/>
      <c r="D101" s="12"/>
      <c r="E101" s="12">
        <v>20</v>
      </c>
      <c r="F101" s="19" t="s">
        <v>74</v>
      </c>
      <c r="G101" s="12" t="s">
        <v>471</v>
      </c>
      <c r="H101" s="12">
        <v>1</v>
      </c>
      <c r="I101" s="12">
        <v>20</v>
      </c>
      <c r="J101" s="12" t="s">
        <v>740</v>
      </c>
      <c r="K101" s="12" t="s">
        <v>597</v>
      </c>
      <c r="L101" s="12" t="s">
        <v>632</v>
      </c>
      <c r="M101" s="12" t="s">
        <v>664</v>
      </c>
      <c r="N101" s="47" t="str">
        <f t="shared" si="11"/>
        <v>A. A. A war journalist shouldn't always depend on the skill of the unit.</v>
      </c>
    </row>
    <row r="102" spans="1:14" x14ac:dyDescent="0.25">
      <c r="A102" s="12"/>
      <c r="B102" s="12"/>
      <c r="C102" s="12"/>
      <c r="D102" s="12"/>
      <c r="E102" s="12">
        <v>21</v>
      </c>
      <c r="F102" s="19" t="s">
        <v>523</v>
      </c>
      <c r="G102" s="12" t="s">
        <v>472</v>
      </c>
      <c r="H102" s="12">
        <v>1</v>
      </c>
      <c r="I102" s="12">
        <v>20</v>
      </c>
      <c r="J102" s="12" t="s">
        <v>555</v>
      </c>
      <c r="K102" s="12" t="s">
        <v>596</v>
      </c>
      <c r="L102" s="12" t="s">
        <v>633</v>
      </c>
      <c r="M102" s="12" t="s">
        <v>663</v>
      </c>
      <c r="N102" s="47" t="str">
        <f t="shared" si="11"/>
        <v>A. A. She spent eighty four days in prison</v>
      </c>
    </row>
    <row r="103" spans="1:14" x14ac:dyDescent="0.25">
      <c r="A103" s="12"/>
      <c r="B103" s="12"/>
      <c r="C103" s="12"/>
      <c r="D103" s="12"/>
      <c r="E103" s="12">
        <v>22</v>
      </c>
      <c r="F103" s="19" t="s">
        <v>524</v>
      </c>
      <c r="G103" s="12" t="s">
        <v>473</v>
      </c>
      <c r="H103" s="12">
        <v>1</v>
      </c>
      <c r="I103" s="12">
        <v>20</v>
      </c>
      <c r="J103" s="12" t="s">
        <v>556</v>
      </c>
      <c r="K103" s="12" t="s">
        <v>595</v>
      </c>
      <c r="L103" s="12" t="s">
        <v>634</v>
      </c>
      <c r="M103" s="12" t="s">
        <v>662</v>
      </c>
      <c r="N103" s="47" t="str">
        <f t="shared" si="11"/>
        <v>A. A. The extract considers the little-known side of food processing</v>
      </c>
    </row>
    <row r="104" spans="1:14" x14ac:dyDescent="0.25">
      <c r="A104" s="12"/>
      <c r="B104" s="12"/>
      <c r="C104" s="12"/>
      <c r="D104" s="12"/>
      <c r="E104" s="12">
        <v>23</v>
      </c>
      <c r="F104" s="19" t="s">
        <v>525</v>
      </c>
      <c r="G104" s="12" t="s">
        <v>474</v>
      </c>
      <c r="H104" s="12">
        <v>1</v>
      </c>
      <c r="I104" s="12">
        <v>20</v>
      </c>
      <c r="J104" s="12" t="s">
        <v>557</v>
      </c>
      <c r="K104" s="12" t="s">
        <v>594</v>
      </c>
      <c r="L104" s="12" t="s">
        <v>635</v>
      </c>
      <c r="M104" s="12" t="s">
        <v>661</v>
      </c>
      <c r="N104" s="47" t="str">
        <f t="shared" si="11"/>
        <v xml:space="preserve">A. A. Police are going to be tough on everyone in the street </v>
      </c>
    </row>
    <row r="105" spans="1:14" x14ac:dyDescent="0.25">
      <c r="A105" s="12"/>
      <c r="B105" s="12"/>
      <c r="C105" s="12"/>
      <c r="D105" s="12"/>
      <c r="E105" s="12">
        <v>24</v>
      </c>
      <c r="F105" s="19" t="s">
        <v>526</v>
      </c>
      <c r="G105" s="12" t="s">
        <v>475</v>
      </c>
      <c r="H105" s="12">
        <v>1</v>
      </c>
      <c r="I105" s="12">
        <v>20</v>
      </c>
      <c r="J105" s="12" t="s">
        <v>558</v>
      </c>
      <c r="K105" s="12" t="s">
        <v>593</v>
      </c>
      <c r="L105" s="12" t="s">
        <v>636</v>
      </c>
      <c r="M105" s="12" t="s">
        <v>660</v>
      </c>
      <c r="N105" s="47" t="str">
        <f t="shared" si="11"/>
        <v xml:space="preserve">A. A. He won despite suffering  from his knee injury during the match </v>
      </c>
    </row>
    <row r="106" spans="1:14" x14ac:dyDescent="0.25">
      <c r="A106" s="12"/>
      <c r="B106" s="12"/>
      <c r="C106" s="12"/>
      <c r="D106" s="12"/>
      <c r="E106" s="12">
        <v>25</v>
      </c>
      <c r="F106" s="19" t="s">
        <v>527</v>
      </c>
      <c r="G106" s="12" t="s">
        <v>476</v>
      </c>
      <c r="H106" s="12">
        <v>1</v>
      </c>
      <c r="I106" s="12">
        <v>20</v>
      </c>
      <c r="J106" s="12" t="s">
        <v>559</v>
      </c>
      <c r="K106" s="12" t="s">
        <v>592</v>
      </c>
      <c r="L106" s="12" t="s">
        <v>637</v>
      </c>
      <c r="M106" s="12" t="s">
        <v>659</v>
      </c>
      <c r="N106" s="47" t="str">
        <f t="shared" si="11"/>
        <v>A. A. They robbed an art gallery</v>
      </c>
    </row>
    <row r="107" spans="1:14" x14ac:dyDescent="0.25">
      <c r="A107" s="12"/>
      <c r="B107" s="12"/>
      <c r="C107" s="12"/>
      <c r="D107" s="12"/>
      <c r="E107" s="12">
        <v>26</v>
      </c>
      <c r="F107" s="19" t="s">
        <v>528</v>
      </c>
      <c r="G107" s="12" t="s">
        <v>477</v>
      </c>
      <c r="H107" s="12">
        <v>1</v>
      </c>
      <c r="I107" s="12">
        <v>20</v>
      </c>
      <c r="J107" s="12" t="s">
        <v>560</v>
      </c>
      <c r="K107" s="12" t="s">
        <v>591</v>
      </c>
      <c r="L107" s="12" t="s">
        <v>638</v>
      </c>
      <c r="M107" s="12" t="s">
        <v>658</v>
      </c>
      <c r="N107" s="47" t="str">
        <f t="shared" si="11"/>
        <v>A. A. Scotland Yard bugged his telephone</v>
      </c>
    </row>
    <row r="108" spans="1:14" x14ac:dyDescent="0.25">
      <c r="A108" s="12"/>
      <c r="B108" s="12"/>
      <c r="C108" s="12"/>
      <c r="D108" s="12"/>
      <c r="E108" s="12">
        <v>27</v>
      </c>
      <c r="F108" s="19" t="s">
        <v>529</v>
      </c>
      <c r="G108" s="12" t="s">
        <v>478</v>
      </c>
      <c r="H108" s="12">
        <v>1</v>
      </c>
      <c r="I108" s="12">
        <v>20</v>
      </c>
      <c r="J108" s="12" t="s">
        <v>561</v>
      </c>
      <c r="K108" s="12" t="s">
        <v>590</v>
      </c>
      <c r="L108" s="12" t="s">
        <v>639</v>
      </c>
      <c r="M108" s="12" t="s">
        <v>657</v>
      </c>
      <c r="N108" s="47" t="str">
        <f t="shared" si="11"/>
        <v>A. A. Hamas did not take part in the talks in Washington</v>
      </c>
    </row>
    <row r="109" spans="1:14" x14ac:dyDescent="0.25">
      <c r="A109" s="12"/>
      <c r="B109" s="12"/>
      <c r="C109" s="12"/>
      <c r="D109" s="12"/>
      <c r="E109" s="12">
        <v>28</v>
      </c>
      <c r="F109" s="19" t="s">
        <v>530</v>
      </c>
      <c r="G109" s="12" t="s">
        <v>479</v>
      </c>
      <c r="H109" s="12">
        <v>1</v>
      </c>
      <c r="I109" s="12">
        <v>20</v>
      </c>
      <c r="J109" s="12" t="s">
        <v>562</v>
      </c>
      <c r="K109" s="12" t="s">
        <v>589</v>
      </c>
      <c r="L109" s="12" t="s">
        <v>640</v>
      </c>
      <c r="M109" s="12" t="s">
        <v>656</v>
      </c>
      <c r="N109" s="47" t="str">
        <f t="shared" si="11"/>
        <v>A. A. It is very delicate</v>
      </c>
    </row>
    <row r="110" spans="1:14" x14ac:dyDescent="0.25">
      <c r="A110" s="12"/>
      <c r="B110" s="12"/>
      <c r="C110" s="12"/>
      <c r="D110" s="12"/>
      <c r="E110" s="12">
        <v>29</v>
      </c>
      <c r="F110" s="19" t="s">
        <v>531</v>
      </c>
      <c r="G110" s="12" t="s">
        <v>480</v>
      </c>
      <c r="H110" s="12">
        <v>1</v>
      </c>
      <c r="I110" s="12">
        <v>20</v>
      </c>
      <c r="J110" s="12" t="s">
        <v>563</v>
      </c>
      <c r="K110" s="12" t="s">
        <v>588</v>
      </c>
      <c r="L110" s="12" t="s">
        <v>641</v>
      </c>
      <c r="M110" s="12" t="s">
        <v>655</v>
      </c>
      <c r="N110" s="47" t="str">
        <f t="shared" si="11"/>
        <v>A. A. People start to drink alcohol between 16  and 24</v>
      </c>
    </row>
    <row r="111" spans="1:14" x14ac:dyDescent="0.25">
      <c r="A111" s="12"/>
      <c r="B111" s="12"/>
      <c r="C111" s="12"/>
      <c r="D111" s="12"/>
      <c r="E111" s="12">
        <v>30</v>
      </c>
      <c r="F111" s="19" t="s">
        <v>532</v>
      </c>
      <c r="G111" s="12" t="s">
        <v>481</v>
      </c>
      <c r="H111" s="12">
        <v>1</v>
      </c>
      <c r="I111" s="12">
        <v>20</v>
      </c>
      <c r="J111" s="12" t="s">
        <v>564</v>
      </c>
      <c r="K111" s="12" t="s">
        <v>587</v>
      </c>
      <c r="L111" s="12" t="s">
        <v>642</v>
      </c>
      <c r="M111" s="12" t="s">
        <v>654</v>
      </c>
      <c r="N111" s="47" t="str">
        <f t="shared" si="11"/>
        <v>A. A. He made a speech last Monday</v>
      </c>
    </row>
    <row r="112" spans="1:14" x14ac:dyDescent="0.25">
      <c r="A112" s="12"/>
      <c r="B112" s="12"/>
      <c r="C112" s="12"/>
      <c r="D112" s="12"/>
      <c r="E112" s="12">
        <v>31</v>
      </c>
      <c r="F112" s="19" t="s">
        <v>533</v>
      </c>
      <c r="G112" s="12" t="s">
        <v>482</v>
      </c>
      <c r="H112" s="12">
        <v>1</v>
      </c>
      <c r="I112" s="12">
        <v>20</v>
      </c>
      <c r="J112" s="12" t="s">
        <v>565</v>
      </c>
      <c r="K112" s="12" t="s">
        <v>586</v>
      </c>
      <c r="L112" s="12" t="s">
        <v>643</v>
      </c>
      <c r="M112" s="12" t="s">
        <v>653</v>
      </c>
      <c r="N112" s="47" t="str">
        <f t="shared" si="11"/>
        <v>A. A. Police have established the purity of drugs on the streets</v>
      </c>
    </row>
    <row r="113" spans="1:14" x14ac:dyDescent="0.25">
      <c r="A113" s="12"/>
      <c r="B113" s="12"/>
      <c r="C113" s="12"/>
      <c r="D113" s="12"/>
      <c r="E113" s="12">
        <v>32</v>
      </c>
      <c r="F113" s="19" t="s">
        <v>393</v>
      </c>
      <c r="G113" s="12" t="s">
        <v>483</v>
      </c>
      <c r="H113" s="12">
        <v>1</v>
      </c>
      <c r="I113" s="12">
        <v>20</v>
      </c>
      <c r="J113" s="12" t="s">
        <v>566</v>
      </c>
      <c r="K113" s="12" t="s">
        <v>585</v>
      </c>
      <c r="L113" s="12" t="s">
        <v>644</v>
      </c>
      <c r="M113" s="12" t="s">
        <v>652</v>
      </c>
      <c r="N113" s="47" t="str">
        <f t="shared" si="11"/>
        <v>A. A. In the Imagination Playground structures are not fixed</v>
      </c>
    </row>
    <row r="114" spans="1:14" x14ac:dyDescent="0.25">
      <c r="A114" s="12"/>
      <c r="B114" s="12"/>
      <c r="C114" s="12"/>
      <c r="D114" s="12"/>
      <c r="E114" s="12">
        <v>33</v>
      </c>
      <c r="F114" s="19" t="s">
        <v>534</v>
      </c>
      <c r="G114" s="12" t="s">
        <v>484</v>
      </c>
      <c r="H114" s="12">
        <v>1</v>
      </c>
      <c r="I114" s="12">
        <v>20</v>
      </c>
      <c r="J114" s="12" t="s">
        <v>567</v>
      </c>
      <c r="K114" s="12" t="s">
        <v>584</v>
      </c>
      <c r="L114" s="12" t="s">
        <v>629</v>
      </c>
      <c r="M114" s="12" t="s">
        <v>651</v>
      </c>
      <c r="N114" s="47" t="str">
        <f t="shared" si="11"/>
        <v>A. A. Three people were sentenced to life imprisonment</v>
      </c>
    </row>
    <row r="115" spans="1:14" x14ac:dyDescent="0.25">
      <c r="A115" s="12"/>
      <c r="B115" s="12"/>
      <c r="C115" s="12"/>
      <c r="D115" s="12"/>
      <c r="E115" s="12">
        <v>34</v>
      </c>
      <c r="F115" s="19" t="s">
        <v>535</v>
      </c>
      <c r="G115" s="12" t="s">
        <v>485</v>
      </c>
      <c r="H115" s="12">
        <v>1</v>
      </c>
      <c r="I115" s="12">
        <v>20</v>
      </c>
      <c r="J115" s="12" t="s">
        <v>568</v>
      </c>
      <c r="K115" s="12" t="s">
        <v>583</v>
      </c>
      <c r="L115" s="12" t="s">
        <v>628</v>
      </c>
      <c r="M115" s="12" t="s">
        <v>650</v>
      </c>
      <c r="N115" s="47" t="str">
        <f t="shared" si="11"/>
        <v xml:space="preserve">A. A. The Reno Cure was only for women </v>
      </c>
    </row>
    <row r="116" spans="1:14" x14ac:dyDescent="0.25">
      <c r="A116" s="12"/>
      <c r="B116" s="12"/>
      <c r="C116" s="12"/>
      <c r="D116" s="12"/>
      <c r="E116" s="12">
        <v>35</v>
      </c>
      <c r="F116" s="19" t="s">
        <v>536</v>
      </c>
      <c r="G116" s="12" t="s">
        <v>486</v>
      </c>
      <c r="H116" s="12">
        <v>1</v>
      </c>
      <c r="I116" s="12">
        <v>20</v>
      </c>
      <c r="J116" s="12" t="s">
        <v>569</v>
      </c>
      <c r="K116" s="12" t="s">
        <v>582</v>
      </c>
      <c r="L116" s="12" t="s">
        <v>627</v>
      </c>
      <c r="M116" s="12" t="s">
        <v>649</v>
      </c>
      <c r="N116" s="47" t="str">
        <f t="shared" si="11"/>
        <v>A. A. It will be closed for five years</v>
      </c>
    </row>
    <row r="117" spans="1:14" x14ac:dyDescent="0.25">
      <c r="A117" s="12"/>
      <c r="B117" s="12"/>
      <c r="C117" s="12"/>
      <c r="D117" s="12"/>
      <c r="E117" s="12">
        <v>36</v>
      </c>
      <c r="F117" s="19" t="s">
        <v>537</v>
      </c>
      <c r="G117" s="12" t="s">
        <v>487</v>
      </c>
      <c r="H117" s="12">
        <v>1</v>
      </c>
      <c r="I117" s="12">
        <v>20</v>
      </c>
      <c r="J117" s="12" t="s">
        <v>570</v>
      </c>
      <c r="K117" s="12" t="s">
        <v>581</v>
      </c>
      <c r="L117" s="12" t="s">
        <v>626</v>
      </c>
      <c r="M117" s="12" t="s">
        <v>648</v>
      </c>
      <c r="N117" s="47" t="str">
        <f t="shared" si="11"/>
        <v>A. A. The miners will be rescued this weekend</v>
      </c>
    </row>
    <row r="118" spans="1:14" x14ac:dyDescent="0.25">
      <c r="A118" s="12"/>
      <c r="B118" s="12"/>
      <c r="C118" s="12"/>
      <c r="D118" s="12"/>
      <c r="E118" s="12">
        <v>37</v>
      </c>
      <c r="F118" s="19" t="s">
        <v>538</v>
      </c>
      <c r="G118" s="12" t="s">
        <v>488</v>
      </c>
      <c r="H118" s="12">
        <v>1</v>
      </c>
      <c r="I118" s="12">
        <v>20</v>
      </c>
      <c r="J118" s="12" t="s">
        <v>571</v>
      </c>
      <c r="K118" s="12" t="s">
        <v>580</v>
      </c>
      <c r="L118" s="12" t="s">
        <v>625</v>
      </c>
      <c r="M118" s="12" t="s">
        <v>647</v>
      </c>
      <c r="N118" s="47" t="str">
        <f t="shared" si="11"/>
        <v>A. A. There is a competition organised to divide up the Artic region</v>
      </c>
    </row>
    <row r="119" spans="1:14" x14ac:dyDescent="0.25">
      <c r="A119" s="12"/>
      <c r="B119" s="12"/>
      <c r="C119" s="12"/>
      <c r="D119" s="12"/>
      <c r="E119" s="12">
        <v>38</v>
      </c>
      <c r="F119" s="19" t="s">
        <v>539</v>
      </c>
      <c r="G119" s="12" t="s">
        <v>489</v>
      </c>
      <c r="H119" s="12">
        <v>1</v>
      </c>
      <c r="I119" s="12">
        <v>20</v>
      </c>
      <c r="J119" s="12" t="s">
        <v>572</v>
      </c>
      <c r="K119" s="12" t="s">
        <v>579</v>
      </c>
      <c r="L119" s="12" t="s">
        <v>624</v>
      </c>
      <c r="M119" s="12" t="s">
        <v>646</v>
      </c>
      <c r="N119" s="47" t="str">
        <f t="shared" si="11"/>
        <v xml:space="preserve">A. A. She previously ran for  President in Columbia </v>
      </c>
    </row>
    <row r="120" spans="1:14" x14ac:dyDescent="0.25">
      <c r="A120" s="12"/>
      <c r="B120" s="12"/>
      <c r="C120" s="12"/>
      <c r="D120" s="12"/>
      <c r="E120" s="12">
        <v>39</v>
      </c>
      <c r="F120" s="19" t="s">
        <v>540</v>
      </c>
      <c r="G120" s="12" t="s">
        <v>490</v>
      </c>
      <c r="H120" s="12">
        <v>1</v>
      </c>
      <c r="I120" s="12">
        <v>20</v>
      </c>
      <c r="J120" s="12" t="s">
        <v>573</v>
      </c>
      <c r="K120" s="12" t="s">
        <v>578</v>
      </c>
      <c r="L120" s="12" t="s">
        <v>623</v>
      </c>
      <c r="M120" s="12" t="s">
        <v>645</v>
      </c>
      <c r="N120" s="47" t="str">
        <f t="shared" si="11"/>
        <v>A. A. One in 40 people are obese since their teens</v>
      </c>
    </row>
    <row r="121" spans="1:14" x14ac:dyDescent="0.25">
      <c r="A121" s="12"/>
      <c r="B121" s="12"/>
      <c r="C121" s="12"/>
      <c r="D121" s="12"/>
      <c r="E121" s="12">
        <v>40</v>
      </c>
      <c r="F121" s="19" t="s">
        <v>541</v>
      </c>
      <c r="G121" s="12" t="s">
        <v>491</v>
      </c>
      <c r="H121" s="12">
        <v>1</v>
      </c>
      <c r="I121" s="12">
        <v>20</v>
      </c>
      <c r="J121" s="12" t="s">
        <v>574</v>
      </c>
      <c r="K121" s="12" t="s">
        <v>577</v>
      </c>
      <c r="L121" s="12" t="s">
        <v>622</v>
      </c>
      <c r="M121" s="12" t="s">
        <v>741</v>
      </c>
      <c r="N121" s="47" t="str">
        <f t="shared" si="11"/>
        <v>A. A. Many young people rebel against dictates on marriage</v>
      </c>
    </row>
    <row r="122" spans="1:14" x14ac:dyDescent="0.25">
      <c r="A122" s="14"/>
      <c r="B122" s="14"/>
      <c r="C122" s="14">
        <v>4</v>
      </c>
      <c r="D122" s="14" t="s">
        <v>275</v>
      </c>
      <c r="E122" s="14">
        <v>1</v>
      </c>
      <c r="F122" s="15" t="s">
        <v>675</v>
      </c>
      <c r="G122" s="14" t="s">
        <v>751</v>
      </c>
      <c r="H122" s="14">
        <v>1</v>
      </c>
      <c r="I122" s="14">
        <v>20</v>
      </c>
      <c r="J122" s="15" t="s">
        <v>760</v>
      </c>
      <c r="K122" s="15" t="s">
        <v>800</v>
      </c>
      <c r="L122" s="15" t="s">
        <v>840</v>
      </c>
      <c r="M122" s="15" t="s">
        <v>880</v>
      </c>
    </row>
    <row r="123" spans="1:14" x14ac:dyDescent="0.25">
      <c r="A123" s="14"/>
      <c r="B123" s="14"/>
      <c r="C123" s="14"/>
      <c r="D123" s="14" t="s">
        <v>2027</v>
      </c>
      <c r="E123" s="14">
        <v>2</v>
      </c>
      <c r="F123" s="15" t="s">
        <v>676</v>
      </c>
      <c r="G123" s="14" t="s">
        <v>752</v>
      </c>
      <c r="H123" s="14">
        <v>1</v>
      </c>
      <c r="I123" s="14">
        <v>20</v>
      </c>
      <c r="J123" s="15" t="s">
        <v>761</v>
      </c>
      <c r="K123" s="15" t="s">
        <v>801</v>
      </c>
      <c r="L123" s="15" t="s">
        <v>841</v>
      </c>
      <c r="M123" s="15" t="s">
        <v>881</v>
      </c>
    </row>
    <row r="124" spans="1:14" x14ac:dyDescent="0.25">
      <c r="A124" s="14"/>
      <c r="B124" s="14"/>
      <c r="C124" s="14"/>
      <c r="D124" s="14" t="s">
        <v>16</v>
      </c>
      <c r="E124" s="14">
        <v>3</v>
      </c>
      <c r="F124" s="15" t="s">
        <v>677</v>
      </c>
      <c r="G124" s="14" t="s">
        <v>753</v>
      </c>
      <c r="H124" s="14">
        <v>1</v>
      </c>
      <c r="I124" s="14">
        <v>20</v>
      </c>
      <c r="J124" s="15" t="s">
        <v>762</v>
      </c>
      <c r="K124" s="15" t="s">
        <v>802</v>
      </c>
      <c r="L124" s="15" t="s">
        <v>842</v>
      </c>
      <c r="M124" s="15" t="s">
        <v>882</v>
      </c>
    </row>
    <row r="125" spans="1:14" x14ac:dyDescent="0.25">
      <c r="A125" s="14"/>
      <c r="B125" s="14"/>
      <c r="C125" s="14"/>
      <c r="D125" s="14"/>
      <c r="E125" s="14">
        <v>4</v>
      </c>
      <c r="F125" s="15" t="s">
        <v>678</v>
      </c>
      <c r="G125" s="14" t="s">
        <v>754</v>
      </c>
      <c r="H125" s="14">
        <v>1</v>
      </c>
      <c r="I125" s="14">
        <v>20</v>
      </c>
      <c r="J125" s="15" t="s">
        <v>763</v>
      </c>
      <c r="K125" s="15" t="s">
        <v>803</v>
      </c>
      <c r="L125" s="15" t="s">
        <v>843</v>
      </c>
      <c r="M125" s="15" t="s">
        <v>883</v>
      </c>
    </row>
    <row r="126" spans="1:14" x14ac:dyDescent="0.25">
      <c r="A126" s="14"/>
      <c r="B126" s="14"/>
      <c r="C126" s="14"/>
      <c r="D126" s="14"/>
      <c r="E126" s="14">
        <v>5</v>
      </c>
      <c r="F126" s="15" t="s">
        <v>679</v>
      </c>
      <c r="G126" s="14" t="s">
        <v>755</v>
      </c>
      <c r="H126" s="14">
        <v>1</v>
      </c>
      <c r="I126" s="14">
        <v>20</v>
      </c>
      <c r="J126" s="15" t="s">
        <v>764</v>
      </c>
      <c r="K126" s="15" t="s">
        <v>804</v>
      </c>
      <c r="L126" s="15" t="s">
        <v>844</v>
      </c>
      <c r="M126" s="15" t="s">
        <v>884</v>
      </c>
    </row>
    <row r="127" spans="1:14" x14ac:dyDescent="0.25">
      <c r="A127" s="14"/>
      <c r="B127" s="14"/>
      <c r="C127" s="14"/>
      <c r="D127" s="14"/>
      <c r="E127" s="14">
        <v>6</v>
      </c>
      <c r="F127" s="15" t="s">
        <v>680</v>
      </c>
      <c r="G127" s="14" t="s">
        <v>756</v>
      </c>
      <c r="H127" s="14">
        <v>1</v>
      </c>
      <c r="I127" s="14">
        <v>20</v>
      </c>
      <c r="J127" s="15" t="s">
        <v>765</v>
      </c>
      <c r="K127" s="15" t="s">
        <v>805</v>
      </c>
      <c r="L127" s="15" t="s">
        <v>845</v>
      </c>
      <c r="M127" s="15" t="s">
        <v>885</v>
      </c>
    </row>
    <row r="128" spans="1:14" x14ac:dyDescent="0.25">
      <c r="A128" s="14"/>
      <c r="B128" s="14"/>
      <c r="C128" s="14"/>
      <c r="D128" s="14"/>
      <c r="E128" s="14">
        <v>7</v>
      </c>
      <c r="F128" s="15" t="s">
        <v>681</v>
      </c>
      <c r="G128" s="14" t="s">
        <v>757</v>
      </c>
      <c r="H128" s="14">
        <v>1</v>
      </c>
      <c r="I128" s="14">
        <v>20</v>
      </c>
      <c r="J128" s="15" t="s">
        <v>766</v>
      </c>
      <c r="K128" s="15" t="s">
        <v>806</v>
      </c>
      <c r="L128" s="15" t="s">
        <v>846</v>
      </c>
      <c r="M128" s="15" t="s">
        <v>886</v>
      </c>
    </row>
    <row r="129" spans="1:13" x14ac:dyDescent="0.25">
      <c r="A129" s="14"/>
      <c r="B129" s="14"/>
      <c r="C129" s="14"/>
      <c r="D129" s="14"/>
      <c r="E129" s="14">
        <v>8</v>
      </c>
      <c r="F129" s="15" t="s">
        <v>682</v>
      </c>
      <c r="G129" s="14" t="s">
        <v>758</v>
      </c>
      <c r="H129" s="14">
        <v>1</v>
      </c>
      <c r="I129" s="14">
        <v>20</v>
      </c>
      <c r="J129" s="15" t="s">
        <v>767</v>
      </c>
      <c r="K129" s="15" t="s">
        <v>807</v>
      </c>
      <c r="L129" s="15" t="s">
        <v>847</v>
      </c>
      <c r="M129" s="15" t="s">
        <v>887</v>
      </c>
    </row>
    <row r="130" spans="1:13" x14ac:dyDescent="0.25">
      <c r="A130" s="14"/>
      <c r="B130" s="14"/>
      <c r="C130" s="14"/>
      <c r="D130" s="14"/>
      <c r="E130" s="14">
        <v>9</v>
      </c>
      <c r="F130" s="15" t="s">
        <v>683</v>
      </c>
      <c r="G130" s="14" t="s">
        <v>759</v>
      </c>
      <c r="H130" s="14">
        <v>1</v>
      </c>
      <c r="I130" s="14">
        <v>20</v>
      </c>
      <c r="J130" s="15" t="s">
        <v>768</v>
      </c>
      <c r="K130" s="15" t="s">
        <v>808</v>
      </c>
      <c r="L130" s="15" t="s">
        <v>848</v>
      </c>
      <c r="M130" s="15" t="s">
        <v>888</v>
      </c>
    </row>
    <row r="131" spans="1:13" x14ac:dyDescent="0.25">
      <c r="A131" s="14"/>
      <c r="B131" s="14"/>
      <c r="C131" s="14"/>
      <c r="D131" s="14"/>
      <c r="E131" s="14">
        <v>10</v>
      </c>
      <c r="F131" s="15" t="s">
        <v>64</v>
      </c>
      <c r="G131" s="14" t="s">
        <v>684</v>
      </c>
      <c r="H131" s="14">
        <v>1</v>
      </c>
      <c r="I131" s="14">
        <v>20</v>
      </c>
      <c r="J131" s="15" t="s">
        <v>769</v>
      </c>
      <c r="K131" s="15" t="s">
        <v>809</v>
      </c>
      <c r="L131" s="15" t="s">
        <v>849</v>
      </c>
      <c r="M131" s="15" t="s">
        <v>889</v>
      </c>
    </row>
    <row r="132" spans="1:13" x14ac:dyDescent="0.25">
      <c r="A132" s="14"/>
      <c r="B132" s="14"/>
      <c r="C132" s="14"/>
      <c r="D132" s="14"/>
      <c r="E132" s="14">
        <v>11</v>
      </c>
      <c r="F132" s="15" t="s">
        <v>1004</v>
      </c>
      <c r="G132" s="14" t="s">
        <v>685</v>
      </c>
      <c r="H132" s="14">
        <v>1</v>
      </c>
      <c r="I132" s="14">
        <v>20</v>
      </c>
      <c r="J132" s="15" t="s">
        <v>770</v>
      </c>
      <c r="K132" s="15" t="s">
        <v>810</v>
      </c>
      <c r="L132" s="15" t="s">
        <v>850</v>
      </c>
      <c r="M132" s="15" t="s">
        <v>890</v>
      </c>
    </row>
    <row r="133" spans="1:13" x14ac:dyDescent="0.25">
      <c r="A133" s="14"/>
      <c r="B133" s="14"/>
      <c r="C133" s="14"/>
      <c r="D133" s="14"/>
      <c r="E133" s="14">
        <v>12</v>
      </c>
      <c r="F133" s="15" t="s">
        <v>1005</v>
      </c>
      <c r="G133" s="14" t="s">
        <v>686</v>
      </c>
      <c r="H133" s="14">
        <v>1</v>
      </c>
      <c r="I133" s="14">
        <v>20</v>
      </c>
      <c r="J133" s="15" t="s">
        <v>771</v>
      </c>
      <c r="K133" s="15" t="s">
        <v>811</v>
      </c>
      <c r="L133" s="15" t="s">
        <v>851</v>
      </c>
      <c r="M133" s="15" t="s">
        <v>891</v>
      </c>
    </row>
    <row r="134" spans="1:13" x14ac:dyDescent="0.25">
      <c r="A134" s="14"/>
      <c r="B134" s="14"/>
      <c r="C134" s="14"/>
      <c r="D134" s="14"/>
      <c r="E134" s="14">
        <v>13</v>
      </c>
      <c r="F134" s="15" t="s">
        <v>1006</v>
      </c>
      <c r="G134" s="14" t="s">
        <v>687</v>
      </c>
      <c r="H134" s="14">
        <v>1</v>
      </c>
      <c r="I134" s="14">
        <v>20</v>
      </c>
      <c r="J134" s="15" t="s">
        <v>772</v>
      </c>
      <c r="K134" s="15" t="s">
        <v>812</v>
      </c>
      <c r="L134" s="15" t="s">
        <v>852</v>
      </c>
      <c r="M134" s="15" t="s">
        <v>892</v>
      </c>
    </row>
    <row r="135" spans="1:13" x14ac:dyDescent="0.25">
      <c r="A135" s="14"/>
      <c r="B135" s="16"/>
      <c r="C135" s="14"/>
      <c r="D135" s="14"/>
      <c r="E135" s="14">
        <v>14</v>
      </c>
      <c r="F135" s="15" t="s">
        <v>1007</v>
      </c>
      <c r="G135" s="14" t="s">
        <v>688</v>
      </c>
      <c r="H135" s="14">
        <v>1</v>
      </c>
      <c r="I135" s="14">
        <v>20</v>
      </c>
      <c r="J135" s="15" t="s">
        <v>773</v>
      </c>
      <c r="K135" s="15" t="s">
        <v>813</v>
      </c>
      <c r="L135" s="15" t="s">
        <v>853</v>
      </c>
      <c r="M135" s="15" t="s">
        <v>893</v>
      </c>
    </row>
    <row r="136" spans="1:13" x14ac:dyDescent="0.25">
      <c r="A136" s="14"/>
      <c r="B136" s="16"/>
      <c r="C136" s="14"/>
      <c r="D136" s="14"/>
      <c r="E136" s="14">
        <v>15</v>
      </c>
      <c r="F136" s="15" t="s">
        <v>1008</v>
      </c>
      <c r="G136" s="14" t="s">
        <v>689</v>
      </c>
      <c r="H136" s="14">
        <v>1</v>
      </c>
      <c r="I136" s="14">
        <v>20</v>
      </c>
      <c r="J136" s="15" t="s">
        <v>774</v>
      </c>
      <c r="K136" s="15" t="s">
        <v>814</v>
      </c>
      <c r="L136" s="15" t="s">
        <v>854</v>
      </c>
      <c r="M136" s="15" t="s">
        <v>894</v>
      </c>
    </row>
    <row r="137" spans="1:13" x14ac:dyDescent="0.25">
      <c r="A137" s="14"/>
      <c r="B137" s="16"/>
      <c r="C137" s="14"/>
      <c r="D137" s="14"/>
      <c r="E137" s="14">
        <v>16</v>
      </c>
      <c r="F137" s="15" t="s">
        <v>1009</v>
      </c>
      <c r="G137" s="14" t="s">
        <v>690</v>
      </c>
      <c r="H137" s="14">
        <v>1</v>
      </c>
      <c r="I137" s="14">
        <v>20</v>
      </c>
      <c r="J137" s="15" t="s">
        <v>775</v>
      </c>
      <c r="K137" s="15" t="s">
        <v>815</v>
      </c>
      <c r="L137" s="15" t="s">
        <v>855</v>
      </c>
      <c r="M137" s="15" t="s">
        <v>895</v>
      </c>
    </row>
    <row r="138" spans="1:13" x14ac:dyDescent="0.25">
      <c r="A138" s="14"/>
      <c r="B138" s="16"/>
      <c r="C138" s="14"/>
      <c r="D138" s="14"/>
      <c r="E138" s="14">
        <v>17</v>
      </c>
      <c r="F138" s="15" t="s">
        <v>1010</v>
      </c>
      <c r="G138" s="14" t="s">
        <v>691</v>
      </c>
      <c r="H138" s="14">
        <v>1</v>
      </c>
      <c r="I138" s="14">
        <v>20</v>
      </c>
      <c r="J138" s="15" t="s">
        <v>776</v>
      </c>
      <c r="K138" s="15" t="s">
        <v>816</v>
      </c>
      <c r="L138" s="15" t="s">
        <v>856</v>
      </c>
      <c r="M138" s="15" t="s">
        <v>896</v>
      </c>
    </row>
    <row r="139" spans="1:13" x14ac:dyDescent="0.25">
      <c r="A139" s="14"/>
      <c r="B139" s="16"/>
      <c r="C139" s="14"/>
      <c r="D139" s="14"/>
      <c r="E139" s="14">
        <v>18</v>
      </c>
      <c r="F139" s="15" t="s">
        <v>1011</v>
      </c>
      <c r="G139" s="14" t="s">
        <v>692</v>
      </c>
      <c r="H139" s="14">
        <v>1</v>
      </c>
      <c r="I139" s="14">
        <v>20</v>
      </c>
      <c r="J139" s="15" t="s">
        <v>777</v>
      </c>
      <c r="K139" s="15" t="s">
        <v>817</v>
      </c>
      <c r="L139" s="15" t="s">
        <v>857</v>
      </c>
      <c r="M139" s="15" t="s">
        <v>897</v>
      </c>
    </row>
    <row r="140" spans="1:13" x14ac:dyDescent="0.25">
      <c r="A140" s="14"/>
      <c r="B140" s="16"/>
      <c r="C140" s="14"/>
      <c r="D140" s="14"/>
      <c r="E140" s="14">
        <v>19</v>
      </c>
      <c r="F140" s="15" t="s">
        <v>1012</v>
      </c>
      <c r="G140" s="14" t="s">
        <v>693</v>
      </c>
      <c r="H140" s="14">
        <v>1</v>
      </c>
      <c r="I140" s="14">
        <v>20</v>
      </c>
      <c r="J140" s="15" t="s">
        <v>778</v>
      </c>
      <c r="K140" s="15" t="s">
        <v>818</v>
      </c>
      <c r="L140" s="15" t="s">
        <v>858</v>
      </c>
      <c r="M140" s="15" t="s">
        <v>898</v>
      </c>
    </row>
    <row r="141" spans="1:13" x14ac:dyDescent="0.25">
      <c r="A141" s="14"/>
      <c r="B141" s="16"/>
      <c r="C141" s="14"/>
      <c r="D141" s="14"/>
      <c r="E141" s="14">
        <v>20</v>
      </c>
      <c r="F141" s="15" t="s">
        <v>1013</v>
      </c>
      <c r="G141" s="14" t="s">
        <v>694</v>
      </c>
      <c r="H141" s="14">
        <v>1</v>
      </c>
      <c r="I141" s="14">
        <v>20</v>
      </c>
      <c r="J141" s="15" t="s">
        <v>779</v>
      </c>
      <c r="K141" s="15" t="s">
        <v>819</v>
      </c>
      <c r="L141" s="15" t="s">
        <v>859</v>
      </c>
      <c r="M141" s="15" t="s">
        <v>899</v>
      </c>
    </row>
    <row r="142" spans="1:13" x14ac:dyDescent="0.25">
      <c r="A142" s="14"/>
      <c r="B142" s="16"/>
      <c r="C142" s="14"/>
      <c r="D142" s="14"/>
      <c r="E142" s="14">
        <v>21</v>
      </c>
      <c r="F142" s="15" t="s">
        <v>1014</v>
      </c>
      <c r="G142" s="14" t="s">
        <v>695</v>
      </c>
      <c r="H142" s="14">
        <v>1</v>
      </c>
      <c r="I142" s="14">
        <v>20</v>
      </c>
      <c r="J142" s="15" t="s">
        <v>780</v>
      </c>
      <c r="K142" s="15" t="s">
        <v>820</v>
      </c>
      <c r="L142" s="15" t="s">
        <v>860</v>
      </c>
      <c r="M142" s="15" t="s">
        <v>900</v>
      </c>
    </row>
    <row r="143" spans="1:13" x14ac:dyDescent="0.25">
      <c r="A143" s="14"/>
      <c r="B143" s="16"/>
      <c r="C143" s="14"/>
      <c r="D143" s="14"/>
      <c r="E143" s="14">
        <v>22</v>
      </c>
      <c r="F143" s="15" t="s">
        <v>1015</v>
      </c>
      <c r="G143" s="14" t="s">
        <v>696</v>
      </c>
      <c r="H143" s="14">
        <v>1</v>
      </c>
      <c r="I143" s="14">
        <v>20</v>
      </c>
      <c r="J143" s="15" t="s">
        <v>781</v>
      </c>
      <c r="K143" s="15" t="s">
        <v>821</v>
      </c>
      <c r="L143" s="15" t="s">
        <v>861</v>
      </c>
      <c r="M143" s="15" t="s">
        <v>901</v>
      </c>
    </row>
    <row r="144" spans="1:13" x14ac:dyDescent="0.25">
      <c r="A144" s="14"/>
      <c r="B144" s="16"/>
      <c r="C144" s="14"/>
      <c r="D144" s="14"/>
      <c r="E144" s="14">
        <v>23</v>
      </c>
      <c r="F144" s="15" t="s">
        <v>1016</v>
      </c>
      <c r="G144" s="14" t="s">
        <v>697</v>
      </c>
      <c r="H144" s="14">
        <v>1</v>
      </c>
      <c r="I144" s="14">
        <v>20</v>
      </c>
      <c r="J144" s="15" t="s">
        <v>782</v>
      </c>
      <c r="K144" s="15" t="s">
        <v>822</v>
      </c>
      <c r="L144" s="15" t="s">
        <v>862</v>
      </c>
      <c r="M144" s="15" t="s">
        <v>902</v>
      </c>
    </row>
    <row r="145" spans="1:13" x14ac:dyDescent="0.25">
      <c r="A145" s="14"/>
      <c r="B145" s="16"/>
      <c r="C145" s="16"/>
      <c r="D145" s="16"/>
      <c r="E145" s="14">
        <v>24</v>
      </c>
      <c r="F145" s="15" t="s">
        <v>1017</v>
      </c>
      <c r="G145" s="14" t="s">
        <v>698</v>
      </c>
      <c r="H145" s="14">
        <v>1</v>
      </c>
      <c r="I145" s="14">
        <v>20</v>
      </c>
      <c r="J145" s="15" t="s">
        <v>783</v>
      </c>
      <c r="K145" s="15" t="s">
        <v>823</v>
      </c>
      <c r="L145" s="15" t="s">
        <v>863</v>
      </c>
      <c r="M145" s="15" t="s">
        <v>903</v>
      </c>
    </row>
    <row r="146" spans="1:13" x14ac:dyDescent="0.25">
      <c r="A146" s="14"/>
      <c r="B146" s="16"/>
      <c r="C146" s="16"/>
      <c r="D146" s="16"/>
      <c r="E146" s="14">
        <v>25</v>
      </c>
      <c r="F146" s="15" t="s">
        <v>1018</v>
      </c>
      <c r="G146" s="14" t="s">
        <v>699</v>
      </c>
      <c r="H146" s="14">
        <v>1</v>
      </c>
      <c r="I146" s="14">
        <v>20</v>
      </c>
      <c r="J146" s="15" t="s">
        <v>784</v>
      </c>
      <c r="K146" s="15" t="s">
        <v>824</v>
      </c>
      <c r="L146" s="15" t="s">
        <v>864</v>
      </c>
      <c r="M146" s="15" t="s">
        <v>904</v>
      </c>
    </row>
    <row r="147" spans="1:13" x14ac:dyDescent="0.25">
      <c r="A147" s="14"/>
      <c r="B147" s="16"/>
      <c r="C147" s="16"/>
      <c r="D147" s="16"/>
      <c r="E147" s="14">
        <v>26</v>
      </c>
      <c r="F147" s="15" t="s">
        <v>1019</v>
      </c>
      <c r="G147" s="14" t="s">
        <v>700</v>
      </c>
      <c r="H147" s="14">
        <v>1</v>
      </c>
      <c r="I147" s="14">
        <v>20</v>
      </c>
      <c r="J147" s="15" t="s">
        <v>785</v>
      </c>
      <c r="K147" s="15" t="s">
        <v>825</v>
      </c>
      <c r="L147" s="15" t="s">
        <v>865</v>
      </c>
      <c r="M147" s="15" t="s">
        <v>905</v>
      </c>
    </row>
    <row r="148" spans="1:13" x14ac:dyDescent="0.25">
      <c r="A148" s="14"/>
      <c r="B148" s="16"/>
      <c r="C148" s="16"/>
      <c r="D148" s="16"/>
      <c r="E148" s="14">
        <v>27</v>
      </c>
      <c r="F148" s="15" t="s">
        <v>529</v>
      </c>
      <c r="G148" s="14" t="s">
        <v>701</v>
      </c>
      <c r="H148" s="14">
        <v>1</v>
      </c>
      <c r="I148" s="14">
        <v>20</v>
      </c>
      <c r="J148" s="15" t="s">
        <v>786</v>
      </c>
      <c r="K148" s="15" t="s">
        <v>826</v>
      </c>
      <c r="L148" s="15" t="s">
        <v>866</v>
      </c>
      <c r="M148" s="15" t="s">
        <v>906</v>
      </c>
    </row>
    <row r="149" spans="1:13" x14ac:dyDescent="0.25">
      <c r="A149" s="14"/>
      <c r="B149" s="16"/>
      <c r="C149" s="16"/>
      <c r="D149" s="16"/>
      <c r="E149" s="14">
        <v>28</v>
      </c>
      <c r="F149" s="15" t="s">
        <v>1020</v>
      </c>
      <c r="G149" s="14" t="s">
        <v>702</v>
      </c>
      <c r="H149" s="14">
        <v>1</v>
      </c>
      <c r="I149" s="14">
        <v>20</v>
      </c>
      <c r="J149" s="15" t="s">
        <v>787</v>
      </c>
      <c r="K149" s="15" t="s">
        <v>827</v>
      </c>
      <c r="L149" s="15" t="s">
        <v>867</v>
      </c>
      <c r="M149" s="15" t="s">
        <v>907</v>
      </c>
    </row>
    <row r="150" spans="1:13" x14ac:dyDescent="0.25">
      <c r="A150" s="14"/>
      <c r="B150" s="16"/>
      <c r="C150" s="16"/>
      <c r="D150" s="16"/>
      <c r="E150" s="14">
        <v>29</v>
      </c>
      <c r="F150" s="15" t="s">
        <v>1021</v>
      </c>
      <c r="G150" s="14" t="s">
        <v>703</v>
      </c>
      <c r="H150" s="14">
        <v>1</v>
      </c>
      <c r="I150" s="14">
        <v>20</v>
      </c>
      <c r="J150" s="15" t="s">
        <v>788</v>
      </c>
      <c r="K150" s="15" t="s">
        <v>828</v>
      </c>
      <c r="L150" s="15" t="s">
        <v>868</v>
      </c>
      <c r="M150" s="15" t="s">
        <v>908</v>
      </c>
    </row>
    <row r="151" spans="1:13" x14ac:dyDescent="0.25">
      <c r="A151" s="14"/>
      <c r="B151" s="16"/>
      <c r="C151" s="16"/>
      <c r="D151" s="16"/>
      <c r="E151" s="14">
        <v>30</v>
      </c>
      <c r="F151" s="15" t="s">
        <v>1022</v>
      </c>
      <c r="G151" s="14" t="s">
        <v>704</v>
      </c>
      <c r="H151" s="14">
        <v>1</v>
      </c>
      <c r="I151" s="14">
        <v>20</v>
      </c>
      <c r="J151" s="15" t="s">
        <v>789</v>
      </c>
      <c r="K151" s="15" t="s">
        <v>829</v>
      </c>
      <c r="L151" s="15" t="s">
        <v>869</v>
      </c>
      <c r="M151" s="15" t="s">
        <v>909</v>
      </c>
    </row>
    <row r="152" spans="1:13" x14ac:dyDescent="0.25">
      <c r="A152" s="14"/>
      <c r="B152" s="16"/>
      <c r="C152" s="16"/>
      <c r="D152" s="16"/>
      <c r="E152" s="14">
        <v>31</v>
      </c>
      <c r="F152" s="15" t="s">
        <v>1023</v>
      </c>
      <c r="G152" s="14" t="s">
        <v>705</v>
      </c>
      <c r="H152" s="14">
        <v>1</v>
      </c>
      <c r="I152" s="14">
        <v>20</v>
      </c>
      <c r="J152" s="15" t="s">
        <v>790</v>
      </c>
      <c r="K152" s="15" t="s">
        <v>830</v>
      </c>
      <c r="L152" s="15" t="s">
        <v>870</v>
      </c>
      <c r="M152" s="15" t="s">
        <v>910</v>
      </c>
    </row>
    <row r="153" spans="1:13" x14ac:dyDescent="0.25">
      <c r="A153" s="14"/>
      <c r="B153" s="16"/>
      <c r="C153" s="16"/>
      <c r="D153" s="16"/>
      <c r="E153" s="14">
        <v>32</v>
      </c>
      <c r="F153" s="15" t="s">
        <v>1024</v>
      </c>
      <c r="G153" s="14" t="s">
        <v>706</v>
      </c>
      <c r="H153" s="14">
        <v>1</v>
      </c>
      <c r="I153" s="14">
        <v>20</v>
      </c>
      <c r="J153" s="15" t="s">
        <v>791</v>
      </c>
      <c r="K153" s="15" t="s">
        <v>831</v>
      </c>
      <c r="L153" s="15" t="s">
        <v>871</v>
      </c>
      <c r="M153" s="15" t="s">
        <v>911</v>
      </c>
    </row>
    <row r="154" spans="1:13" x14ac:dyDescent="0.25">
      <c r="A154" s="14"/>
      <c r="B154" s="16"/>
      <c r="C154" s="16"/>
      <c r="D154" s="16"/>
      <c r="E154" s="14">
        <v>33</v>
      </c>
      <c r="F154" s="15" t="s">
        <v>1025</v>
      </c>
      <c r="G154" s="14" t="s">
        <v>707</v>
      </c>
      <c r="H154" s="14">
        <v>1</v>
      </c>
      <c r="I154" s="14">
        <v>20</v>
      </c>
      <c r="J154" s="15" t="s">
        <v>792</v>
      </c>
      <c r="K154" s="15" t="s">
        <v>832</v>
      </c>
      <c r="L154" s="15" t="s">
        <v>872</v>
      </c>
      <c r="M154" s="15" t="s">
        <v>912</v>
      </c>
    </row>
    <row r="155" spans="1:13" x14ac:dyDescent="0.25">
      <c r="A155" s="14"/>
      <c r="B155" s="16"/>
      <c r="C155" s="16"/>
      <c r="D155" s="16"/>
      <c r="E155" s="14">
        <v>34</v>
      </c>
      <c r="F155" s="15" t="s">
        <v>1026</v>
      </c>
      <c r="G155" s="14" t="s">
        <v>708</v>
      </c>
      <c r="H155" s="14">
        <v>1</v>
      </c>
      <c r="I155" s="14">
        <v>20</v>
      </c>
      <c r="J155" s="15" t="s">
        <v>793</v>
      </c>
      <c r="K155" s="15" t="s">
        <v>833</v>
      </c>
      <c r="L155" s="15" t="s">
        <v>873</v>
      </c>
      <c r="M155" s="15" t="s">
        <v>913</v>
      </c>
    </row>
    <row r="156" spans="1:13" x14ac:dyDescent="0.25">
      <c r="A156" s="14"/>
      <c r="B156" s="16"/>
      <c r="C156" s="16"/>
      <c r="D156" s="16"/>
      <c r="E156" s="14">
        <v>35</v>
      </c>
      <c r="F156" s="15" t="s">
        <v>1027</v>
      </c>
      <c r="G156" s="14" t="s">
        <v>709</v>
      </c>
      <c r="H156" s="14">
        <v>1</v>
      </c>
      <c r="I156" s="14">
        <v>20</v>
      </c>
      <c r="J156" s="15" t="s">
        <v>794</v>
      </c>
      <c r="K156" s="15" t="s">
        <v>834</v>
      </c>
      <c r="L156" s="15" t="s">
        <v>874</v>
      </c>
      <c r="M156" s="15" t="s">
        <v>914</v>
      </c>
    </row>
    <row r="157" spans="1:13" x14ac:dyDescent="0.25">
      <c r="A157" s="14"/>
      <c r="B157" s="16"/>
      <c r="C157" s="16"/>
      <c r="D157" s="16"/>
      <c r="E157" s="14">
        <v>36</v>
      </c>
      <c r="F157" s="15" t="s">
        <v>1028</v>
      </c>
      <c r="G157" s="14" t="s">
        <v>710</v>
      </c>
      <c r="H157" s="14">
        <v>1</v>
      </c>
      <c r="I157" s="14">
        <v>20</v>
      </c>
      <c r="J157" s="15" t="s">
        <v>795</v>
      </c>
      <c r="K157" s="15" t="s">
        <v>835</v>
      </c>
      <c r="L157" s="15" t="s">
        <v>875</v>
      </c>
      <c r="M157" s="15" t="s">
        <v>1080</v>
      </c>
    </row>
    <row r="158" spans="1:13" x14ac:dyDescent="0.25">
      <c r="A158" s="14"/>
      <c r="B158" s="16"/>
      <c r="C158" s="16"/>
      <c r="D158" s="16"/>
      <c r="E158" s="14">
        <v>37</v>
      </c>
      <c r="F158" s="15" t="s">
        <v>424</v>
      </c>
      <c r="G158" s="14" t="s">
        <v>711</v>
      </c>
      <c r="H158" s="14">
        <v>1</v>
      </c>
      <c r="I158" s="14">
        <v>20</v>
      </c>
      <c r="J158" s="15" t="s">
        <v>796</v>
      </c>
      <c r="K158" s="15" t="s">
        <v>836</v>
      </c>
      <c r="L158" s="15" t="s">
        <v>876</v>
      </c>
      <c r="M158" s="15" t="s">
        <v>915</v>
      </c>
    </row>
    <row r="159" spans="1:13" x14ac:dyDescent="0.25">
      <c r="A159" s="14"/>
      <c r="B159" s="16"/>
      <c r="C159" s="16"/>
      <c r="D159" s="16"/>
      <c r="E159" s="14">
        <v>38</v>
      </c>
      <c r="F159" s="15" t="s">
        <v>1029</v>
      </c>
      <c r="G159" s="14" t="s">
        <v>712</v>
      </c>
      <c r="H159" s="14">
        <v>1</v>
      </c>
      <c r="I159" s="14">
        <v>20</v>
      </c>
      <c r="J159" s="15" t="s">
        <v>797</v>
      </c>
      <c r="K159" s="15" t="s">
        <v>837</v>
      </c>
      <c r="L159" s="15" t="s">
        <v>877</v>
      </c>
      <c r="M159" s="15" t="s">
        <v>916</v>
      </c>
    </row>
    <row r="160" spans="1:13" x14ac:dyDescent="0.25">
      <c r="A160" s="14"/>
      <c r="B160" s="16"/>
      <c r="C160" s="16"/>
      <c r="D160" s="16"/>
      <c r="E160" s="14">
        <v>39</v>
      </c>
      <c r="F160" s="15" t="s">
        <v>425</v>
      </c>
      <c r="G160" s="14" t="s">
        <v>713</v>
      </c>
      <c r="H160" s="14">
        <v>1</v>
      </c>
      <c r="I160" s="14">
        <v>20</v>
      </c>
      <c r="J160" s="15" t="s">
        <v>798</v>
      </c>
      <c r="K160" s="15" t="s">
        <v>838</v>
      </c>
      <c r="L160" s="15" t="s">
        <v>878</v>
      </c>
      <c r="M160" s="15" t="s">
        <v>917</v>
      </c>
    </row>
    <row r="161" spans="1:13" x14ac:dyDescent="0.25">
      <c r="A161" s="14"/>
      <c r="B161" s="22"/>
      <c r="C161" s="22"/>
      <c r="D161" s="22"/>
      <c r="E161" s="23">
        <v>40</v>
      </c>
      <c r="F161" s="24" t="s">
        <v>1030</v>
      </c>
      <c r="G161" s="23" t="s">
        <v>714</v>
      </c>
      <c r="H161" s="23">
        <v>1</v>
      </c>
      <c r="I161" s="14">
        <v>20</v>
      </c>
      <c r="J161" s="24" t="s">
        <v>799</v>
      </c>
      <c r="K161" s="24" t="s">
        <v>839</v>
      </c>
      <c r="L161" s="24" t="s">
        <v>879</v>
      </c>
      <c r="M161" s="24" t="s">
        <v>918</v>
      </c>
    </row>
    <row r="162" spans="1:13" s="44" customFormat="1" x14ac:dyDescent="0.25">
      <c r="A162" s="57"/>
      <c r="B162" s="57"/>
      <c r="C162" s="58">
        <v>5</v>
      </c>
      <c r="D162" s="58" t="s">
        <v>1031</v>
      </c>
      <c r="E162" s="58">
        <v>1</v>
      </c>
      <c r="F162" s="59" t="s">
        <v>2252</v>
      </c>
      <c r="G162" s="58" t="s">
        <v>1032</v>
      </c>
      <c r="H162" s="58">
        <v>1</v>
      </c>
      <c r="I162" s="58">
        <v>20</v>
      </c>
      <c r="J162" s="58" t="s">
        <v>1081</v>
      </c>
      <c r="K162" s="58" t="s">
        <v>1100</v>
      </c>
      <c r="L162" s="58" t="s">
        <v>1119</v>
      </c>
      <c r="M162" s="58" t="s">
        <v>1138</v>
      </c>
    </row>
    <row r="163" spans="1:13" s="44" customFormat="1" x14ac:dyDescent="0.25">
      <c r="A163" s="57"/>
      <c r="B163" s="57"/>
      <c r="C163" s="58"/>
      <c r="D163" s="58" t="s">
        <v>2027</v>
      </c>
      <c r="E163" s="58">
        <v>2</v>
      </c>
      <c r="F163" s="91" t="s">
        <v>2220</v>
      </c>
      <c r="G163" s="58" t="s">
        <v>1033</v>
      </c>
      <c r="H163" s="58">
        <v>1</v>
      </c>
      <c r="I163" s="58">
        <v>20</v>
      </c>
      <c r="J163" s="58" t="s">
        <v>1082</v>
      </c>
      <c r="K163" s="58" t="s">
        <v>1101</v>
      </c>
      <c r="L163" s="58" t="s">
        <v>1120</v>
      </c>
      <c r="M163" s="58" t="s">
        <v>1139</v>
      </c>
    </row>
    <row r="164" spans="1:13" s="44" customFormat="1" x14ac:dyDescent="0.25">
      <c r="A164" s="57"/>
      <c r="B164" s="57"/>
      <c r="C164" s="58"/>
      <c r="D164" s="58" t="s">
        <v>16</v>
      </c>
      <c r="E164" s="58">
        <v>3</v>
      </c>
      <c r="F164" s="59" t="s">
        <v>2221</v>
      </c>
      <c r="G164" s="58" t="s">
        <v>1034</v>
      </c>
      <c r="H164" s="58">
        <v>1</v>
      </c>
      <c r="I164" s="58">
        <v>20</v>
      </c>
      <c r="J164" s="58" t="s">
        <v>1083</v>
      </c>
      <c r="K164" s="58" t="s">
        <v>1102</v>
      </c>
      <c r="L164" s="58" t="s">
        <v>1121</v>
      </c>
      <c r="M164" s="58" t="s">
        <v>1140</v>
      </c>
    </row>
    <row r="165" spans="1:13" s="44" customFormat="1" x14ac:dyDescent="0.25">
      <c r="A165" s="57"/>
      <c r="B165" s="57"/>
      <c r="C165" s="58"/>
      <c r="D165" s="58"/>
      <c r="E165" s="58">
        <v>4</v>
      </c>
      <c r="F165" s="59" t="s">
        <v>2222</v>
      </c>
      <c r="G165" s="58" t="s">
        <v>1035</v>
      </c>
      <c r="H165" s="58">
        <v>1</v>
      </c>
      <c r="I165" s="58">
        <v>20</v>
      </c>
      <c r="J165" s="58" t="s">
        <v>1084</v>
      </c>
      <c r="K165" s="58" t="s">
        <v>1103</v>
      </c>
      <c r="L165" s="58" t="s">
        <v>1122</v>
      </c>
      <c r="M165" s="58" t="s">
        <v>1141</v>
      </c>
    </row>
    <row r="166" spans="1:13" s="44" customFormat="1" x14ac:dyDescent="0.25">
      <c r="A166" s="57"/>
      <c r="B166" s="57"/>
      <c r="C166" s="58"/>
      <c r="D166" s="58"/>
      <c r="E166" s="58">
        <v>5</v>
      </c>
      <c r="F166" s="59" t="s">
        <v>2223</v>
      </c>
      <c r="G166" s="58" t="s">
        <v>1036</v>
      </c>
      <c r="H166" s="58">
        <v>1</v>
      </c>
      <c r="I166" s="58">
        <v>20</v>
      </c>
      <c r="J166" s="58" t="s">
        <v>1085</v>
      </c>
      <c r="K166" s="58" t="s">
        <v>1104</v>
      </c>
      <c r="L166" s="58" t="s">
        <v>1123</v>
      </c>
      <c r="M166" s="58" t="s">
        <v>1142</v>
      </c>
    </row>
    <row r="167" spans="1:13" s="44" customFormat="1" x14ac:dyDescent="0.25">
      <c r="A167" s="57"/>
      <c r="B167" s="57"/>
      <c r="C167" s="58"/>
      <c r="D167" s="58"/>
      <c r="E167" s="58">
        <v>6</v>
      </c>
      <c r="F167" s="59" t="s">
        <v>2224</v>
      </c>
      <c r="G167" s="58" t="s">
        <v>1037</v>
      </c>
      <c r="H167" s="58">
        <v>1</v>
      </c>
      <c r="I167" s="58">
        <v>20</v>
      </c>
      <c r="J167" s="58" t="s">
        <v>1086</v>
      </c>
      <c r="K167" s="58" t="s">
        <v>1105</v>
      </c>
      <c r="L167" s="58" t="s">
        <v>1124</v>
      </c>
      <c r="M167" s="58" t="s">
        <v>1143</v>
      </c>
    </row>
    <row r="168" spans="1:13" s="44" customFormat="1" x14ac:dyDescent="0.25">
      <c r="A168" s="57"/>
      <c r="B168" s="57"/>
      <c r="C168" s="58"/>
      <c r="D168" s="58"/>
      <c r="E168" s="58">
        <v>7</v>
      </c>
      <c r="F168" s="59" t="s">
        <v>1071</v>
      </c>
      <c r="G168" s="58" t="s">
        <v>1038</v>
      </c>
      <c r="H168" s="58">
        <v>1</v>
      </c>
      <c r="I168" s="58">
        <v>20</v>
      </c>
      <c r="J168" s="58" t="s">
        <v>1087</v>
      </c>
      <c r="K168" s="58" t="s">
        <v>1106</v>
      </c>
      <c r="L168" s="58" t="s">
        <v>1125</v>
      </c>
      <c r="M168" s="58" t="s">
        <v>1144</v>
      </c>
    </row>
    <row r="169" spans="1:13" s="44" customFormat="1" x14ac:dyDescent="0.25">
      <c r="A169" s="57"/>
      <c r="B169" s="57"/>
      <c r="C169" s="58"/>
      <c r="D169" s="58"/>
      <c r="E169" s="58">
        <v>8</v>
      </c>
      <c r="F169" s="59" t="s">
        <v>1072</v>
      </c>
      <c r="G169" s="58" t="s">
        <v>1039</v>
      </c>
      <c r="H169" s="58">
        <v>1</v>
      </c>
      <c r="I169" s="58">
        <v>20</v>
      </c>
      <c r="J169" s="58" t="s">
        <v>1088</v>
      </c>
      <c r="K169" s="58" t="s">
        <v>1107</v>
      </c>
      <c r="L169" s="58" t="s">
        <v>1126</v>
      </c>
      <c r="M169" s="58" t="s">
        <v>1145</v>
      </c>
    </row>
    <row r="170" spans="1:13" s="44" customFormat="1" x14ac:dyDescent="0.25">
      <c r="A170" s="57"/>
      <c r="B170" s="57"/>
      <c r="C170" s="58"/>
      <c r="D170" s="58"/>
      <c r="E170" s="58">
        <v>9</v>
      </c>
      <c r="F170" s="59" t="s">
        <v>1073</v>
      </c>
      <c r="G170" s="58" t="s">
        <v>1040</v>
      </c>
      <c r="H170" s="58">
        <v>1</v>
      </c>
      <c r="I170" s="58">
        <v>20</v>
      </c>
      <c r="J170" s="58" t="s">
        <v>1089</v>
      </c>
      <c r="K170" s="58" t="s">
        <v>1108</v>
      </c>
      <c r="L170" s="58" t="s">
        <v>1127</v>
      </c>
      <c r="M170" s="58" t="s">
        <v>1146</v>
      </c>
    </row>
    <row r="171" spans="1:13" s="44" customFormat="1" x14ac:dyDescent="0.25">
      <c r="A171" s="57"/>
      <c r="B171" s="57"/>
      <c r="C171" s="58"/>
      <c r="D171" s="58"/>
      <c r="E171" s="58">
        <v>10</v>
      </c>
      <c r="F171" s="59" t="s">
        <v>143</v>
      </c>
      <c r="G171" s="58" t="s">
        <v>1041</v>
      </c>
      <c r="H171" s="58">
        <v>1</v>
      </c>
      <c r="I171" s="58">
        <v>20</v>
      </c>
      <c r="J171" s="58" t="s">
        <v>1090</v>
      </c>
      <c r="K171" s="58" t="s">
        <v>1109</v>
      </c>
      <c r="L171" s="58" t="s">
        <v>1128</v>
      </c>
      <c r="M171" s="58" t="s">
        <v>1147</v>
      </c>
    </row>
    <row r="172" spans="1:13" s="44" customFormat="1" x14ac:dyDescent="0.25">
      <c r="A172" s="57"/>
      <c r="B172" s="57"/>
      <c r="C172" s="58"/>
      <c r="D172" s="58"/>
      <c r="E172" s="58">
        <v>11</v>
      </c>
      <c r="F172" s="59" t="s">
        <v>162</v>
      </c>
      <c r="G172" s="58" t="s">
        <v>1042</v>
      </c>
      <c r="H172" s="58">
        <v>1</v>
      </c>
      <c r="I172" s="58">
        <v>20</v>
      </c>
      <c r="J172" s="58" t="s">
        <v>1091</v>
      </c>
      <c r="K172" s="58" t="s">
        <v>1110</v>
      </c>
      <c r="L172" s="58" t="s">
        <v>1129</v>
      </c>
      <c r="M172" s="58" t="s">
        <v>1148</v>
      </c>
    </row>
    <row r="173" spans="1:13" s="44" customFormat="1" x14ac:dyDescent="0.25">
      <c r="A173" s="57"/>
      <c r="B173" s="57"/>
      <c r="C173" s="58"/>
      <c r="D173" s="58"/>
      <c r="E173" s="58">
        <v>12</v>
      </c>
      <c r="F173" s="59" t="s">
        <v>1074</v>
      </c>
      <c r="G173" s="58" t="s">
        <v>1043</v>
      </c>
      <c r="H173" s="58">
        <v>1</v>
      </c>
      <c r="I173" s="58">
        <v>20</v>
      </c>
      <c r="J173" s="58" t="s">
        <v>1092</v>
      </c>
      <c r="K173" s="58" t="s">
        <v>1111</v>
      </c>
      <c r="L173" s="58" t="s">
        <v>1130</v>
      </c>
      <c r="M173" s="58" t="s">
        <v>1149</v>
      </c>
    </row>
    <row r="174" spans="1:13" s="44" customFormat="1" x14ac:dyDescent="0.25">
      <c r="A174" s="57"/>
      <c r="B174" s="57"/>
      <c r="C174" s="58"/>
      <c r="D174" s="58"/>
      <c r="E174" s="58">
        <v>13</v>
      </c>
      <c r="F174" s="59" t="s">
        <v>1006</v>
      </c>
      <c r="G174" s="58" t="s">
        <v>1044</v>
      </c>
      <c r="H174" s="58">
        <v>1</v>
      </c>
      <c r="I174" s="58">
        <v>20</v>
      </c>
      <c r="J174" s="58" t="s">
        <v>1093</v>
      </c>
      <c r="K174" s="58" t="s">
        <v>1112</v>
      </c>
      <c r="L174" s="58" t="s">
        <v>1131</v>
      </c>
      <c r="M174" s="58" t="s">
        <v>1150</v>
      </c>
    </row>
    <row r="175" spans="1:13" s="44" customFormat="1" x14ac:dyDescent="0.25">
      <c r="A175" s="57"/>
      <c r="B175" s="57"/>
      <c r="C175" s="58"/>
      <c r="D175" s="58"/>
      <c r="E175" s="58">
        <v>14</v>
      </c>
      <c r="F175" s="59" t="s">
        <v>1075</v>
      </c>
      <c r="G175" s="58" t="s">
        <v>1045</v>
      </c>
      <c r="H175" s="58">
        <v>1</v>
      </c>
      <c r="I175" s="58">
        <v>20</v>
      </c>
      <c r="J175" s="58" t="s">
        <v>1094</v>
      </c>
      <c r="K175" s="58" t="s">
        <v>1113</v>
      </c>
      <c r="L175" s="58" t="s">
        <v>1132</v>
      </c>
      <c r="M175" s="58" t="s">
        <v>1151</v>
      </c>
    </row>
    <row r="176" spans="1:13" s="44" customFormat="1" x14ac:dyDescent="0.25">
      <c r="A176" s="57"/>
      <c r="B176" s="57"/>
      <c r="C176" s="58"/>
      <c r="D176" s="58"/>
      <c r="E176" s="58">
        <v>15</v>
      </c>
      <c r="F176" s="59" t="s">
        <v>1008</v>
      </c>
      <c r="G176" s="58" t="s">
        <v>1046</v>
      </c>
      <c r="H176" s="58">
        <v>1</v>
      </c>
      <c r="I176" s="58">
        <v>20</v>
      </c>
      <c r="J176" s="58" t="s">
        <v>1095</v>
      </c>
      <c r="K176" s="58" t="s">
        <v>1114</v>
      </c>
      <c r="L176" s="58" t="s">
        <v>1133</v>
      </c>
      <c r="M176" s="58" t="s">
        <v>1152</v>
      </c>
    </row>
    <row r="177" spans="1:13" s="44" customFormat="1" x14ac:dyDescent="0.25">
      <c r="A177" s="57"/>
      <c r="B177" s="57"/>
      <c r="C177" s="58"/>
      <c r="D177" s="58"/>
      <c r="E177" s="58">
        <v>16</v>
      </c>
      <c r="F177" s="59" t="s">
        <v>1076</v>
      </c>
      <c r="G177" s="58" t="s">
        <v>1047</v>
      </c>
      <c r="H177" s="58">
        <v>1</v>
      </c>
      <c r="I177" s="58">
        <v>20</v>
      </c>
      <c r="J177" s="58" t="s">
        <v>1096</v>
      </c>
      <c r="K177" s="58" t="s">
        <v>1115</v>
      </c>
      <c r="L177" s="58" t="s">
        <v>1134</v>
      </c>
      <c r="M177" s="58" t="s">
        <v>1153</v>
      </c>
    </row>
    <row r="178" spans="1:13" s="44" customFormat="1" x14ac:dyDescent="0.25">
      <c r="A178" s="57"/>
      <c r="B178" s="57"/>
      <c r="C178" s="58"/>
      <c r="D178" s="58"/>
      <c r="E178" s="58">
        <v>17</v>
      </c>
      <c r="F178" s="59" t="s">
        <v>1077</v>
      </c>
      <c r="G178" s="58" t="s">
        <v>1048</v>
      </c>
      <c r="H178" s="58">
        <v>1</v>
      </c>
      <c r="I178" s="58">
        <v>20</v>
      </c>
      <c r="J178" s="58" t="s">
        <v>1097</v>
      </c>
      <c r="K178" s="58" t="s">
        <v>1116</v>
      </c>
      <c r="L178" s="58" t="s">
        <v>1135</v>
      </c>
      <c r="M178" s="58" t="s">
        <v>1154</v>
      </c>
    </row>
    <row r="179" spans="1:13" s="44" customFormat="1" x14ac:dyDescent="0.25">
      <c r="A179" s="57"/>
      <c r="B179" s="57"/>
      <c r="C179" s="58"/>
      <c r="D179" s="58"/>
      <c r="E179" s="58">
        <v>18</v>
      </c>
      <c r="F179" s="59" t="s">
        <v>1078</v>
      </c>
      <c r="G179" s="58" t="s">
        <v>1049</v>
      </c>
      <c r="H179" s="58">
        <v>1</v>
      </c>
      <c r="I179" s="58">
        <v>20</v>
      </c>
      <c r="J179" s="58" t="s">
        <v>1098</v>
      </c>
      <c r="K179" s="58" t="s">
        <v>1117</v>
      </c>
      <c r="L179" s="58" t="s">
        <v>1136</v>
      </c>
      <c r="M179" s="58" t="s">
        <v>1155</v>
      </c>
    </row>
    <row r="180" spans="1:13" s="44" customFormat="1" x14ac:dyDescent="0.25">
      <c r="A180" s="57"/>
      <c r="B180" s="57"/>
      <c r="C180" s="58"/>
      <c r="D180" s="58"/>
      <c r="E180" s="58">
        <v>19</v>
      </c>
      <c r="F180" s="59" t="s">
        <v>1079</v>
      </c>
      <c r="G180" s="58" t="s">
        <v>1050</v>
      </c>
      <c r="H180" s="58">
        <v>1</v>
      </c>
      <c r="I180" s="58">
        <v>20</v>
      </c>
      <c r="J180" s="58" t="s">
        <v>1099</v>
      </c>
      <c r="K180" s="58" t="s">
        <v>1118</v>
      </c>
      <c r="L180" s="58" t="s">
        <v>1137</v>
      </c>
      <c r="M180" s="58" t="s">
        <v>1156</v>
      </c>
    </row>
    <row r="181" spans="1:13" s="44" customFormat="1" x14ac:dyDescent="0.25">
      <c r="A181" s="57"/>
      <c r="B181" s="57"/>
      <c r="C181" s="58"/>
      <c r="D181" s="58"/>
      <c r="E181" s="58">
        <v>20</v>
      </c>
      <c r="F181" s="59" t="s">
        <v>1013</v>
      </c>
      <c r="G181" s="58" t="s">
        <v>1051</v>
      </c>
      <c r="H181" s="58">
        <v>1</v>
      </c>
      <c r="I181" s="58">
        <v>20</v>
      </c>
      <c r="J181" s="58" t="s">
        <v>1208</v>
      </c>
      <c r="K181" s="58" t="s">
        <v>1190</v>
      </c>
      <c r="L181" s="58" t="s">
        <v>1172</v>
      </c>
      <c r="M181" s="58" t="s">
        <v>1157</v>
      </c>
    </row>
    <row r="182" spans="1:13" s="44" customFormat="1" ht="15" customHeight="1" x14ac:dyDescent="0.25">
      <c r="A182" s="57"/>
      <c r="B182" s="57"/>
      <c r="C182" s="58"/>
      <c r="D182" s="58"/>
      <c r="E182" s="58">
        <v>21</v>
      </c>
      <c r="F182" s="60" t="s">
        <v>2225</v>
      </c>
      <c r="G182" s="58" t="s">
        <v>1052</v>
      </c>
      <c r="H182" s="58">
        <v>1</v>
      </c>
      <c r="I182" s="58">
        <v>20</v>
      </c>
      <c r="J182" s="58" t="s">
        <v>2226</v>
      </c>
      <c r="K182" s="58" t="s">
        <v>2227</v>
      </c>
      <c r="L182" s="61" t="s">
        <v>2228</v>
      </c>
      <c r="M182" s="58" t="s">
        <v>2229</v>
      </c>
    </row>
    <row r="183" spans="1:13" s="44" customFormat="1" ht="15" customHeight="1" x14ac:dyDescent="0.25">
      <c r="A183" s="57"/>
      <c r="B183" s="57"/>
      <c r="C183" s="58"/>
      <c r="D183" s="58"/>
      <c r="E183" s="58">
        <v>22</v>
      </c>
      <c r="F183" s="60" t="s">
        <v>2230</v>
      </c>
      <c r="G183" s="58" t="s">
        <v>1053</v>
      </c>
      <c r="H183" s="58">
        <v>1</v>
      </c>
      <c r="I183" s="58">
        <v>20</v>
      </c>
      <c r="J183" s="58" t="s">
        <v>1209</v>
      </c>
      <c r="K183" s="58" t="s">
        <v>1191</v>
      </c>
      <c r="L183" s="58" t="s">
        <v>1173</v>
      </c>
      <c r="M183" s="58" t="s">
        <v>1158</v>
      </c>
    </row>
    <row r="184" spans="1:13" s="44" customFormat="1" ht="15" customHeight="1" x14ac:dyDescent="0.25">
      <c r="A184" s="57"/>
      <c r="B184" s="57"/>
      <c r="C184" s="58"/>
      <c r="D184" s="58"/>
      <c r="E184" s="58">
        <v>23</v>
      </c>
      <c r="F184" s="57" t="s">
        <v>2231</v>
      </c>
      <c r="G184" s="58" t="s">
        <v>1226</v>
      </c>
      <c r="H184" s="58">
        <v>1</v>
      </c>
      <c r="I184" s="58">
        <v>20</v>
      </c>
      <c r="J184" s="58" t="s">
        <v>1872</v>
      </c>
      <c r="K184" s="58" t="s">
        <v>1192</v>
      </c>
      <c r="L184" s="58" t="s">
        <v>1174</v>
      </c>
      <c r="M184" s="61" t="s">
        <v>2232</v>
      </c>
    </row>
    <row r="185" spans="1:13" s="44" customFormat="1" ht="15" customHeight="1" x14ac:dyDescent="0.25">
      <c r="A185" s="57"/>
      <c r="B185" s="57"/>
      <c r="C185" s="57"/>
      <c r="D185" s="57"/>
      <c r="E185" s="58">
        <v>24</v>
      </c>
      <c r="F185" s="57" t="s">
        <v>2233</v>
      </c>
      <c r="G185" s="58" t="s">
        <v>1054</v>
      </c>
      <c r="H185" s="58">
        <v>1</v>
      </c>
      <c r="I185" s="58">
        <v>20</v>
      </c>
      <c r="J185" s="58" t="s">
        <v>1210</v>
      </c>
      <c r="K185" s="58" t="s">
        <v>1193</v>
      </c>
      <c r="L185" s="58" t="s">
        <v>1175</v>
      </c>
      <c r="M185" s="58" t="s">
        <v>1159</v>
      </c>
    </row>
    <row r="186" spans="1:13" s="44" customFormat="1" ht="15" customHeight="1" x14ac:dyDescent="0.25">
      <c r="A186" s="57"/>
      <c r="B186" s="57"/>
      <c r="C186" s="57"/>
      <c r="D186" s="57"/>
      <c r="E186" s="58">
        <v>25</v>
      </c>
      <c r="F186" s="57" t="s">
        <v>2234</v>
      </c>
      <c r="G186" s="58" t="s">
        <v>1055</v>
      </c>
      <c r="H186" s="58">
        <v>1</v>
      </c>
      <c r="I186" s="58">
        <v>20</v>
      </c>
      <c r="J186" s="58" t="s">
        <v>1211</v>
      </c>
      <c r="K186" s="58" t="s">
        <v>1194</v>
      </c>
      <c r="L186" s="58" t="s">
        <v>1176</v>
      </c>
      <c r="M186" s="58" t="s">
        <v>1160</v>
      </c>
    </row>
    <row r="187" spans="1:13" s="44" customFormat="1" ht="15" customHeight="1" x14ac:dyDescent="0.25">
      <c r="A187" s="57"/>
      <c r="B187" s="57"/>
      <c r="C187" s="57"/>
      <c r="D187" s="57"/>
      <c r="E187" s="58">
        <v>26</v>
      </c>
      <c r="F187" s="57" t="s">
        <v>2203</v>
      </c>
      <c r="G187" s="58" t="s">
        <v>1056</v>
      </c>
      <c r="H187" s="58">
        <v>1</v>
      </c>
      <c r="I187" s="58">
        <v>20</v>
      </c>
      <c r="J187" s="58" t="s">
        <v>1212</v>
      </c>
      <c r="K187" s="58" t="s">
        <v>1195</v>
      </c>
      <c r="L187" s="58" t="s">
        <v>1177</v>
      </c>
      <c r="M187" s="58" t="s">
        <v>1161</v>
      </c>
    </row>
    <row r="188" spans="1:13" s="44" customFormat="1" ht="15" customHeight="1" x14ac:dyDescent="0.25">
      <c r="A188" s="57"/>
      <c r="B188" s="57"/>
      <c r="C188" s="57"/>
      <c r="D188" s="57"/>
      <c r="E188" s="58">
        <v>27</v>
      </c>
      <c r="F188" s="57" t="s">
        <v>2235</v>
      </c>
      <c r="G188" s="58" t="s">
        <v>1057</v>
      </c>
      <c r="H188" s="58">
        <v>1</v>
      </c>
      <c r="I188" s="58">
        <v>20</v>
      </c>
      <c r="J188" s="58" t="s">
        <v>1213</v>
      </c>
      <c r="K188" s="58" t="s">
        <v>1196</v>
      </c>
      <c r="L188" s="58" t="s">
        <v>1178</v>
      </c>
      <c r="M188" s="58" t="s">
        <v>2236</v>
      </c>
    </row>
    <row r="189" spans="1:13" s="44" customFormat="1" ht="15" customHeight="1" x14ac:dyDescent="0.25">
      <c r="A189" s="57"/>
      <c r="B189" s="57"/>
      <c r="C189" s="57"/>
      <c r="D189" s="57"/>
      <c r="E189" s="58">
        <v>28</v>
      </c>
      <c r="F189" s="57" t="s">
        <v>2237</v>
      </c>
      <c r="G189" s="58" t="s">
        <v>1058</v>
      </c>
      <c r="H189" s="58">
        <v>1</v>
      </c>
      <c r="I189" s="58">
        <v>20</v>
      </c>
      <c r="J189" s="58" t="s">
        <v>1214</v>
      </c>
      <c r="K189" s="58" t="s">
        <v>1197</v>
      </c>
      <c r="L189" s="58" t="s">
        <v>1179</v>
      </c>
      <c r="M189" s="58" t="s">
        <v>1162</v>
      </c>
    </row>
    <row r="190" spans="1:13" s="44" customFormat="1" ht="15" customHeight="1" x14ac:dyDescent="0.25">
      <c r="A190" s="57"/>
      <c r="B190" s="57"/>
      <c r="C190" s="57"/>
      <c r="D190" s="57"/>
      <c r="E190" s="58">
        <v>29</v>
      </c>
      <c r="F190" s="57" t="s">
        <v>2238</v>
      </c>
      <c r="G190" s="58" t="s">
        <v>1059</v>
      </c>
      <c r="H190" s="58">
        <v>1</v>
      </c>
      <c r="I190" s="58">
        <v>20</v>
      </c>
      <c r="J190" s="58" t="s">
        <v>1215</v>
      </c>
      <c r="K190" s="58" t="s">
        <v>1198</v>
      </c>
      <c r="L190" s="58" t="s">
        <v>1180</v>
      </c>
      <c r="M190" s="58" t="s">
        <v>2239</v>
      </c>
    </row>
    <row r="191" spans="1:13" s="44" customFormat="1" ht="15" customHeight="1" x14ac:dyDescent="0.25">
      <c r="A191" s="57"/>
      <c r="B191" s="57"/>
      <c r="C191" s="57"/>
      <c r="D191" s="57"/>
      <c r="E191" s="58">
        <v>30</v>
      </c>
      <c r="F191" s="57" t="s">
        <v>2240</v>
      </c>
      <c r="G191" s="58" t="s">
        <v>1060</v>
      </c>
      <c r="H191" s="58">
        <v>1</v>
      </c>
      <c r="I191" s="58">
        <v>20</v>
      </c>
      <c r="J191" s="58" t="s">
        <v>1216</v>
      </c>
      <c r="K191" s="58" t="s">
        <v>1199</v>
      </c>
      <c r="L191" s="58" t="s">
        <v>1181</v>
      </c>
      <c r="M191" s="58" t="s">
        <v>1163</v>
      </c>
    </row>
    <row r="192" spans="1:13" s="44" customFormat="1" ht="15" customHeight="1" x14ac:dyDescent="0.25">
      <c r="A192" s="57"/>
      <c r="B192" s="57"/>
      <c r="C192" s="57"/>
      <c r="D192" s="57"/>
      <c r="E192" s="58">
        <v>31</v>
      </c>
      <c r="F192" s="57" t="s">
        <v>2241</v>
      </c>
      <c r="G192" s="58" t="s">
        <v>1061</v>
      </c>
      <c r="H192" s="58">
        <v>1</v>
      </c>
      <c r="I192" s="58">
        <v>20</v>
      </c>
      <c r="J192" s="58" t="s">
        <v>1873</v>
      </c>
      <c r="K192" s="58" t="s">
        <v>1200</v>
      </c>
      <c r="L192" s="58" t="s">
        <v>1182</v>
      </c>
      <c r="M192" s="58" t="s">
        <v>1164</v>
      </c>
    </row>
    <row r="193" spans="1:17" s="44" customFormat="1" ht="15" customHeight="1" x14ac:dyDescent="0.25">
      <c r="A193" s="57"/>
      <c r="B193" s="57"/>
      <c r="C193" s="57"/>
      <c r="D193" s="57"/>
      <c r="E193" s="58">
        <v>32</v>
      </c>
      <c r="F193" s="57" t="s">
        <v>2242</v>
      </c>
      <c r="G193" s="58" t="s">
        <v>1062</v>
      </c>
      <c r="H193" s="58">
        <v>1</v>
      </c>
      <c r="I193" s="58">
        <v>20</v>
      </c>
      <c r="J193" s="58" t="s">
        <v>1217</v>
      </c>
      <c r="K193" s="58" t="s">
        <v>2243</v>
      </c>
      <c r="L193" s="58" t="s">
        <v>1869</v>
      </c>
      <c r="M193" s="58" t="s">
        <v>1165</v>
      </c>
    </row>
    <row r="194" spans="1:17" s="44" customFormat="1" ht="15" customHeight="1" x14ac:dyDescent="0.25">
      <c r="A194" s="57"/>
      <c r="B194" s="57"/>
      <c r="C194" s="57"/>
      <c r="D194" s="57"/>
      <c r="E194" s="58">
        <v>33</v>
      </c>
      <c r="F194" s="57" t="s">
        <v>2244</v>
      </c>
      <c r="G194" s="58" t="s">
        <v>1063</v>
      </c>
      <c r="H194" s="58">
        <v>1</v>
      </c>
      <c r="I194" s="58">
        <v>20</v>
      </c>
      <c r="J194" s="58" t="s">
        <v>1218</v>
      </c>
      <c r="K194" s="58" t="s">
        <v>1201</v>
      </c>
      <c r="L194" s="58" t="s">
        <v>1183</v>
      </c>
      <c r="M194" s="58" t="s">
        <v>1166</v>
      </c>
    </row>
    <row r="195" spans="1:17" s="44" customFormat="1" ht="15" customHeight="1" x14ac:dyDescent="0.25">
      <c r="A195" s="57"/>
      <c r="B195" s="57"/>
      <c r="C195" s="57"/>
      <c r="D195" s="57"/>
      <c r="E195" s="58">
        <v>34</v>
      </c>
      <c r="F195" s="57" t="s">
        <v>2245</v>
      </c>
      <c r="G195" s="58" t="s">
        <v>1064</v>
      </c>
      <c r="H195" s="58">
        <v>1</v>
      </c>
      <c r="I195" s="58">
        <v>20</v>
      </c>
      <c r="J195" s="58" t="s">
        <v>1219</v>
      </c>
      <c r="K195" s="58" t="s">
        <v>1202</v>
      </c>
      <c r="L195" s="58" t="s">
        <v>1184</v>
      </c>
      <c r="M195" s="58" t="s">
        <v>1167</v>
      </c>
    </row>
    <row r="196" spans="1:17" s="44" customFormat="1" ht="15" customHeight="1" x14ac:dyDescent="0.25">
      <c r="A196" s="57"/>
      <c r="B196" s="57"/>
      <c r="C196" s="57"/>
      <c r="D196" s="57"/>
      <c r="E196" s="58">
        <v>35</v>
      </c>
      <c r="F196" s="57" t="s">
        <v>2246</v>
      </c>
      <c r="G196" s="58" t="s">
        <v>1065</v>
      </c>
      <c r="H196" s="58">
        <v>1</v>
      </c>
      <c r="I196" s="58">
        <v>20</v>
      </c>
      <c r="J196" s="58" t="s">
        <v>1220</v>
      </c>
      <c r="K196" s="58" t="s">
        <v>1203</v>
      </c>
      <c r="L196" s="58" t="s">
        <v>1185</v>
      </c>
      <c r="M196" s="58" t="s">
        <v>1168</v>
      </c>
    </row>
    <row r="197" spans="1:17" s="44" customFormat="1" ht="15" customHeight="1" x14ac:dyDescent="0.25">
      <c r="A197" s="57"/>
      <c r="B197" s="57"/>
      <c r="C197" s="57"/>
      <c r="D197" s="57"/>
      <c r="E197" s="58">
        <v>36</v>
      </c>
      <c r="F197" s="57" t="s">
        <v>2247</v>
      </c>
      <c r="G197" s="58" t="s">
        <v>1066</v>
      </c>
      <c r="H197" s="58">
        <v>1</v>
      </c>
      <c r="I197" s="58">
        <v>20</v>
      </c>
      <c r="J197" s="58" t="s">
        <v>1221</v>
      </c>
      <c r="K197" s="58" t="s">
        <v>1204</v>
      </c>
      <c r="L197" s="58" t="s">
        <v>1186</v>
      </c>
      <c r="M197" s="58" t="s">
        <v>1169</v>
      </c>
    </row>
    <row r="198" spans="1:17" s="44" customFormat="1" ht="15" customHeight="1" x14ac:dyDescent="0.25">
      <c r="A198" s="57"/>
      <c r="B198" s="57"/>
      <c r="C198" s="57"/>
      <c r="D198" s="57"/>
      <c r="E198" s="58">
        <v>37</v>
      </c>
      <c r="F198" s="57" t="s">
        <v>2248</v>
      </c>
      <c r="G198" s="58" t="s">
        <v>1067</v>
      </c>
      <c r="H198" s="58">
        <v>1</v>
      </c>
      <c r="I198" s="58">
        <v>20</v>
      </c>
      <c r="J198" s="58" t="s">
        <v>1222</v>
      </c>
      <c r="K198" s="58" t="s">
        <v>1205</v>
      </c>
      <c r="L198" s="58" t="s">
        <v>1187</v>
      </c>
      <c r="M198" s="58" t="s">
        <v>1170</v>
      </c>
    </row>
    <row r="199" spans="1:17" s="44" customFormat="1" ht="15" customHeight="1" x14ac:dyDescent="0.25">
      <c r="A199" s="57"/>
      <c r="B199" s="57"/>
      <c r="C199" s="57"/>
      <c r="D199" s="57"/>
      <c r="E199" s="58">
        <v>38</v>
      </c>
      <c r="F199" s="57" t="s">
        <v>2249</v>
      </c>
      <c r="G199" s="58" t="s">
        <v>1068</v>
      </c>
      <c r="H199" s="58">
        <v>1</v>
      </c>
      <c r="I199" s="58">
        <v>20</v>
      </c>
      <c r="J199" s="58" t="s">
        <v>1223</v>
      </c>
      <c r="K199" s="58" t="s">
        <v>1206</v>
      </c>
      <c r="L199" s="58" t="s">
        <v>1188</v>
      </c>
      <c r="M199" s="58" t="s">
        <v>1171</v>
      </c>
    </row>
    <row r="200" spans="1:17" s="44" customFormat="1" ht="15" customHeight="1" x14ac:dyDescent="0.25">
      <c r="A200" s="57"/>
      <c r="B200" s="57"/>
      <c r="C200" s="57"/>
      <c r="D200" s="57"/>
      <c r="E200" s="58">
        <v>39</v>
      </c>
      <c r="F200" s="57" t="s">
        <v>2250</v>
      </c>
      <c r="G200" s="58" t="s">
        <v>1069</v>
      </c>
      <c r="H200" s="58">
        <v>1</v>
      </c>
      <c r="I200" s="58">
        <v>20</v>
      </c>
      <c r="J200" s="58" t="s">
        <v>1874</v>
      </c>
      <c r="K200" s="58" t="s">
        <v>1871</v>
      </c>
      <c r="L200" s="58" t="s">
        <v>1870</v>
      </c>
      <c r="M200" s="58" t="s">
        <v>1867</v>
      </c>
    </row>
    <row r="201" spans="1:17" s="44" customFormat="1" ht="15" customHeight="1" x14ac:dyDescent="0.25">
      <c r="A201" s="57"/>
      <c r="B201" s="57"/>
      <c r="C201" s="57"/>
      <c r="D201" s="57"/>
      <c r="E201" s="58">
        <v>40</v>
      </c>
      <c r="F201" s="57" t="s">
        <v>2251</v>
      </c>
      <c r="G201" s="58" t="s">
        <v>1070</v>
      </c>
      <c r="H201" s="58">
        <v>1</v>
      </c>
      <c r="I201" s="58">
        <v>20</v>
      </c>
      <c r="J201" s="58" t="s">
        <v>1224</v>
      </c>
      <c r="K201" s="58" t="s">
        <v>1207</v>
      </c>
      <c r="L201" s="58" t="s">
        <v>1189</v>
      </c>
      <c r="M201" s="58" t="s">
        <v>1868</v>
      </c>
    </row>
    <row r="202" spans="1:17" s="44" customFormat="1" ht="15" customHeight="1" x14ac:dyDescent="0.25">
      <c r="A202" s="62"/>
      <c r="B202" s="62"/>
      <c r="C202" s="62">
        <v>6</v>
      </c>
      <c r="D202" s="62" t="s">
        <v>1250</v>
      </c>
      <c r="E202" s="62">
        <v>1</v>
      </c>
      <c r="F202" s="64" t="s">
        <v>2582</v>
      </c>
      <c r="G202" s="62" t="s">
        <v>2378</v>
      </c>
      <c r="H202" s="62">
        <v>1</v>
      </c>
      <c r="I202" s="62">
        <v>20</v>
      </c>
      <c r="J202" s="63" t="s">
        <v>2418</v>
      </c>
      <c r="K202" s="63" t="s">
        <v>2419</v>
      </c>
      <c r="L202" s="63" t="s">
        <v>2420</v>
      </c>
      <c r="M202" s="63" t="s">
        <v>2421</v>
      </c>
      <c r="N202" s="44" t="str">
        <f>CONCATENATE("a. ",(J202))</f>
        <v>a. a. He left his son in Egypt.</v>
      </c>
      <c r="O202" s="44" t="str">
        <f>CONCATENATE("b. ",(K202))</f>
        <v>b. b. He became king when he was a baby.</v>
      </c>
      <c r="P202" s="44" t="str">
        <f>CONCATENATE("c. ",(L202))</f>
        <v>c. c. He participated in the overthrow of Hosni Mubarak.</v>
      </c>
      <c r="Q202" s="44" t="str">
        <f>CONCATENATE("d. ",(M202))</f>
        <v>d. d. He has declared plans to return to Egypt.</v>
      </c>
    </row>
    <row r="203" spans="1:17" s="44" customFormat="1" ht="15" customHeight="1" x14ac:dyDescent="0.25">
      <c r="A203" s="62"/>
      <c r="B203" s="62"/>
      <c r="C203" s="62"/>
      <c r="D203" s="62" t="s">
        <v>2027</v>
      </c>
      <c r="E203" s="62">
        <v>2</v>
      </c>
      <c r="F203" s="64" t="s">
        <v>2374</v>
      </c>
      <c r="G203" s="62" t="s">
        <v>2379</v>
      </c>
      <c r="H203" s="62">
        <v>1</v>
      </c>
      <c r="I203" s="62">
        <v>20</v>
      </c>
      <c r="J203" s="63" t="s">
        <v>2422</v>
      </c>
      <c r="K203" s="63" t="s">
        <v>2423</v>
      </c>
      <c r="L203" s="63" t="s">
        <v>2424</v>
      </c>
      <c r="M203" s="63" t="s">
        <v>2425</v>
      </c>
      <c r="N203" s="44" t="str">
        <f t="shared" ref="N203:N241" si="12">CONCATENATE("a. ",(J203))</f>
        <v>a. a. To get help with drug addiction.</v>
      </c>
      <c r="O203" s="44" t="str">
        <f t="shared" ref="O203:O241" si="13">CONCATENATE("b. ",(K203))</f>
        <v>b. b. To help a friend with behavioral problems.</v>
      </c>
      <c r="P203" s="44" t="str">
        <f t="shared" ref="P203:P241" si="14">CONCATENATE("c. ",(L203))</f>
        <v>c. c. To get help for a mental disorder.</v>
      </c>
      <c r="Q203" s="44" t="str">
        <f t="shared" ref="Q203:Q241" si="15">CONCATENATE("d. ",(M203))</f>
        <v xml:space="preserve">d. d. To research a novel.                                                                                                           </v>
      </c>
    </row>
    <row r="204" spans="1:17" s="44" customFormat="1" ht="15" customHeight="1" x14ac:dyDescent="0.25">
      <c r="A204" s="62"/>
      <c r="B204" s="62"/>
      <c r="C204" s="62"/>
      <c r="D204" s="62" t="s">
        <v>16</v>
      </c>
      <c r="E204" s="62">
        <v>3</v>
      </c>
      <c r="F204" s="64" t="s">
        <v>2583</v>
      </c>
      <c r="G204" s="62" t="s">
        <v>2380</v>
      </c>
      <c r="H204" s="62">
        <v>1</v>
      </c>
      <c r="I204" s="62">
        <v>20</v>
      </c>
      <c r="J204" s="63" t="s">
        <v>2426</v>
      </c>
      <c r="K204" s="63" t="s">
        <v>2427</v>
      </c>
      <c r="L204" s="63" t="s">
        <v>2428</v>
      </c>
      <c r="M204" s="63" t="s">
        <v>2429</v>
      </c>
      <c r="N204" s="44" t="str">
        <f t="shared" si="12"/>
        <v>a. a. Markpress helped the Nigerian Government</v>
      </c>
      <c r="O204" s="44" t="str">
        <f t="shared" si="13"/>
        <v>b. b. A public relations agency changed the way people saw war</v>
      </c>
      <c r="P204" s="44" t="str">
        <f t="shared" si="14"/>
        <v>c. c. People in the west ignored  the Biafran war</v>
      </c>
      <c r="Q204" s="44" t="str">
        <f t="shared" si="15"/>
        <v>d. d. The Biafran  government transformed  relations with the West</v>
      </c>
    </row>
    <row r="205" spans="1:17" s="44" customFormat="1" ht="15" customHeight="1" x14ac:dyDescent="0.25">
      <c r="A205" s="62"/>
      <c r="B205" s="62"/>
      <c r="C205" s="62"/>
      <c r="D205" s="62"/>
      <c r="E205" s="62">
        <v>4</v>
      </c>
      <c r="F205" s="64" t="s">
        <v>2584</v>
      </c>
      <c r="G205" s="62" t="s">
        <v>2381</v>
      </c>
      <c r="H205" s="62">
        <v>1</v>
      </c>
      <c r="I205" s="62">
        <v>20</v>
      </c>
      <c r="J205" s="63" t="s">
        <v>2430</v>
      </c>
      <c r="K205" s="63" t="s">
        <v>2431</v>
      </c>
      <c r="L205" s="63" t="s">
        <v>2432</v>
      </c>
      <c r="M205" s="63" t="s">
        <v>2433</v>
      </c>
      <c r="N205" s="44" t="str">
        <f t="shared" si="12"/>
        <v>a. a. The truth about the seven dwarfs</v>
      </c>
      <c r="O205" s="44" t="str">
        <f t="shared" si="13"/>
        <v>b. b. There are no diamond mines any more</v>
      </c>
      <c r="P205" s="44" t="str">
        <f t="shared" si="14"/>
        <v>c. c. There is a shortage of miners</v>
      </c>
      <c r="Q205" s="44" t="str">
        <f t="shared" si="15"/>
        <v>d. d. Fewer Americans do physically demanding work</v>
      </c>
    </row>
    <row r="206" spans="1:17" s="44" customFormat="1" ht="15" customHeight="1" x14ac:dyDescent="0.25">
      <c r="A206" s="62"/>
      <c r="B206" s="62"/>
      <c r="C206" s="62"/>
      <c r="D206" s="62"/>
      <c r="E206" s="62">
        <v>5</v>
      </c>
      <c r="F206" s="64" t="s">
        <v>2585</v>
      </c>
      <c r="G206" s="62" t="s">
        <v>2382</v>
      </c>
      <c r="H206" s="62">
        <v>1</v>
      </c>
      <c r="I206" s="62">
        <v>20</v>
      </c>
      <c r="J206" s="63" t="s">
        <v>2434</v>
      </c>
      <c r="K206" s="63" t="s">
        <v>2435</v>
      </c>
      <c r="L206" s="63" t="s">
        <v>2436</v>
      </c>
      <c r="M206" s="63" t="s">
        <v>2437</v>
      </c>
      <c r="N206" s="44" t="str">
        <f t="shared" si="12"/>
        <v>a. a. It has cut economic ties with the Syrian regime</v>
      </c>
      <c r="O206" s="44" t="str">
        <f t="shared" si="13"/>
        <v>b. b. It has objected to Syrian  treatment of demonstrators</v>
      </c>
      <c r="P206" s="44" t="str">
        <f t="shared" si="14"/>
        <v>c. c. It found a new way to deal with dissidents</v>
      </c>
      <c r="Q206" s="44" t="str">
        <f t="shared" si="15"/>
        <v>d. d. It consulted with other Arab nations</v>
      </c>
    </row>
    <row r="207" spans="1:17" s="44" customFormat="1" ht="15" customHeight="1" x14ac:dyDescent="0.25">
      <c r="A207" s="62"/>
      <c r="B207" s="62"/>
      <c r="C207" s="62"/>
      <c r="D207" s="62"/>
      <c r="E207" s="62">
        <v>6</v>
      </c>
      <c r="F207" s="64" t="s">
        <v>2586</v>
      </c>
      <c r="G207" s="62" t="s">
        <v>2383</v>
      </c>
      <c r="H207" s="62">
        <v>1</v>
      </c>
      <c r="I207" s="62">
        <v>20</v>
      </c>
      <c r="J207" s="63" t="s">
        <v>2438</v>
      </c>
      <c r="K207" s="63" t="s">
        <v>2439</v>
      </c>
      <c r="L207" s="63" t="s">
        <v>2440</v>
      </c>
      <c r="M207" s="63" t="s">
        <v>2441</v>
      </c>
      <c r="N207" s="44" t="str">
        <f t="shared" si="12"/>
        <v>a. a. It favours  targeting coercive measures on Syria’s  natural resources</v>
      </c>
      <c r="O207" s="44" t="str">
        <f t="shared" si="13"/>
        <v xml:space="preserve">b. b. It has suggested December as a deadline for a decision to be taken </v>
      </c>
      <c r="P207" s="44" t="str">
        <f t="shared" si="14"/>
        <v>c. c. It wants to punish ordinary citizens</v>
      </c>
      <c r="Q207" s="44" t="str">
        <f t="shared" si="15"/>
        <v>d. d. It disagrees with Peter Harling’s assessment of sanctions</v>
      </c>
    </row>
    <row r="208" spans="1:17" s="44" customFormat="1" ht="15" customHeight="1" x14ac:dyDescent="0.25">
      <c r="A208" s="62"/>
      <c r="B208" s="62"/>
      <c r="C208" s="62"/>
      <c r="D208" s="62"/>
      <c r="E208" s="62">
        <v>7</v>
      </c>
      <c r="F208" s="64" t="s">
        <v>2587</v>
      </c>
      <c r="G208" s="62" t="s">
        <v>2384</v>
      </c>
      <c r="H208" s="62">
        <v>1</v>
      </c>
      <c r="I208" s="62">
        <v>20</v>
      </c>
      <c r="J208" s="63" t="s">
        <v>2442</v>
      </c>
      <c r="K208" s="63" t="s">
        <v>2443</v>
      </c>
      <c r="L208" s="63" t="s">
        <v>2444</v>
      </c>
      <c r="M208" s="63" t="s">
        <v>2445</v>
      </c>
      <c r="N208" s="44" t="str">
        <f t="shared" si="12"/>
        <v>a. a. It is a place to care for wounded troops</v>
      </c>
      <c r="O208" s="44" t="str">
        <f t="shared" si="13"/>
        <v>b. b. It is a hospital and research centre</v>
      </c>
      <c r="P208" s="44" t="str">
        <f t="shared" si="14"/>
        <v>c. c. It is  devoted exclusively to the study of malaria</v>
      </c>
      <c r="Q208" s="44" t="str">
        <f t="shared" si="15"/>
        <v>d. d. The hospital is temporarily closed</v>
      </c>
    </row>
    <row r="209" spans="1:17" s="44" customFormat="1" ht="15" customHeight="1" x14ac:dyDescent="0.25">
      <c r="A209" s="62"/>
      <c r="B209" s="62"/>
      <c r="C209" s="62"/>
      <c r="D209" s="62"/>
      <c r="E209" s="62">
        <v>8</v>
      </c>
      <c r="F209" s="64" t="s">
        <v>2588</v>
      </c>
      <c r="G209" s="62" t="s">
        <v>2385</v>
      </c>
      <c r="H209" s="62">
        <v>1</v>
      </c>
      <c r="I209" s="62">
        <v>20</v>
      </c>
      <c r="J209" s="63" t="s">
        <v>2446</v>
      </c>
      <c r="K209" s="63" t="s">
        <v>2447</v>
      </c>
      <c r="L209" s="63" t="s">
        <v>2448</v>
      </c>
      <c r="M209" s="63" t="s">
        <v>2449</v>
      </c>
      <c r="N209" s="44" t="str">
        <f t="shared" si="12"/>
        <v>a. a. It is a hospital and research centre</v>
      </c>
      <c r="O209" s="44" t="str">
        <f t="shared" si="13"/>
        <v>b. b. They look more like trucks than cars</v>
      </c>
      <c r="P209" s="44" t="str">
        <f t="shared" si="14"/>
        <v>c. c. Some models require a lot of fuel</v>
      </c>
      <c r="Q209" s="44" t="str">
        <f t="shared" si="15"/>
        <v xml:space="preserve">d. d. There was a shortage of oil </v>
      </c>
    </row>
    <row r="210" spans="1:17" s="44" customFormat="1" ht="15" customHeight="1" x14ac:dyDescent="0.25">
      <c r="A210" s="62"/>
      <c r="B210" s="62"/>
      <c r="C210" s="62"/>
      <c r="D210" s="62"/>
      <c r="E210" s="62">
        <v>9</v>
      </c>
      <c r="F210" s="64" t="s">
        <v>2589</v>
      </c>
      <c r="G210" s="62" t="s">
        <v>2386</v>
      </c>
      <c r="H210" s="62">
        <v>1</v>
      </c>
      <c r="I210" s="62">
        <v>20</v>
      </c>
      <c r="J210" s="63" t="s">
        <v>2450</v>
      </c>
      <c r="K210" s="63" t="s">
        <v>2451</v>
      </c>
      <c r="L210" s="63" t="s">
        <v>2452</v>
      </c>
      <c r="M210" s="63" t="s">
        <v>2453</v>
      </c>
      <c r="N210" s="44" t="str">
        <f t="shared" si="12"/>
        <v>a. a. It is  devoted exclusively to the study of malaria</v>
      </c>
      <c r="O210" s="44" t="str">
        <f t="shared" si="13"/>
        <v>b. b. A survey found that young people don’t like it</v>
      </c>
      <c r="P210" s="44" t="str">
        <f t="shared" si="14"/>
        <v>c. c. It helps young people to gain work experience</v>
      </c>
      <c r="Q210" s="44" t="str">
        <f t="shared" si="15"/>
        <v>d. d. It is only suitable for specific age groups</v>
      </c>
    </row>
    <row r="211" spans="1:17" s="44" customFormat="1" ht="15" customHeight="1" x14ac:dyDescent="0.25">
      <c r="A211" s="62"/>
      <c r="B211" s="62"/>
      <c r="C211" s="62"/>
      <c r="D211" s="62"/>
      <c r="E211" s="62">
        <v>10</v>
      </c>
      <c r="F211" s="64" t="s">
        <v>2590</v>
      </c>
      <c r="G211" s="62" t="s">
        <v>2387</v>
      </c>
      <c r="H211" s="62">
        <v>1</v>
      </c>
      <c r="I211" s="62">
        <v>20</v>
      </c>
      <c r="J211" s="63" t="s">
        <v>2454</v>
      </c>
      <c r="K211" s="63" t="s">
        <v>2455</v>
      </c>
      <c r="L211" s="63" t="s">
        <v>2456</v>
      </c>
      <c r="M211" s="63" t="s">
        <v>2457</v>
      </c>
      <c r="N211" s="44" t="str">
        <f t="shared" si="12"/>
        <v>a. a. The hospital is temporarily closed</v>
      </c>
      <c r="O211" s="44" t="str">
        <f t="shared" si="13"/>
        <v>b. b. They organize tribute concerts to famous people</v>
      </c>
      <c r="P211" s="44" t="str">
        <f t="shared" si="14"/>
        <v>c. c. They first called themselves Musical Box</v>
      </c>
      <c r="Q211" s="44" t="str">
        <f t="shared" si="15"/>
        <v>d. d. Pink Floyd fans were interested in seeing them perform</v>
      </c>
    </row>
    <row r="212" spans="1:17" s="44" customFormat="1" ht="15" customHeight="1" x14ac:dyDescent="0.25">
      <c r="A212" s="62"/>
      <c r="B212" s="62"/>
      <c r="C212" s="62"/>
      <c r="D212" s="62"/>
      <c r="E212" s="62">
        <v>11</v>
      </c>
      <c r="F212" s="64" t="s">
        <v>2591</v>
      </c>
      <c r="G212" s="62" t="s">
        <v>2388</v>
      </c>
      <c r="H212" s="62">
        <v>1</v>
      </c>
      <c r="I212" s="62">
        <v>20</v>
      </c>
      <c r="J212" s="63" t="s">
        <v>2458</v>
      </c>
      <c r="K212" s="63" t="s">
        <v>2459</v>
      </c>
      <c r="L212" s="63" t="s">
        <v>2460</v>
      </c>
      <c r="M212" s="63" t="s">
        <v>2461</v>
      </c>
      <c r="N212" s="44" t="str">
        <f t="shared" si="12"/>
        <v>a. a. The reaction of the public to televising in a public space</v>
      </c>
      <c r="O212" s="44" t="str">
        <f t="shared" si="13"/>
        <v>b. b. How many hours broadcasting people can endure</v>
      </c>
      <c r="P212" s="44" t="str">
        <f t="shared" si="14"/>
        <v>c. c. If the content televised makes people shop more</v>
      </c>
      <c r="Q212" s="44" t="str">
        <f t="shared" si="15"/>
        <v>d. d. If people prefer watching TV in the square to at home</v>
      </c>
    </row>
    <row r="213" spans="1:17" s="44" customFormat="1" ht="15" customHeight="1" x14ac:dyDescent="0.25">
      <c r="A213" s="62"/>
      <c r="B213" s="62"/>
      <c r="C213" s="62"/>
      <c r="D213" s="62"/>
      <c r="E213" s="62">
        <v>12</v>
      </c>
      <c r="F213" s="64" t="s">
        <v>2592</v>
      </c>
      <c r="G213" s="62" t="s">
        <v>2389</v>
      </c>
      <c r="H213" s="62">
        <v>1</v>
      </c>
      <c r="I213" s="62">
        <v>20</v>
      </c>
      <c r="J213" s="63" t="s">
        <v>2462</v>
      </c>
      <c r="K213" s="63" t="s">
        <v>2463</v>
      </c>
      <c r="L213" s="63" t="s">
        <v>2464</v>
      </c>
      <c r="M213" s="63" t="s">
        <v>2465</v>
      </c>
      <c r="N213" s="44" t="str">
        <f t="shared" si="12"/>
        <v>a. a. It was a website where criminals could learn English</v>
      </c>
      <c r="O213" s="44" t="str">
        <f t="shared" si="13"/>
        <v>b. b. It facilitated breaking the law</v>
      </c>
      <c r="P213" s="44" t="str">
        <f t="shared" si="14"/>
        <v>c. c. Anyone could become a member</v>
      </c>
      <c r="Q213" s="44" t="str">
        <f t="shared" si="15"/>
        <v>d. d. It is still a thriving business</v>
      </c>
    </row>
    <row r="214" spans="1:17" s="44" customFormat="1" ht="15" customHeight="1" x14ac:dyDescent="0.25">
      <c r="A214" s="62"/>
      <c r="B214" s="62"/>
      <c r="C214" s="62"/>
      <c r="D214" s="62"/>
      <c r="E214" s="62">
        <v>13</v>
      </c>
      <c r="F214" s="64" t="s">
        <v>2593</v>
      </c>
      <c r="G214" s="62" t="s">
        <v>2390</v>
      </c>
      <c r="H214" s="62">
        <v>1</v>
      </c>
      <c r="I214" s="62">
        <v>20</v>
      </c>
      <c r="J214" s="63" t="s">
        <v>2466</v>
      </c>
      <c r="K214" s="63" t="s">
        <v>2467</v>
      </c>
      <c r="L214" s="63" t="s">
        <v>2468</v>
      </c>
      <c r="M214" s="63" t="s">
        <v>2469</v>
      </c>
      <c r="N214" s="44" t="str">
        <f t="shared" si="12"/>
        <v>a. a. There are never any mining disasters now</v>
      </c>
      <c r="O214" s="44" t="str">
        <f t="shared" si="13"/>
        <v>b. b. An attempt has been made to rescue 14 men and boys</v>
      </c>
      <c r="P214" s="44" t="str">
        <f t="shared" si="14"/>
        <v>c. c. In  Wales, mining is not as important as it was in the past</v>
      </c>
      <c r="Q214" s="44" t="str">
        <f t="shared" si="15"/>
        <v>d. d. Rescue workers did not expect to find the miners</v>
      </c>
    </row>
    <row r="215" spans="1:17" s="44" customFormat="1" ht="15" customHeight="1" x14ac:dyDescent="0.25">
      <c r="A215" s="62"/>
      <c r="B215" s="64"/>
      <c r="C215" s="62"/>
      <c r="D215" s="62"/>
      <c r="E215" s="62">
        <v>14</v>
      </c>
      <c r="F215" s="64" t="s">
        <v>2594</v>
      </c>
      <c r="G215" s="62" t="s">
        <v>2391</v>
      </c>
      <c r="H215" s="62">
        <v>1</v>
      </c>
      <c r="I215" s="62">
        <v>20</v>
      </c>
      <c r="J215" s="63" t="s">
        <v>2470</v>
      </c>
      <c r="K215" s="63" t="s">
        <v>2471</v>
      </c>
      <c r="L215" s="63" t="s">
        <v>2472</v>
      </c>
      <c r="M215" s="63" t="s">
        <v>2473</v>
      </c>
      <c r="N215" s="44" t="str">
        <f t="shared" si="12"/>
        <v>a. a. Ecuador couldn’t have a court case in  the US</v>
      </c>
      <c r="O215" s="44" t="str">
        <f t="shared" si="13"/>
        <v>b. b. Chevron is accused of contaminating the Ecuadorian rainforest</v>
      </c>
      <c r="P215" s="44" t="str">
        <f t="shared" si="14"/>
        <v>c. c. Chevron sold its assets in Ecuador to pay the compensation</v>
      </c>
      <c r="Q215" s="44" t="str">
        <f t="shared" si="15"/>
        <v>d. d. Chevron is an American construction company</v>
      </c>
    </row>
    <row r="216" spans="1:17" s="44" customFormat="1" ht="15" customHeight="1" x14ac:dyDescent="0.25">
      <c r="A216" s="62"/>
      <c r="B216" s="64"/>
      <c r="C216" s="62"/>
      <c r="D216" s="62"/>
      <c r="E216" s="62">
        <v>15</v>
      </c>
      <c r="F216" s="64" t="s">
        <v>2595</v>
      </c>
      <c r="G216" s="62" t="s">
        <v>2392</v>
      </c>
      <c r="H216" s="62">
        <v>1</v>
      </c>
      <c r="I216" s="62">
        <v>20</v>
      </c>
      <c r="J216" s="63" t="s">
        <v>2474</v>
      </c>
      <c r="K216" s="63" t="s">
        <v>2475</v>
      </c>
      <c r="L216" s="63" t="s">
        <v>2476</v>
      </c>
      <c r="M216" s="63" t="s">
        <v>2477</v>
      </c>
      <c r="N216" s="44" t="str">
        <f t="shared" si="12"/>
        <v>a. a. It has been performed for forty years</v>
      </c>
      <c r="O216" s="44" t="str">
        <f t="shared" si="13"/>
        <v>b. b. It was first staged in Russia</v>
      </c>
      <c r="P216" s="44" t="str">
        <f t="shared" si="14"/>
        <v>c. c. It has obtained excellent reviews in Austria</v>
      </c>
      <c r="Q216" s="44" t="str">
        <f t="shared" si="15"/>
        <v>d. d. It was written by an SS officer</v>
      </c>
    </row>
    <row r="217" spans="1:17" s="44" customFormat="1" ht="15" customHeight="1" x14ac:dyDescent="0.25">
      <c r="A217" s="62"/>
      <c r="B217" s="64"/>
      <c r="C217" s="62"/>
      <c r="D217" s="62"/>
      <c r="E217" s="62">
        <v>16</v>
      </c>
      <c r="F217" s="64" t="s">
        <v>2596</v>
      </c>
      <c r="G217" s="62" t="s">
        <v>2393</v>
      </c>
      <c r="H217" s="62">
        <v>1</v>
      </c>
      <c r="I217" s="62">
        <v>20</v>
      </c>
      <c r="J217" s="63" t="s">
        <v>2478</v>
      </c>
      <c r="K217" s="63" t="s">
        <v>2479</v>
      </c>
      <c r="L217" s="63" t="s">
        <v>2480</v>
      </c>
      <c r="M217" s="63" t="s">
        <v>2481</v>
      </c>
      <c r="N217" s="44" t="str">
        <f t="shared" si="12"/>
        <v>a. a. The cost has plummeted</v>
      </c>
      <c r="O217" s="44" t="str">
        <f t="shared" si="13"/>
        <v>b. b. It causes climate change</v>
      </c>
      <c r="P217" s="44" t="str">
        <f t="shared" si="14"/>
        <v>c. c. There is only half as much as before</v>
      </c>
      <c r="Q217" s="44" t="str">
        <f t="shared" si="15"/>
        <v>d. d. It is being limited</v>
      </c>
    </row>
    <row r="218" spans="1:17" s="44" customFormat="1" ht="15" customHeight="1" x14ac:dyDescent="0.25">
      <c r="A218" s="62"/>
      <c r="B218" s="64"/>
      <c r="C218" s="62"/>
      <c r="D218" s="62"/>
      <c r="E218" s="62">
        <v>17</v>
      </c>
      <c r="F218" s="64" t="s">
        <v>2597</v>
      </c>
      <c r="G218" s="62" t="s">
        <v>2394</v>
      </c>
      <c r="H218" s="62">
        <v>1</v>
      </c>
      <c r="I218" s="62">
        <v>20</v>
      </c>
      <c r="J218" s="63" t="s">
        <v>2482</v>
      </c>
      <c r="K218" s="63" t="s">
        <v>2483</v>
      </c>
      <c r="L218" s="63" t="s">
        <v>2484</v>
      </c>
      <c r="M218" s="63" t="s">
        <v>2485</v>
      </c>
      <c r="N218" s="44" t="str">
        <f t="shared" si="12"/>
        <v>a. a. They crash into the Earth very infrequently</v>
      </c>
      <c r="O218" s="44" t="str">
        <f t="shared" si="13"/>
        <v>b. b. All of them burn up</v>
      </c>
      <c r="P218" s="44" t="str">
        <f t="shared" si="14"/>
        <v>c. c. They last for a year</v>
      </c>
      <c r="Q218" s="44" t="str">
        <f t="shared" si="15"/>
        <v>d. d. They survive the impact</v>
      </c>
    </row>
    <row r="219" spans="1:17" s="44" customFormat="1" ht="15" customHeight="1" x14ac:dyDescent="0.25">
      <c r="A219" s="62"/>
      <c r="B219" s="64"/>
      <c r="C219" s="62"/>
      <c r="D219" s="62"/>
      <c r="E219" s="62">
        <v>18</v>
      </c>
      <c r="F219" s="64" t="s">
        <v>2598</v>
      </c>
      <c r="G219" s="62" t="s">
        <v>2395</v>
      </c>
      <c r="H219" s="62">
        <v>1</v>
      </c>
      <c r="I219" s="62">
        <v>20</v>
      </c>
      <c r="J219" s="63" t="s">
        <v>2486</v>
      </c>
      <c r="K219" s="63" t="s">
        <v>2487</v>
      </c>
      <c r="L219" s="63" t="s">
        <v>2488</v>
      </c>
      <c r="M219" s="63" t="s">
        <v>2489</v>
      </c>
      <c r="N219" s="44" t="str">
        <f t="shared" si="12"/>
        <v>a. a. It is impossible to save now</v>
      </c>
      <c r="O219" s="44" t="str">
        <f t="shared" si="13"/>
        <v>b. b. Money is losing its original qualities</v>
      </c>
      <c r="P219" s="44" t="str">
        <f t="shared" si="14"/>
        <v>c. c. Credit cards have completely substituted cash</v>
      </c>
      <c r="Q219" s="44" t="str">
        <f t="shared" si="15"/>
        <v xml:space="preserve">d. d. Today, money has an eerie quality  </v>
      </c>
    </row>
    <row r="220" spans="1:17" s="44" customFormat="1" ht="15" customHeight="1" x14ac:dyDescent="0.25">
      <c r="A220" s="62"/>
      <c r="B220" s="64"/>
      <c r="C220" s="62"/>
      <c r="D220" s="62"/>
      <c r="E220" s="62">
        <v>19</v>
      </c>
      <c r="F220" s="64" t="s">
        <v>2599</v>
      </c>
      <c r="G220" s="62" t="s">
        <v>2396</v>
      </c>
      <c r="H220" s="62">
        <v>1</v>
      </c>
      <c r="I220" s="62">
        <v>20</v>
      </c>
      <c r="J220" s="63" t="s">
        <v>2490</v>
      </c>
      <c r="K220" s="63" t="s">
        <v>2491</v>
      </c>
      <c r="L220" s="63" t="s">
        <v>2492</v>
      </c>
      <c r="M220" s="63" t="s">
        <v>2493</v>
      </c>
      <c r="N220" s="44" t="str">
        <f t="shared" si="12"/>
        <v>a. a. She thinks it is a cosmetic reform</v>
      </c>
      <c r="O220" s="44" t="str">
        <f t="shared" si="13"/>
        <v>b. b. She thinks women won’t be allowed to drive</v>
      </c>
      <c r="P220" s="44" t="str">
        <f t="shared" si="14"/>
        <v>c. c. It implies they will eventually have other freedoms</v>
      </c>
      <c r="Q220" s="44" t="str">
        <f t="shared" si="15"/>
        <v>d. d. Men will then be pro-active</v>
      </c>
    </row>
    <row r="221" spans="1:17" s="44" customFormat="1" ht="15" customHeight="1" x14ac:dyDescent="0.25">
      <c r="A221" s="62"/>
      <c r="B221" s="64"/>
      <c r="C221" s="62"/>
      <c r="D221" s="62"/>
      <c r="E221" s="62">
        <v>20</v>
      </c>
      <c r="F221" s="64" t="s">
        <v>2600</v>
      </c>
      <c r="G221" s="62" t="s">
        <v>2397</v>
      </c>
      <c r="H221" s="62">
        <v>1</v>
      </c>
      <c r="I221" s="62">
        <v>20</v>
      </c>
      <c r="J221" s="63" t="s">
        <v>2494</v>
      </c>
      <c r="K221" s="63" t="s">
        <v>2495</v>
      </c>
      <c r="L221" s="63" t="s">
        <v>2496</v>
      </c>
      <c r="M221" s="63" t="s">
        <v>2497</v>
      </c>
      <c r="N221" s="44" t="str">
        <f t="shared" si="12"/>
        <v>a. a. Cloning babies is a reality now</v>
      </c>
      <c r="O221" s="44" t="str">
        <f t="shared" si="13"/>
        <v>b. b. Cloning technology should not be abused</v>
      </c>
      <c r="P221" s="44" t="str">
        <f t="shared" si="14"/>
        <v>c. c. Stem cells are easy to obtain</v>
      </c>
      <c r="Q221" s="44" t="str">
        <f t="shared" si="15"/>
        <v>d. d. The public supports reproductive cloning</v>
      </c>
    </row>
    <row r="222" spans="1:17" s="44" customFormat="1" ht="15" customHeight="1" x14ac:dyDescent="0.25">
      <c r="A222" s="62"/>
      <c r="B222" s="64"/>
      <c r="C222" s="62"/>
      <c r="D222" s="62"/>
      <c r="E222" s="62">
        <v>21</v>
      </c>
      <c r="F222" s="64" t="s">
        <v>2601</v>
      </c>
      <c r="G222" s="62" t="s">
        <v>2398</v>
      </c>
      <c r="H222" s="62">
        <v>1</v>
      </c>
      <c r="I222" s="62">
        <v>20</v>
      </c>
      <c r="J222" s="63" t="s">
        <v>2498</v>
      </c>
      <c r="K222" s="63" t="s">
        <v>2499</v>
      </c>
      <c r="L222" s="63" t="s">
        <v>2500</v>
      </c>
      <c r="M222" s="63" t="s">
        <v>2501</v>
      </c>
      <c r="N222" s="44" t="str">
        <f t="shared" si="12"/>
        <v>a. a.  Arafat was the first terrorist ever to speak at the UN</v>
      </c>
      <c r="O222" s="44" t="str">
        <f t="shared" si="13"/>
        <v>b. b. The PLO requested a hearing in the United Nations</v>
      </c>
      <c r="P222" s="44" t="str">
        <f t="shared" si="14"/>
        <v>c. c. Arafat received an invitation to speak at the UN</v>
      </c>
      <c r="Q222" s="44" t="str">
        <f t="shared" si="15"/>
        <v xml:space="preserve">d. d. Israelis and Jewish groups boycotted the event </v>
      </c>
    </row>
    <row r="223" spans="1:17" s="44" customFormat="1" ht="15" customHeight="1" x14ac:dyDescent="0.25">
      <c r="A223" s="62"/>
      <c r="B223" s="64"/>
      <c r="C223" s="62"/>
      <c r="D223" s="62"/>
      <c r="E223" s="62">
        <v>22</v>
      </c>
      <c r="F223" s="64" t="s">
        <v>2602</v>
      </c>
      <c r="G223" s="62" t="s">
        <v>2399</v>
      </c>
      <c r="H223" s="62">
        <v>1</v>
      </c>
      <c r="I223" s="62">
        <v>20</v>
      </c>
      <c r="J223" s="63" t="s">
        <v>2502</v>
      </c>
      <c r="K223" s="63" t="s">
        <v>2503</v>
      </c>
      <c r="L223" s="63" t="s">
        <v>2504</v>
      </c>
      <c r="M223" s="63" t="s">
        <v>2505</v>
      </c>
      <c r="N223" s="44" t="str">
        <f t="shared" si="12"/>
        <v>a. a. They confronted government soldiers at a fundraising event</v>
      </c>
      <c r="O223" s="44" t="str">
        <f t="shared" si="13"/>
        <v>b. b. They tried to make  Gadaffi’s soldiers conscious of their actions</v>
      </c>
      <c r="P223" s="44" t="str">
        <f t="shared" si="14"/>
        <v>c. c. They sold compact discs of Western music</v>
      </c>
      <c r="Q223" s="44" t="str">
        <f t="shared" si="15"/>
        <v>d. d. They tried to get into politics</v>
      </c>
    </row>
    <row r="224" spans="1:17" s="44" customFormat="1" ht="15" customHeight="1" x14ac:dyDescent="0.25">
      <c r="A224" s="62"/>
      <c r="B224" s="64"/>
      <c r="C224" s="62"/>
      <c r="D224" s="62"/>
      <c r="E224" s="62">
        <v>23</v>
      </c>
      <c r="F224" s="64" t="s">
        <v>2603</v>
      </c>
      <c r="G224" s="62" t="s">
        <v>2400</v>
      </c>
      <c r="H224" s="62">
        <v>1</v>
      </c>
      <c r="I224" s="62">
        <v>20</v>
      </c>
      <c r="J224" s="63" t="s">
        <v>2506</v>
      </c>
      <c r="K224" s="63" t="s">
        <v>2507</v>
      </c>
      <c r="L224" s="63" t="s">
        <v>2508</v>
      </c>
      <c r="M224" s="63" t="s">
        <v>2509</v>
      </c>
      <c r="N224" s="44" t="str">
        <f t="shared" si="12"/>
        <v>a. a. Daily demonstrations have been going on for a century</v>
      </c>
      <c r="O224" s="44" t="str">
        <f t="shared" si="13"/>
        <v>b. b. Historically, protesters represented a wide range of political opinions</v>
      </c>
      <c r="P224" s="44" t="str">
        <f t="shared" si="14"/>
        <v>c. c. In the 20th century demonstrations became fewer and fewer</v>
      </c>
      <c r="Q224" s="44" t="str">
        <f t="shared" si="15"/>
        <v>d. d. At the moment, protesters have occupied the JP Morgan building</v>
      </c>
    </row>
    <row r="225" spans="1:17" s="44" customFormat="1" ht="15" customHeight="1" x14ac:dyDescent="0.25">
      <c r="A225" s="62"/>
      <c r="B225" s="64"/>
      <c r="C225" s="64"/>
      <c r="D225" s="64"/>
      <c r="E225" s="62">
        <v>24</v>
      </c>
      <c r="F225" s="64" t="s">
        <v>2604</v>
      </c>
      <c r="G225" s="62" t="s">
        <v>2401</v>
      </c>
      <c r="H225" s="62">
        <v>1</v>
      </c>
      <c r="I225" s="62">
        <v>20</v>
      </c>
      <c r="J225" s="63" t="s">
        <v>2510</v>
      </c>
      <c r="K225" s="63" t="s">
        <v>2511</v>
      </c>
      <c r="L225" s="63" t="s">
        <v>2512</v>
      </c>
      <c r="M225" s="63" t="s">
        <v>2513</v>
      </c>
      <c r="N225" s="44" t="str">
        <f t="shared" si="12"/>
        <v xml:space="preserve">a. a. He kept in regular contact with his parents </v>
      </c>
      <c r="O225" s="44" t="str">
        <f t="shared" si="13"/>
        <v>b. b. He went to Yemen and Pakistan  to fight with the Taliban</v>
      </c>
      <c r="P225" s="44" t="str">
        <f t="shared" si="14"/>
        <v>c. c. He was involved in the September 11th attacks</v>
      </c>
      <c r="Q225" s="44" t="str">
        <f t="shared" si="15"/>
        <v>d. d. His parents believe he was wrongly accused</v>
      </c>
    </row>
    <row r="226" spans="1:17" s="44" customFormat="1" ht="15" customHeight="1" x14ac:dyDescent="0.25">
      <c r="A226" s="62"/>
      <c r="B226" s="64"/>
      <c r="C226" s="64"/>
      <c r="D226" s="64"/>
      <c r="E226" s="62">
        <v>25</v>
      </c>
      <c r="F226" s="64" t="s">
        <v>2375</v>
      </c>
      <c r="G226" s="62" t="s">
        <v>2402</v>
      </c>
      <c r="H226" s="62">
        <v>1</v>
      </c>
      <c r="I226" s="62">
        <v>20</v>
      </c>
      <c r="J226" s="63" t="s">
        <v>2514</v>
      </c>
      <c r="K226" s="63" t="s">
        <v>2515</v>
      </c>
      <c r="L226" s="63" t="s">
        <v>2516</v>
      </c>
      <c r="M226" s="63" t="s">
        <v>2517</v>
      </c>
      <c r="N226" s="44" t="str">
        <f t="shared" si="12"/>
        <v>a. a. It was found only in select  places</v>
      </c>
      <c r="O226" s="44" t="str">
        <f t="shared" si="13"/>
        <v>b. b. It was used in the ghettoes during the New Orleans floods</v>
      </c>
      <c r="P226" s="44" t="str">
        <f t="shared" si="14"/>
        <v>c. c. It was imported into the US from Vietnam by right-wing gun clubs</v>
      </c>
      <c r="Q226" s="44" t="str">
        <f t="shared" si="15"/>
        <v>d. d. The factory will stay open  to meet the demand</v>
      </c>
    </row>
    <row r="227" spans="1:17" s="44" customFormat="1" ht="15" customHeight="1" x14ac:dyDescent="0.25">
      <c r="A227" s="62"/>
      <c r="B227" s="64"/>
      <c r="C227" s="64"/>
      <c r="D227" s="64"/>
      <c r="E227" s="62">
        <v>26</v>
      </c>
      <c r="F227" s="64" t="s">
        <v>2605</v>
      </c>
      <c r="G227" s="62" t="s">
        <v>2403</v>
      </c>
      <c r="H227" s="62">
        <v>1</v>
      </c>
      <c r="I227" s="62">
        <v>20</v>
      </c>
      <c r="J227" s="63" t="s">
        <v>2518</v>
      </c>
      <c r="K227" s="63" t="s">
        <v>2519</v>
      </c>
      <c r="L227" s="63" t="s">
        <v>2520</v>
      </c>
      <c r="M227" s="63" t="s">
        <v>2521</v>
      </c>
      <c r="N227" s="44" t="str">
        <f t="shared" si="12"/>
        <v>a. a. Self diagnosis is on the increase</v>
      </c>
      <c r="O227" s="44" t="str">
        <f t="shared" si="13"/>
        <v>b. b. A doctor who bought drugs on the internet died</v>
      </c>
      <c r="P227" s="44" t="str">
        <f t="shared" si="14"/>
        <v>c. c. It is easy to tell when websites are false</v>
      </c>
      <c r="Q227" s="44" t="str">
        <f t="shared" si="15"/>
        <v>d. d. Viagra and tranquillizers are the most popular drugs on the internet</v>
      </c>
    </row>
    <row r="228" spans="1:17" s="44" customFormat="1" ht="15" customHeight="1" x14ac:dyDescent="0.25">
      <c r="A228" s="62"/>
      <c r="B228" s="64"/>
      <c r="C228" s="64"/>
      <c r="D228" s="64"/>
      <c r="E228" s="62">
        <v>27</v>
      </c>
      <c r="F228" s="64" t="s">
        <v>2606</v>
      </c>
      <c r="G228" s="62" t="s">
        <v>2404</v>
      </c>
      <c r="H228" s="62">
        <v>1</v>
      </c>
      <c r="I228" s="62">
        <v>20</v>
      </c>
      <c r="J228" s="63" t="s">
        <v>2522</v>
      </c>
      <c r="K228" s="63" t="s">
        <v>2523</v>
      </c>
      <c r="L228" s="63" t="s">
        <v>2524</v>
      </c>
      <c r="M228" s="63" t="s">
        <v>2525</v>
      </c>
      <c r="N228" s="44" t="str">
        <f t="shared" si="12"/>
        <v>a. a. He enjoys being connected all the time</v>
      </c>
      <c r="O228" s="44" t="str">
        <f t="shared" si="13"/>
        <v>b. b. The events he sees on the net have an unreal quality</v>
      </c>
      <c r="P228" s="44" t="str">
        <f t="shared" si="14"/>
        <v>c. c. He’s worried in case he gets a message during the night</v>
      </c>
      <c r="Q228" s="44" t="str">
        <f t="shared" si="15"/>
        <v>d. d. He doesn’t bother with social networks</v>
      </c>
    </row>
    <row r="229" spans="1:17" s="44" customFormat="1" ht="15" customHeight="1" x14ac:dyDescent="0.25">
      <c r="A229" s="62"/>
      <c r="B229" s="64"/>
      <c r="C229" s="64"/>
      <c r="D229" s="64"/>
      <c r="E229" s="62">
        <v>28</v>
      </c>
      <c r="F229" s="64" t="s">
        <v>2607</v>
      </c>
      <c r="G229" s="62" t="s">
        <v>2405</v>
      </c>
      <c r="H229" s="62">
        <v>1</v>
      </c>
      <c r="I229" s="62">
        <v>20</v>
      </c>
      <c r="J229" s="63" t="s">
        <v>2526</v>
      </c>
      <c r="K229" s="63" t="s">
        <v>2527</v>
      </c>
      <c r="L229" s="63" t="s">
        <v>2528</v>
      </c>
      <c r="M229" s="63" t="s">
        <v>2529</v>
      </c>
      <c r="N229" s="44" t="str">
        <f t="shared" si="12"/>
        <v>a. a. Child deaths are more frequent in Canada</v>
      </c>
      <c r="O229" s="44" t="str">
        <f t="shared" si="13"/>
        <v>b. b. Parents have no rights in Ontario, Canada</v>
      </c>
      <c r="P229" s="44" t="str">
        <f t="shared" si="14"/>
        <v>c. c. Parents are sometimes mistakenly accused of murder</v>
      </c>
      <c r="Q229" s="44" t="str">
        <f t="shared" si="15"/>
        <v>d. d. Experts never make mistakes in diagnosing the cause of death</v>
      </c>
    </row>
    <row r="230" spans="1:17" s="44" customFormat="1" ht="15" customHeight="1" x14ac:dyDescent="0.25">
      <c r="A230" s="62"/>
      <c r="B230" s="64"/>
      <c r="C230" s="64"/>
      <c r="D230" s="64"/>
      <c r="E230" s="62">
        <v>29</v>
      </c>
      <c r="F230" s="64" t="s">
        <v>2608</v>
      </c>
      <c r="G230" s="62" t="s">
        <v>2406</v>
      </c>
      <c r="H230" s="62">
        <v>1</v>
      </c>
      <c r="I230" s="62">
        <v>20</v>
      </c>
      <c r="J230" s="63" t="s">
        <v>2530</v>
      </c>
      <c r="K230" s="63" t="s">
        <v>2531</v>
      </c>
      <c r="L230" s="63" t="s">
        <v>2532</v>
      </c>
      <c r="M230" s="63" t="s">
        <v>2533</v>
      </c>
      <c r="N230" s="44" t="str">
        <f t="shared" si="12"/>
        <v>a. a. He was protesting against torture in Iranian prisons</v>
      </c>
      <c r="O230" s="44" t="str">
        <f t="shared" si="13"/>
        <v>b. b. He studied abroad for a time</v>
      </c>
      <c r="P230" s="44" t="str">
        <f t="shared" si="14"/>
        <v>c. c. He  was ignored by the international community</v>
      </c>
      <c r="Q230" s="44" t="str">
        <f t="shared" si="15"/>
        <v>d. d. He became a Canadian citizen</v>
      </c>
    </row>
    <row r="231" spans="1:17" s="44" customFormat="1" ht="15" customHeight="1" x14ac:dyDescent="0.25">
      <c r="A231" s="62"/>
      <c r="B231" s="64"/>
      <c r="C231" s="64"/>
      <c r="D231" s="64"/>
      <c r="E231" s="62">
        <v>30</v>
      </c>
      <c r="F231" s="64" t="s">
        <v>2609</v>
      </c>
      <c r="G231" s="62" t="s">
        <v>2407</v>
      </c>
      <c r="H231" s="62">
        <v>1</v>
      </c>
      <c r="I231" s="62">
        <v>20</v>
      </c>
      <c r="J231" s="63" t="s">
        <v>2534</v>
      </c>
      <c r="K231" s="63" t="s">
        <v>2535</v>
      </c>
      <c r="L231" s="63" t="s">
        <v>2536</v>
      </c>
      <c r="M231" s="63" t="s">
        <v>2537</v>
      </c>
      <c r="N231" s="44" t="str">
        <f t="shared" si="12"/>
        <v>a. a. Passengers usually remember flight safety rules in an emergency</v>
      </c>
      <c r="O231" s="44" t="str">
        <f t="shared" si="13"/>
        <v>b. b. Courses on aircraft safety are now available on some airlines</v>
      </c>
      <c r="P231" s="44" t="str">
        <f t="shared" si="14"/>
        <v>c. c. If travelers do an airline safety course they receive frequent flyer points</v>
      </c>
      <c r="Q231" s="44" t="str">
        <f t="shared" si="15"/>
        <v>d. d. The course takes place in real-life situations</v>
      </c>
    </row>
    <row r="232" spans="1:17" s="44" customFormat="1" ht="15" customHeight="1" x14ac:dyDescent="0.25">
      <c r="A232" s="62"/>
      <c r="B232" s="64"/>
      <c r="C232" s="64"/>
      <c r="D232" s="64"/>
      <c r="E232" s="62">
        <v>31</v>
      </c>
      <c r="F232" s="64" t="s">
        <v>2610</v>
      </c>
      <c r="G232" s="62" t="s">
        <v>2408</v>
      </c>
      <c r="H232" s="62">
        <v>1</v>
      </c>
      <c r="I232" s="62">
        <v>20</v>
      </c>
      <c r="J232" s="63" t="s">
        <v>2538</v>
      </c>
      <c r="K232" s="63" t="s">
        <v>2539</v>
      </c>
      <c r="L232" s="63" t="s">
        <v>2540</v>
      </c>
      <c r="M232" s="63" t="s">
        <v>2541</v>
      </c>
      <c r="N232" s="44" t="str">
        <f t="shared" si="12"/>
        <v>a. a. Commercial whaling has been going on for  twenty-five years</v>
      </c>
      <c r="O232" s="44" t="str">
        <f t="shared" si="13"/>
        <v>b. b. Traditional hunting techniques must be used to kill whales</v>
      </c>
      <c r="P232" s="44" t="str">
        <f t="shared" si="14"/>
        <v>c. c. Every country has been assigned a quota</v>
      </c>
      <c r="Q232" s="44" t="str">
        <f t="shared" si="15"/>
        <v>d. d. Despite a ban imposed many whales are still being killed</v>
      </c>
    </row>
    <row r="233" spans="1:17" s="44" customFormat="1" ht="15" customHeight="1" x14ac:dyDescent="0.25">
      <c r="A233" s="62"/>
      <c r="B233" s="64"/>
      <c r="C233" s="64"/>
      <c r="D233" s="64"/>
      <c r="E233" s="62">
        <v>32</v>
      </c>
      <c r="F233" s="64" t="s">
        <v>2611</v>
      </c>
      <c r="G233" s="62" t="s">
        <v>2409</v>
      </c>
      <c r="H233" s="62">
        <v>1</v>
      </c>
      <c r="I233" s="62">
        <v>20</v>
      </c>
      <c r="J233" s="63" t="s">
        <v>2542</v>
      </c>
      <c r="K233" s="63" t="s">
        <v>2543</v>
      </c>
      <c r="L233" s="63" t="s">
        <v>2544</v>
      </c>
      <c r="M233" s="63" t="s">
        <v>2545</v>
      </c>
      <c r="N233" s="44" t="str">
        <f t="shared" si="12"/>
        <v>a. a. It trades in spices</v>
      </c>
      <c r="O233" s="44" t="str">
        <f t="shared" si="13"/>
        <v>b. b. It is recognizable by a brown envelope</v>
      </c>
      <c r="P233" s="44" t="str">
        <f t="shared" si="14"/>
        <v>c. c. You can buy illegal drugs on it</v>
      </c>
      <c r="Q233" s="44" t="str">
        <f t="shared" si="15"/>
        <v>d. d. It is easy to get into the website</v>
      </c>
    </row>
    <row r="234" spans="1:17" s="44" customFormat="1" ht="15" customHeight="1" x14ac:dyDescent="0.25">
      <c r="A234" s="62"/>
      <c r="B234" s="64"/>
      <c r="C234" s="64"/>
      <c r="D234" s="64"/>
      <c r="E234" s="62">
        <v>33</v>
      </c>
      <c r="F234" s="64" t="s">
        <v>2612</v>
      </c>
      <c r="G234" s="62" t="s">
        <v>2410</v>
      </c>
      <c r="H234" s="62">
        <v>1</v>
      </c>
      <c r="I234" s="62">
        <v>20</v>
      </c>
      <c r="J234" s="63" t="s">
        <v>2546</v>
      </c>
      <c r="K234" s="63" t="s">
        <v>2547</v>
      </c>
      <c r="L234" s="63" t="s">
        <v>2548</v>
      </c>
      <c r="M234" s="63" t="s">
        <v>2549</v>
      </c>
      <c r="N234" s="44" t="str">
        <f t="shared" si="12"/>
        <v>a. a. He subjects were victims of major world catastrophes</v>
      </c>
      <c r="O234" s="44" t="str">
        <f t="shared" si="13"/>
        <v>b. b. He served in the Vietnam War</v>
      </c>
      <c r="P234" s="44" t="str">
        <f t="shared" si="14"/>
        <v>c. c. He  returned to the US to practice psychiatry</v>
      </c>
      <c r="Q234" s="44" t="str">
        <f t="shared" si="15"/>
        <v>d. d. His wife was from Hong Kong</v>
      </c>
    </row>
    <row r="235" spans="1:17" s="44" customFormat="1" ht="15" customHeight="1" x14ac:dyDescent="0.25">
      <c r="A235" s="62"/>
      <c r="B235" s="64"/>
      <c r="C235" s="64"/>
      <c r="D235" s="64"/>
      <c r="E235" s="62">
        <v>34</v>
      </c>
      <c r="F235" s="64" t="s">
        <v>2613</v>
      </c>
      <c r="G235" s="62" t="s">
        <v>2411</v>
      </c>
      <c r="H235" s="62">
        <v>1</v>
      </c>
      <c r="I235" s="62">
        <v>20</v>
      </c>
      <c r="J235" s="63" t="s">
        <v>2550</v>
      </c>
      <c r="K235" s="63" t="s">
        <v>2551</v>
      </c>
      <c r="L235" s="63" t="s">
        <v>2552</v>
      </c>
      <c r="M235" s="63" t="s">
        <v>2553</v>
      </c>
      <c r="N235" s="44" t="str">
        <f t="shared" si="12"/>
        <v>a. a. Florida  does not have a lot of tomato growers</v>
      </c>
      <c r="O235" s="44" t="str">
        <f t="shared" si="13"/>
        <v>b. b. Today, tomatoes are home-grown</v>
      </c>
      <c r="P235" s="44" t="str">
        <f t="shared" si="14"/>
        <v>c. c. Agri businesses have a negative effect on tomatoes</v>
      </c>
      <c r="Q235" s="44" t="str">
        <f t="shared" si="15"/>
        <v>d. d. Conditions in Florida are optimum for tomato-growing</v>
      </c>
    </row>
    <row r="236" spans="1:17" s="44" customFormat="1" ht="15" customHeight="1" x14ac:dyDescent="0.25">
      <c r="A236" s="62"/>
      <c r="B236" s="64"/>
      <c r="C236" s="64"/>
      <c r="D236" s="64"/>
      <c r="E236" s="62">
        <v>35</v>
      </c>
      <c r="F236" s="64" t="s">
        <v>2614</v>
      </c>
      <c r="G236" s="62" t="s">
        <v>2412</v>
      </c>
      <c r="H236" s="62">
        <v>1</v>
      </c>
      <c r="I236" s="62">
        <v>20</v>
      </c>
      <c r="J236" s="63" t="s">
        <v>2554</v>
      </c>
      <c r="K236" s="63" t="s">
        <v>2555</v>
      </c>
      <c r="L236" s="63" t="s">
        <v>2556</v>
      </c>
      <c r="M236" s="63" t="s">
        <v>2557</v>
      </c>
      <c r="N236" s="44" t="str">
        <f t="shared" si="12"/>
        <v>a. a. The company got into serious  financial difficulties</v>
      </c>
      <c r="O236" s="44" t="str">
        <f t="shared" si="13"/>
        <v>b. b. The drink was too sugary</v>
      </c>
      <c r="P236" s="44" t="str">
        <f t="shared" si="14"/>
        <v>c. c. Other companies competed with exactly the same product</v>
      </c>
      <c r="Q236" s="44" t="str">
        <f t="shared" si="15"/>
        <v>d. d. It had been losing customers for a long time</v>
      </c>
    </row>
    <row r="237" spans="1:17" s="44" customFormat="1" ht="15" customHeight="1" x14ac:dyDescent="0.25">
      <c r="A237" s="62"/>
      <c r="B237" s="64"/>
      <c r="C237" s="64"/>
      <c r="D237" s="64"/>
      <c r="E237" s="62">
        <v>36</v>
      </c>
      <c r="F237" s="64" t="s">
        <v>2615</v>
      </c>
      <c r="G237" s="62" t="s">
        <v>2413</v>
      </c>
      <c r="H237" s="62">
        <v>1</v>
      </c>
      <c r="I237" s="62">
        <v>20</v>
      </c>
      <c r="J237" s="63" t="s">
        <v>2558</v>
      </c>
      <c r="K237" s="63" t="s">
        <v>2559</v>
      </c>
      <c r="L237" s="63" t="s">
        <v>2560</v>
      </c>
      <c r="M237" s="63" t="s">
        <v>2561</v>
      </c>
      <c r="N237" s="44" t="str">
        <f t="shared" si="12"/>
        <v>a. a. The aftermath of World War II</v>
      </c>
      <c r="O237" s="44" t="str">
        <f t="shared" si="13"/>
        <v>b. b. A comparison of  US and Pakistani cities</v>
      </c>
      <c r="P237" s="44" t="str">
        <f t="shared" si="14"/>
        <v>c. c. What happens with the rapid growth of cities</v>
      </c>
      <c r="Q237" s="44" t="str">
        <f t="shared" si="15"/>
        <v>d. d. How quickly time passes</v>
      </c>
    </row>
    <row r="238" spans="1:17" s="44" customFormat="1" ht="15" customHeight="1" x14ac:dyDescent="0.25">
      <c r="A238" s="62"/>
      <c r="B238" s="64"/>
      <c r="C238" s="64"/>
      <c r="D238" s="64"/>
      <c r="E238" s="62">
        <v>37</v>
      </c>
      <c r="F238" s="64" t="s">
        <v>2616</v>
      </c>
      <c r="G238" s="62" t="s">
        <v>2414</v>
      </c>
      <c r="H238" s="62">
        <v>1</v>
      </c>
      <c r="I238" s="62">
        <v>20</v>
      </c>
      <c r="J238" s="63" t="s">
        <v>2562</v>
      </c>
      <c r="K238" s="63" t="s">
        <v>2563</v>
      </c>
      <c r="L238" s="63" t="s">
        <v>2564</v>
      </c>
      <c r="M238" s="63" t="s">
        <v>2565</v>
      </c>
      <c r="N238" s="44" t="str">
        <f t="shared" si="12"/>
        <v xml:space="preserve">a. a. The scientific community agree that earthquake prediction is  impossible </v>
      </c>
      <c r="O238" s="44" t="str">
        <f t="shared" si="13"/>
        <v>b. b. Scientists in Italy failed to heed clear warning signs</v>
      </c>
      <c r="P238" s="44" t="str">
        <f t="shared" si="14"/>
        <v>c. c. Scientists are responsible for the deaths of the earthquake victims</v>
      </c>
      <c r="Q238" s="44" t="str">
        <f t="shared" si="15"/>
        <v>d. d. In Aquila, thousands of lives were saved due to forecasts</v>
      </c>
    </row>
    <row r="239" spans="1:17" s="44" customFormat="1" ht="15" customHeight="1" x14ac:dyDescent="0.25">
      <c r="A239" s="62"/>
      <c r="B239" s="64"/>
      <c r="C239" s="64"/>
      <c r="D239" s="64"/>
      <c r="E239" s="62">
        <v>38</v>
      </c>
      <c r="F239" s="64" t="s">
        <v>2617</v>
      </c>
      <c r="G239" s="62" t="s">
        <v>2415</v>
      </c>
      <c r="H239" s="62">
        <v>1</v>
      </c>
      <c r="I239" s="62">
        <v>20</v>
      </c>
      <c r="J239" s="63" t="s">
        <v>2566</v>
      </c>
      <c r="K239" s="63" t="s">
        <v>2567</v>
      </c>
      <c r="L239" s="63" t="s">
        <v>2568</v>
      </c>
      <c r="M239" s="63" t="s">
        <v>2569</v>
      </c>
      <c r="N239" s="44" t="str">
        <f t="shared" si="12"/>
        <v>a. a. Van Gogh asked two boys to shoot him</v>
      </c>
      <c r="O239" s="44" t="str">
        <f t="shared" si="13"/>
        <v>b. b. Art historians agree with the theory in the new biography</v>
      </c>
      <c r="P239" s="44" t="str">
        <f t="shared" si="14"/>
        <v>c. c. A new book questions the fact that Van Gogh’s killed himself</v>
      </c>
      <c r="Q239" s="44" t="str">
        <f t="shared" si="15"/>
        <v>d. d. Van Gogh died in a wheat field</v>
      </c>
    </row>
    <row r="240" spans="1:17" s="44" customFormat="1" ht="15" customHeight="1" x14ac:dyDescent="0.25">
      <c r="A240" s="62"/>
      <c r="B240" s="64"/>
      <c r="C240" s="64"/>
      <c r="D240" s="64"/>
      <c r="E240" s="62">
        <v>39</v>
      </c>
      <c r="F240" s="64" t="s">
        <v>2376</v>
      </c>
      <c r="G240" s="62" t="s">
        <v>2416</v>
      </c>
      <c r="H240" s="62">
        <v>1</v>
      </c>
      <c r="I240" s="62">
        <v>20</v>
      </c>
      <c r="J240" s="63" t="s">
        <v>2570</v>
      </c>
      <c r="K240" s="63" t="s">
        <v>2571</v>
      </c>
      <c r="L240" s="63" t="s">
        <v>2572</v>
      </c>
      <c r="M240" s="63" t="s">
        <v>2573</v>
      </c>
      <c r="N240" s="44" t="str">
        <f t="shared" si="12"/>
        <v>a. a. They emphasized Theology in their curriculum.</v>
      </c>
      <c r="O240" s="44" t="str">
        <f t="shared" si="13"/>
        <v>b. b. 800 years ago, there were 115 of them in Britain.</v>
      </c>
      <c r="P240" s="44" t="str">
        <f t="shared" si="14"/>
        <v>c. c. They appeared first in Britain.</v>
      </c>
      <c r="Q240" s="44" t="str">
        <f t="shared" si="15"/>
        <v xml:space="preserve">d. d. Their model of education differed a lot from the modern one.                                          </v>
      </c>
    </row>
    <row r="241" spans="1:17" s="44" customFormat="1" ht="15" customHeight="1" x14ac:dyDescent="0.25">
      <c r="A241" s="62"/>
      <c r="B241" s="65"/>
      <c r="C241" s="65"/>
      <c r="D241" s="65"/>
      <c r="E241" s="66">
        <v>40</v>
      </c>
      <c r="F241" s="65" t="s">
        <v>2377</v>
      </c>
      <c r="G241" s="66" t="s">
        <v>2417</v>
      </c>
      <c r="H241" s="66">
        <v>1</v>
      </c>
      <c r="I241" s="62">
        <v>20</v>
      </c>
      <c r="J241" s="67" t="s">
        <v>2574</v>
      </c>
      <c r="K241" s="67" t="s">
        <v>2575</v>
      </c>
      <c r="L241" s="67" t="s">
        <v>2576</v>
      </c>
      <c r="M241" s="67" t="s">
        <v>2577</v>
      </c>
      <c r="N241" s="44" t="str">
        <f t="shared" si="12"/>
        <v>a. a. He wrote from nine until five o’clock every day.</v>
      </c>
      <c r="O241" s="44" t="str">
        <f t="shared" si="13"/>
        <v>b. b. He wrote fewer than 200 words a day.</v>
      </c>
      <c r="P241" s="44" t="str">
        <f t="shared" si="14"/>
        <v>c. c. He wrote in a form of short hand.</v>
      </c>
      <c r="Q241" s="44" t="str">
        <f t="shared" si="15"/>
        <v>d. d. He later reduced the number of words he wrote each day.</v>
      </c>
    </row>
    <row r="242" spans="1:17" s="44" customFormat="1" ht="15" customHeight="1" x14ac:dyDescent="0.25">
      <c r="A242" s="69"/>
      <c r="B242" s="70"/>
      <c r="C242" s="71">
        <v>7</v>
      </c>
      <c r="D242" s="71" t="s">
        <v>3451</v>
      </c>
      <c r="E242" s="72">
        <v>1</v>
      </c>
      <c r="F242" s="70" t="s">
        <v>2909</v>
      </c>
      <c r="G242" s="44" t="s">
        <v>2707</v>
      </c>
      <c r="H242" s="72">
        <v>1</v>
      </c>
      <c r="I242" s="69">
        <v>20</v>
      </c>
      <c r="J242" s="72" t="s">
        <v>2749</v>
      </c>
      <c r="K242" s="73" t="s">
        <v>2789</v>
      </c>
      <c r="L242" s="73" t="s">
        <v>2829</v>
      </c>
      <c r="M242" s="73" t="s">
        <v>2869</v>
      </c>
      <c r="N242" s="44" t="str">
        <f>CONCATENATE("d. ",M242)</f>
        <v>d. d. It is welcomed by commuters who work in London.</v>
      </c>
    </row>
    <row r="243" spans="1:17" s="44" customFormat="1" ht="15" customHeight="1" x14ac:dyDescent="0.25">
      <c r="A243" s="69"/>
      <c r="B243" s="70"/>
      <c r="C243" s="71"/>
      <c r="D243" s="71" t="s">
        <v>2747</v>
      </c>
      <c r="E243" s="72">
        <v>2</v>
      </c>
      <c r="F243" s="70" t="s">
        <v>2910</v>
      </c>
      <c r="G243" s="72" t="s">
        <v>2708</v>
      </c>
      <c r="H243" s="72">
        <v>1</v>
      </c>
      <c r="I243" s="69">
        <v>20</v>
      </c>
      <c r="J243" s="73" t="s">
        <v>2750</v>
      </c>
      <c r="K243" s="73" t="s">
        <v>2790</v>
      </c>
      <c r="L243" s="73" t="s">
        <v>2830</v>
      </c>
      <c r="M243" s="73" t="s">
        <v>2870</v>
      </c>
      <c r="N243" s="44" t="str">
        <f t="shared" ref="N243:N281" si="16">CONCATENATE("d. ",M243)</f>
        <v>d. d. To test the effectiveness of the Afghan police.</v>
      </c>
    </row>
    <row r="244" spans="1:17" s="44" customFormat="1" ht="15" customHeight="1" x14ac:dyDescent="0.25">
      <c r="A244" s="69"/>
      <c r="B244" s="70"/>
      <c r="C244" s="71"/>
      <c r="D244" s="71" t="s">
        <v>16</v>
      </c>
      <c r="E244" s="72">
        <v>3</v>
      </c>
      <c r="F244" s="70" t="s">
        <v>2911</v>
      </c>
      <c r="G244" s="72" t="s">
        <v>2709</v>
      </c>
      <c r="H244" s="72">
        <v>1</v>
      </c>
      <c r="I244" s="69">
        <v>20</v>
      </c>
      <c r="J244" s="73" t="s">
        <v>2751</v>
      </c>
      <c r="K244" s="73" t="s">
        <v>2791</v>
      </c>
      <c r="L244" s="73" t="s">
        <v>2831</v>
      </c>
      <c r="M244" s="73" t="s">
        <v>2871</v>
      </c>
      <c r="N244" s="44" t="str">
        <f t="shared" si="16"/>
        <v>d. d. He doesn’t have tourism classes this semester.</v>
      </c>
    </row>
    <row r="245" spans="1:17" s="44" customFormat="1" ht="15" customHeight="1" x14ac:dyDescent="0.25">
      <c r="A245" s="69"/>
      <c r="B245" s="70"/>
      <c r="C245" s="70"/>
      <c r="D245" s="70"/>
      <c r="E245" s="72">
        <v>4</v>
      </c>
      <c r="F245" s="70" t="s">
        <v>2912</v>
      </c>
      <c r="G245" s="72" t="s">
        <v>2710</v>
      </c>
      <c r="H245" s="72">
        <v>1</v>
      </c>
      <c r="I245" s="69">
        <v>20</v>
      </c>
      <c r="J245" s="73" t="s">
        <v>2752</v>
      </c>
      <c r="K245" s="73" t="s">
        <v>2792</v>
      </c>
      <c r="L245" s="73" t="s">
        <v>2832</v>
      </c>
      <c r="M245" s="73" t="s">
        <v>2872</v>
      </c>
      <c r="N245" s="44" t="str">
        <f t="shared" si="16"/>
        <v>d. d. felt uncomfortable about his lifestyle</v>
      </c>
    </row>
    <row r="246" spans="1:17" s="44" customFormat="1" ht="15" customHeight="1" x14ac:dyDescent="0.25">
      <c r="A246" s="69"/>
      <c r="B246" s="70"/>
      <c r="C246" s="70"/>
      <c r="D246" s="70"/>
      <c r="E246" s="72">
        <v>5</v>
      </c>
      <c r="F246" s="70" t="s">
        <v>2913</v>
      </c>
      <c r="G246" s="72" t="s">
        <v>2711</v>
      </c>
      <c r="H246" s="72">
        <v>1</v>
      </c>
      <c r="I246" s="69">
        <v>20</v>
      </c>
      <c r="J246" s="73" t="s">
        <v>2753</v>
      </c>
      <c r="K246" s="73" t="s">
        <v>2793</v>
      </c>
      <c r="L246" s="73" t="s">
        <v>2833</v>
      </c>
      <c r="M246" s="73" t="s">
        <v>2873</v>
      </c>
      <c r="N246" s="44" t="str">
        <f t="shared" si="16"/>
        <v>d. d. They received two Haitian students at their school</v>
      </c>
    </row>
    <row r="247" spans="1:17" s="44" customFormat="1" ht="15" customHeight="1" x14ac:dyDescent="0.25">
      <c r="A247" s="69"/>
      <c r="B247" s="70"/>
      <c r="C247" s="70"/>
      <c r="D247" s="70"/>
      <c r="E247" s="72">
        <v>6</v>
      </c>
      <c r="F247" s="70" t="s">
        <v>2914</v>
      </c>
      <c r="G247" s="72" t="s">
        <v>2712</v>
      </c>
      <c r="H247" s="72">
        <v>1</v>
      </c>
      <c r="I247" s="69">
        <v>20</v>
      </c>
      <c r="J247" s="73" t="s">
        <v>2754</v>
      </c>
      <c r="K247" s="73" t="s">
        <v>2794</v>
      </c>
      <c r="L247" s="73" t="s">
        <v>2834</v>
      </c>
      <c r="M247" s="73" t="s">
        <v>2874</v>
      </c>
      <c r="N247" s="44" t="str">
        <f t="shared" si="16"/>
        <v>d. d. It has to be loaded up before use.</v>
      </c>
    </row>
    <row r="248" spans="1:17" s="44" customFormat="1" ht="15" customHeight="1" x14ac:dyDescent="0.25">
      <c r="A248" s="69"/>
      <c r="B248" s="70"/>
      <c r="C248" s="70"/>
      <c r="D248" s="70"/>
      <c r="E248" s="72">
        <v>7</v>
      </c>
      <c r="F248" s="70" t="s">
        <v>2915</v>
      </c>
      <c r="G248" s="72" t="s">
        <v>2713</v>
      </c>
      <c r="H248" s="72">
        <v>1</v>
      </c>
      <c r="I248" s="69">
        <v>20</v>
      </c>
      <c r="J248" s="73" t="s">
        <v>2755</v>
      </c>
      <c r="K248" s="73" t="s">
        <v>2795</v>
      </c>
      <c r="L248" s="73" t="s">
        <v>2835</v>
      </c>
      <c r="M248" s="73" t="s">
        <v>2875</v>
      </c>
      <c r="N248" s="44" t="str">
        <f t="shared" si="16"/>
        <v>d. d. They listen more to regular people’s opinions.</v>
      </c>
    </row>
    <row r="249" spans="1:17" s="44" customFormat="1" ht="15" customHeight="1" x14ac:dyDescent="0.25">
      <c r="A249" s="69"/>
      <c r="B249" s="70"/>
      <c r="C249" s="70"/>
      <c r="D249" s="70"/>
      <c r="E249" s="72">
        <v>8</v>
      </c>
      <c r="F249" s="70" t="s">
        <v>2916</v>
      </c>
      <c r="G249" s="72" t="s">
        <v>2714</v>
      </c>
      <c r="H249" s="72">
        <v>1</v>
      </c>
      <c r="I249" s="69">
        <v>20</v>
      </c>
      <c r="J249" s="73" t="s">
        <v>2756</v>
      </c>
      <c r="K249" s="73" t="s">
        <v>2796</v>
      </c>
      <c r="L249" s="73" t="s">
        <v>2836</v>
      </c>
      <c r="M249" s="73" t="s">
        <v>2876</v>
      </c>
      <c r="N249" s="44" t="str">
        <f t="shared" si="16"/>
        <v>d. d. The males and females are both quite large.</v>
      </c>
    </row>
    <row r="250" spans="1:17" s="44" customFormat="1" ht="15" customHeight="1" x14ac:dyDescent="0.25">
      <c r="A250" s="69"/>
      <c r="B250" s="70"/>
      <c r="C250" s="70"/>
      <c r="D250" s="70"/>
      <c r="E250" s="72">
        <v>9</v>
      </c>
      <c r="F250" s="70" t="s">
        <v>2917</v>
      </c>
      <c r="G250" s="72" t="s">
        <v>2715</v>
      </c>
      <c r="H250" s="72">
        <v>1</v>
      </c>
      <c r="I250" s="69">
        <v>20</v>
      </c>
      <c r="J250" s="73" t="s">
        <v>2757</v>
      </c>
      <c r="K250" s="73" t="s">
        <v>2797</v>
      </c>
      <c r="L250" s="73" t="s">
        <v>2837</v>
      </c>
      <c r="M250" s="73" t="s">
        <v>2877</v>
      </c>
      <c r="N250" s="44" t="str">
        <f t="shared" si="16"/>
        <v>d. d. is representative of India’s underdeveloped areas.</v>
      </c>
    </row>
    <row r="251" spans="1:17" s="44" customFormat="1" ht="15" customHeight="1" x14ac:dyDescent="0.25">
      <c r="A251" s="69"/>
      <c r="B251" s="70"/>
      <c r="C251" s="70"/>
      <c r="D251" s="70"/>
      <c r="E251" s="72">
        <v>10</v>
      </c>
      <c r="F251" s="70" t="s">
        <v>2918</v>
      </c>
      <c r="G251" s="72" t="s">
        <v>2716</v>
      </c>
      <c r="H251" s="72">
        <v>1</v>
      </c>
      <c r="I251" s="69">
        <v>20</v>
      </c>
      <c r="J251" s="73" t="s">
        <v>2758</v>
      </c>
      <c r="K251" s="73" t="s">
        <v>2798</v>
      </c>
      <c r="L251" s="73" t="s">
        <v>2838</v>
      </c>
      <c r="M251" s="73" t="s">
        <v>2878</v>
      </c>
      <c r="N251" s="44" t="str">
        <f t="shared" si="16"/>
        <v>d. d. offered to pay someone to take away the captured ghosts.</v>
      </c>
    </row>
    <row r="252" spans="1:17" s="44" customFormat="1" ht="15" customHeight="1" x14ac:dyDescent="0.25">
      <c r="A252" s="69"/>
      <c r="B252" s="70"/>
      <c r="C252" s="70"/>
      <c r="D252" s="70"/>
      <c r="E252" s="72">
        <v>11</v>
      </c>
      <c r="F252" s="70" t="s">
        <v>2919</v>
      </c>
      <c r="G252" s="72" t="s">
        <v>2717</v>
      </c>
      <c r="H252" s="72">
        <v>1</v>
      </c>
      <c r="I252" s="69">
        <v>20</v>
      </c>
      <c r="J252" s="73" t="s">
        <v>2759</v>
      </c>
      <c r="K252" s="73" t="s">
        <v>2799</v>
      </c>
      <c r="L252" s="73" t="s">
        <v>2839</v>
      </c>
      <c r="M252" s="73" t="s">
        <v>2879</v>
      </c>
      <c r="N252" s="44" t="str">
        <f t="shared" si="16"/>
        <v>d. d. Its paintings were brought to England from Poland.</v>
      </c>
    </row>
    <row r="253" spans="1:17" s="44" customFormat="1" ht="15" customHeight="1" x14ac:dyDescent="0.25">
      <c r="A253" s="69"/>
      <c r="B253" s="70"/>
      <c r="C253" s="70"/>
      <c r="D253" s="70"/>
      <c r="E253" s="72">
        <v>12</v>
      </c>
      <c r="F253" s="70" t="s">
        <v>2920</v>
      </c>
      <c r="G253" s="72" t="s">
        <v>2718</v>
      </c>
      <c r="H253" s="72">
        <v>1</v>
      </c>
      <c r="I253" s="69">
        <v>20</v>
      </c>
      <c r="J253" s="73" t="s">
        <v>2760</v>
      </c>
      <c r="K253" s="73" t="s">
        <v>2800</v>
      </c>
      <c r="L253" s="73" t="s">
        <v>2840</v>
      </c>
      <c r="M253" s="73" t="s">
        <v>2880</v>
      </c>
      <c r="N253" s="44" t="str">
        <f t="shared" si="16"/>
        <v>d. d. Social Security is not doing enough to provide financial stability to seniors.</v>
      </c>
    </row>
    <row r="254" spans="1:17" s="44" customFormat="1" ht="15" customHeight="1" x14ac:dyDescent="0.25">
      <c r="A254" s="69"/>
      <c r="B254" s="70"/>
      <c r="C254" s="70"/>
      <c r="D254" s="70"/>
      <c r="E254" s="72">
        <v>13</v>
      </c>
      <c r="F254" s="70" t="s">
        <v>2921</v>
      </c>
      <c r="G254" s="72" t="s">
        <v>2719</v>
      </c>
      <c r="H254" s="72">
        <v>1</v>
      </c>
      <c r="I254" s="69">
        <v>20</v>
      </c>
      <c r="J254" s="73" t="s">
        <v>2761</v>
      </c>
      <c r="K254" s="73" t="s">
        <v>2801</v>
      </c>
      <c r="L254" s="73" t="s">
        <v>2841</v>
      </c>
      <c r="M254" s="73" t="s">
        <v>2881</v>
      </c>
      <c r="N254" s="44" t="str">
        <f t="shared" si="16"/>
        <v>d. d. He was amazed by the extraordinary sight of the volcano.</v>
      </c>
    </row>
    <row r="255" spans="1:17" s="44" customFormat="1" ht="15" customHeight="1" x14ac:dyDescent="0.25">
      <c r="A255" s="69"/>
      <c r="B255" s="70"/>
      <c r="C255" s="70"/>
      <c r="D255" s="70"/>
      <c r="E255" s="72">
        <v>14</v>
      </c>
      <c r="F255" s="70" t="s">
        <v>2922</v>
      </c>
      <c r="G255" s="72" t="s">
        <v>2720</v>
      </c>
      <c r="H255" s="72">
        <v>1</v>
      </c>
      <c r="I255" s="69">
        <v>20</v>
      </c>
      <c r="J255" s="73" t="s">
        <v>2762</v>
      </c>
      <c r="K255" s="73" t="s">
        <v>2802</v>
      </c>
      <c r="L255" s="73" t="s">
        <v>2842</v>
      </c>
      <c r="M255" s="73" t="s">
        <v>2882</v>
      </c>
      <c r="N255" s="44" t="str">
        <f t="shared" si="16"/>
        <v>d. d. Her attempts at mountaineering in South England.</v>
      </c>
    </row>
    <row r="256" spans="1:17" s="44" customFormat="1" ht="15" customHeight="1" x14ac:dyDescent="0.25">
      <c r="A256" s="69"/>
      <c r="B256" s="70"/>
      <c r="C256" s="70"/>
      <c r="D256" s="70"/>
      <c r="E256" s="72">
        <v>15</v>
      </c>
      <c r="F256" s="70" t="s">
        <v>2923</v>
      </c>
      <c r="G256" s="72" t="s">
        <v>2721</v>
      </c>
      <c r="H256" s="72">
        <v>1</v>
      </c>
      <c r="I256" s="69">
        <v>20</v>
      </c>
      <c r="J256" s="73" t="s">
        <v>2763</v>
      </c>
      <c r="K256" s="73" t="s">
        <v>2803</v>
      </c>
      <c r="L256" s="73" t="s">
        <v>2843</v>
      </c>
      <c r="M256" s="73" t="s">
        <v>2883</v>
      </c>
      <c r="N256" s="44" t="str">
        <f t="shared" si="16"/>
        <v>d. d. Evidence has shown that men collected objects when they could not hunt.</v>
      </c>
    </row>
    <row r="257" spans="1:14" s="44" customFormat="1" ht="15" customHeight="1" x14ac:dyDescent="0.25">
      <c r="A257" s="69"/>
      <c r="B257" s="70"/>
      <c r="C257" s="70"/>
      <c r="D257" s="70"/>
      <c r="E257" s="72">
        <v>16</v>
      </c>
      <c r="F257" s="70" t="s">
        <v>2924</v>
      </c>
      <c r="G257" s="72" t="s">
        <v>2722</v>
      </c>
      <c r="H257" s="72">
        <v>1</v>
      </c>
      <c r="I257" s="69">
        <v>20</v>
      </c>
      <c r="J257" s="73" t="s">
        <v>2764</v>
      </c>
      <c r="K257" s="73" t="s">
        <v>2804</v>
      </c>
      <c r="L257" s="73" t="s">
        <v>2844</v>
      </c>
      <c r="M257" s="73" t="s">
        <v>2884</v>
      </c>
      <c r="N257" s="44" t="str">
        <f t="shared" si="16"/>
        <v>d. d. She feels young women in the media lack ambition and experience.</v>
      </c>
    </row>
    <row r="258" spans="1:14" s="44" customFormat="1" ht="15" customHeight="1" x14ac:dyDescent="0.25">
      <c r="A258" s="69"/>
      <c r="B258" s="70"/>
      <c r="C258" s="70"/>
      <c r="D258" s="70"/>
      <c r="E258" s="72">
        <v>17</v>
      </c>
      <c r="F258" s="70" t="s">
        <v>2925</v>
      </c>
      <c r="G258" s="72" t="s">
        <v>2723</v>
      </c>
      <c r="H258" s="72">
        <v>1</v>
      </c>
      <c r="I258" s="69">
        <v>20</v>
      </c>
      <c r="J258" s="73" t="s">
        <v>2765</v>
      </c>
      <c r="K258" s="73" t="s">
        <v>2805</v>
      </c>
      <c r="L258" s="73" t="s">
        <v>2845</v>
      </c>
      <c r="M258" s="73" t="s">
        <v>2885</v>
      </c>
      <c r="N258" s="44" t="str">
        <f t="shared" si="16"/>
        <v>d. d. whenever twins are together they share the same experiences.</v>
      </c>
    </row>
    <row r="259" spans="1:14" s="44" customFormat="1" ht="15" customHeight="1" x14ac:dyDescent="0.25">
      <c r="A259" s="69"/>
      <c r="B259" s="70"/>
      <c r="C259" s="70"/>
      <c r="D259" s="70"/>
      <c r="E259" s="72">
        <v>18</v>
      </c>
      <c r="F259" s="70" t="s">
        <v>2926</v>
      </c>
      <c r="G259" s="72" t="s">
        <v>2724</v>
      </c>
      <c r="H259" s="72">
        <v>1</v>
      </c>
      <c r="I259" s="69">
        <v>20</v>
      </c>
      <c r="J259" s="73" t="s">
        <v>2766</v>
      </c>
      <c r="K259" s="73" t="s">
        <v>2806</v>
      </c>
      <c r="L259" s="73" t="s">
        <v>2846</v>
      </c>
      <c r="M259" s="73" t="s">
        <v>2886</v>
      </c>
      <c r="N259" s="44" t="str">
        <f t="shared" si="16"/>
        <v>d. d. She thinks positive thinking has taken over the culture, sometimes in ridiculous ways.</v>
      </c>
    </row>
    <row r="260" spans="1:14" s="44" customFormat="1" ht="15" customHeight="1" x14ac:dyDescent="0.25">
      <c r="A260" s="69"/>
      <c r="B260" s="70"/>
      <c r="C260" s="70"/>
      <c r="D260" s="70"/>
      <c r="E260" s="72">
        <v>19</v>
      </c>
      <c r="F260" s="70" t="s">
        <v>2927</v>
      </c>
      <c r="G260" s="72" t="s">
        <v>2725</v>
      </c>
      <c r="H260" s="72">
        <v>1</v>
      </c>
      <c r="I260" s="69">
        <v>20</v>
      </c>
      <c r="J260" s="73" t="s">
        <v>2767</v>
      </c>
      <c r="K260" s="73" t="s">
        <v>2807</v>
      </c>
      <c r="L260" s="73" t="s">
        <v>2847</v>
      </c>
      <c r="M260" s="73" t="s">
        <v>2887</v>
      </c>
      <c r="N260" s="44" t="str">
        <f t="shared" si="16"/>
        <v>d. d. Parents need to find alternative activities for their children while they are indoors.</v>
      </c>
    </row>
    <row r="261" spans="1:14" s="44" customFormat="1" ht="15" customHeight="1" x14ac:dyDescent="0.25">
      <c r="A261" s="69"/>
      <c r="B261" s="70"/>
      <c r="C261" s="70"/>
      <c r="D261" s="70"/>
      <c r="E261" s="72">
        <v>20</v>
      </c>
      <c r="F261" s="70" t="s">
        <v>2928</v>
      </c>
      <c r="G261" s="72" t="s">
        <v>2726</v>
      </c>
      <c r="H261" s="72">
        <v>1</v>
      </c>
      <c r="I261" s="69">
        <v>20</v>
      </c>
      <c r="J261" s="73" t="s">
        <v>2768</v>
      </c>
      <c r="K261" s="73" t="s">
        <v>2808</v>
      </c>
      <c r="L261" s="73" t="s">
        <v>2848</v>
      </c>
      <c r="M261" s="73" t="s">
        <v>2888</v>
      </c>
      <c r="N261" s="44" t="str">
        <f t="shared" si="16"/>
        <v>d. d. They influence the literary preferences of publishers.</v>
      </c>
    </row>
    <row r="262" spans="1:14" s="44" customFormat="1" ht="15" customHeight="1" x14ac:dyDescent="0.25">
      <c r="A262" s="69"/>
      <c r="B262" s="70"/>
      <c r="C262" s="70"/>
      <c r="D262" s="70"/>
      <c r="E262" s="72">
        <v>21</v>
      </c>
      <c r="F262" s="70" t="s">
        <v>2929</v>
      </c>
      <c r="G262" s="72" t="s">
        <v>2727</v>
      </c>
      <c r="H262" s="72">
        <v>1</v>
      </c>
      <c r="I262" s="69">
        <v>20</v>
      </c>
      <c r="J262" s="73" t="s">
        <v>2769</v>
      </c>
      <c r="K262" s="73" t="s">
        <v>2809</v>
      </c>
      <c r="L262" s="73" t="s">
        <v>2849</v>
      </c>
      <c r="M262" s="73" t="s">
        <v>2889</v>
      </c>
      <c r="N262" s="44" t="str">
        <f t="shared" si="16"/>
        <v>d. d. Some music pieces bring back memories from times gone by.</v>
      </c>
    </row>
    <row r="263" spans="1:14" s="44" customFormat="1" ht="15" customHeight="1" x14ac:dyDescent="0.25">
      <c r="A263" s="69"/>
      <c r="B263" s="70"/>
      <c r="C263" s="70"/>
      <c r="D263" s="70"/>
      <c r="E263" s="72">
        <v>22</v>
      </c>
      <c r="F263" s="70" t="s">
        <v>2930</v>
      </c>
      <c r="G263" s="72" t="s">
        <v>2728</v>
      </c>
      <c r="H263" s="72">
        <v>1</v>
      </c>
      <c r="I263" s="69">
        <v>20</v>
      </c>
      <c r="J263" s="73" t="s">
        <v>2770</v>
      </c>
      <c r="K263" s="73" t="s">
        <v>2810</v>
      </c>
      <c r="L263" s="73" t="s">
        <v>2850</v>
      </c>
      <c r="M263" s="73" t="s">
        <v>2890</v>
      </c>
      <c r="N263" s="44" t="str">
        <f t="shared" si="16"/>
        <v>d. d. The building of high-speed lines will boost Britain’s railway industry.</v>
      </c>
    </row>
    <row r="264" spans="1:14" s="44" customFormat="1" ht="15" customHeight="1" x14ac:dyDescent="0.25">
      <c r="A264" s="69"/>
      <c r="B264" s="70"/>
      <c r="C264" s="70"/>
      <c r="D264" s="70"/>
      <c r="E264" s="72">
        <v>23</v>
      </c>
      <c r="F264" s="70" t="s">
        <v>2931</v>
      </c>
      <c r="G264" s="72" t="s">
        <v>2729</v>
      </c>
      <c r="H264" s="72">
        <v>1</v>
      </c>
      <c r="I264" s="69">
        <v>20</v>
      </c>
      <c r="J264" s="73" t="s">
        <v>2771</v>
      </c>
      <c r="K264" s="73" t="s">
        <v>2811</v>
      </c>
      <c r="L264" s="73" t="s">
        <v>2851</v>
      </c>
      <c r="M264" s="73" t="s">
        <v>2891</v>
      </c>
      <c r="N264" s="44" t="str">
        <f t="shared" si="16"/>
        <v>d. d. Because they are the institution preferred by the Cuban State.</v>
      </c>
    </row>
    <row r="265" spans="1:14" s="44" customFormat="1" ht="15" customHeight="1" x14ac:dyDescent="0.25">
      <c r="A265" s="69"/>
      <c r="B265" s="70"/>
      <c r="C265" s="70"/>
      <c r="D265" s="70"/>
      <c r="E265" s="72">
        <v>24</v>
      </c>
      <c r="F265" s="70" t="s">
        <v>2932</v>
      </c>
      <c r="G265" s="72" t="s">
        <v>2730</v>
      </c>
      <c r="H265" s="72">
        <v>1</v>
      </c>
      <c r="I265" s="69">
        <v>20</v>
      </c>
      <c r="J265" s="73" t="s">
        <v>2772</v>
      </c>
      <c r="K265" s="73" t="s">
        <v>2812</v>
      </c>
      <c r="L265" s="73" t="s">
        <v>2852</v>
      </c>
      <c r="M265" s="73" t="s">
        <v>2892</v>
      </c>
      <c r="N265" s="44" t="str">
        <f t="shared" si="16"/>
        <v>d. d. That boycotting Chinese airlines is the best way to influence its actions.</v>
      </c>
    </row>
    <row r="266" spans="1:14" s="44" customFormat="1" ht="15" customHeight="1" x14ac:dyDescent="0.25">
      <c r="A266" s="69"/>
      <c r="B266" s="70"/>
      <c r="C266" s="70"/>
      <c r="D266" s="70"/>
      <c r="E266" s="72">
        <v>25</v>
      </c>
      <c r="F266" s="70" t="s">
        <v>2933</v>
      </c>
      <c r="G266" s="72" t="s">
        <v>2731</v>
      </c>
      <c r="H266" s="72">
        <v>1</v>
      </c>
      <c r="I266" s="69">
        <v>20</v>
      </c>
      <c r="J266" s="73" t="s">
        <v>2773</v>
      </c>
      <c r="K266" s="73" t="s">
        <v>2813</v>
      </c>
      <c r="L266" s="73" t="s">
        <v>2853</v>
      </c>
      <c r="M266" s="73" t="s">
        <v>2893</v>
      </c>
      <c r="N266" s="44" t="str">
        <f t="shared" si="16"/>
        <v>d. d. are using online social networks to communicate amongst themselves.</v>
      </c>
    </row>
    <row r="267" spans="1:14" s="44" customFormat="1" ht="15" customHeight="1" x14ac:dyDescent="0.25">
      <c r="A267" s="69"/>
      <c r="B267" s="70"/>
      <c r="C267" s="70"/>
      <c r="D267" s="70"/>
      <c r="E267" s="72">
        <v>26</v>
      </c>
      <c r="F267" s="70" t="s">
        <v>2934</v>
      </c>
      <c r="G267" s="72" t="s">
        <v>2732</v>
      </c>
      <c r="H267" s="72">
        <v>1</v>
      </c>
      <c r="I267" s="69">
        <v>20</v>
      </c>
      <c r="J267" s="73" t="s">
        <v>2774</v>
      </c>
      <c r="K267" s="73" t="s">
        <v>2814</v>
      </c>
      <c r="L267" s="73" t="s">
        <v>2854</v>
      </c>
      <c r="M267" s="73" t="s">
        <v>2894</v>
      </c>
      <c r="N267" s="44" t="str">
        <f t="shared" si="16"/>
        <v>d. d. The surge should take place only if there is a plan for a withdrawal afterwards.</v>
      </c>
    </row>
    <row r="268" spans="1:14" s="44" customFormat="1" ht="15" customHeight="1" x14ac:dyDescent="0.25">
      <c r="A268" s="69"/>
      <c r="B268" s="70"/>
      <c r="C268" s="70"/>
      <c r="D268" s="70"/>
      <c r="E268" s="72">
        <v>27</v>
      </c>
      <c r="F268" s="70" t="s">
        <v>2935</v>
      </c>
      <c r="G268" s="72" t="s">
        <v>2733</v>
      </c>
      <c r="H268" s="72">
        <v>1</v>
      </c>
      <c r="I268" s="69">
        <v>20</v>
      </c>
      <c r="J268" s="73" t="s">
        <v>2775</v>
      </c>
      <c r="K268" s="73" t="s">
        <v>2815</v>
      </c>
      <c r="L268" s="73" t="s">
        <v>2855</v>
      </c>
      <c r="M268" s="73" t="s">
        <v>2895</v>
      </c>
      <c r="N268" s="44" t="str">
        <f t="shared" si="16"/>
        <v>d. d. The special experience of 3D is a way to get people back into theaters.</v>
      </c>
    </row>
    <row r="269" spans="1:14" s="44" customFormat="1" ht="15" customHeight="1" x14ac:dyDescent="0.25">
      <c r="A269" s="69"/>
      <c r="B269" s="70"/>
      <c r="C269" s="70"/>
      <c r="D269" s="70"/>
      <c r="E269" s="72">
        <v>28</v>
      </c>
      <c r="F269" s="70" t="s">
        <v>2936</v>
      </c>
      <c r="G269" s="72" t="s">
        <v>2734</v>
      </c>
      <c r="H269" s="72">
        <v>1</v>
      </c>
      <c r="I269" s="69">
        <v>20</v>
      </c>
      <c r="J269" s="73" t="s">
        <v>2776</v>
      </c>
      <c r="K269" s="73" t="s">
        <v>2816</v>
      </c>
      <c r="L269" s="73" t="s">
        <v>2856</v>
      </c>
      <c r="M269" s="73" t="s">
        <v>2896</v>
      </c>
      <c r="N269" s="44" t="str">
        <f t="shared" si="16"/>
        <v>d. d. People drink about the same nowadays as in the past.</v>
      </c>
    </row>
    <row r="270" spans="1:14" s="44" customFormat="1" ht="15" customHeight="1" x14ac:dyDescent="0.25">
      <c r="A270" s="69"/>
      <c r="B270" s="70"/>
      <c r="C270" s="70"/>
      <c r="D270" s="70"/>
      <c r="E270" s="72">
        <v>29</v>
      </c>
      <c r="F270" s="70" t="s">
        <v>2937</v>
      </c>
      <c r="G270" s="72" t="s">
        <v>2735</v>
      </c>
      <c r="H270" s="72">
        <v>1</v>
      </c>
      <c r="I270" s="69">
        <v>20</v>
      </c>
      <c r="J270" s="73" t="s">
        <v>2777</v>
      </c>
      <c r="K270" s="73" t="s">
        <v>2817</v>
      </c>
      <c r="L270" s="73" t="s">
        <v>2857</v>
      </c>
      <c r="M270" s="73" t="s">
        <v>2897</v>
      </c>
      <c r="N270" s="44" t="str">
        <f t="shared" si="16"/>
        <v>d. d. The fact that he embodies both the best and worst aspects of the American immigrant story</v>
      </c>
    </row>
    <row r="271" spans="1:14" s="44" customFormat="1" ht="15" customHeight="1" x14ac:dyDescent="0.25">
      <c r="A271" s="69"/>
      <c r="B271" s="70"/>
      <c r="C271" s="70"/>
      <c r="D271" s="70"/>
      <c r="E271" s="72">
        <v>30</v>
      </c>
      <c r="F271" s="70" t="s">
        <v>2938</v>
      </c>
      <c r="G271" s="72" t="s">
        <v>2736</v>
      </c>
      <c r="H271" s="72">
        <v>1</v>
      </c>
      <c r="I271" s="69">
        <v>20</v>
      </c>
      <c r="J271" s="73" t="s">
        <v>2778</v>
      </c>
      <c r="K271" s="73" t="s">
        <v>2818</v>
      </c>
      <c r="L271" s="73" t="s">
        <v>2858</v>
      </c>
      <c r="M271" s="73" t="s">
        <v>2898</v>
      </c>
      <c r="N271" s="44" t="str">
        <f t="shared" si="16"/>
        <v>d. d. They are impressed with the change in tone and rhetoric</v>
      </c>
    </row>
    <row r="272" spans="1:14" s="44" customFormat="1" ht="15" customHeight="1" x14ac:dyDescent="0.25">
      <c r="A272" s="69"/>
      <c r="B272" s="70"/>
      <c r="C272" s="70"/>
      <c r="D272" s="70"/>
      <c r="E272" s="72">
        <v>31</v>
      </c>
      <c r="F272" s="70" t="s">
        <v>2939</v>
      </c>
      <c r="G272" s="72" t="s">
        <v>2737</v>
      </c>
      <c r="H272" s="72">
        <v>1</v>
      </c>
      <c r="I272" s="69">
        <v>20</v>
      </c>
      <c r="J272" s="73" t="s">
        <v>2779</v>
      </c>
      <c r="K272" s="73" t="s">
        <v>2819</v>
      </c>
      <c r="L272" s="73" t="s">
        <v>2859</v>
      </c>
      <c r="M272" s="73" t="s">
        <v>2899</v>
      </c>
      <c r="N272" s="44" t="str">
        <f t="shared" si="16"/>
        <v>d. d. By organizing and including many students in her plans.</v>
      </c>
    </row>
    <row r="273" spans="1:14" s="44" customFormat="1" ht="15" customHeight="1" x14ac:dyDescent="0.25">
      <c r="A273" s="69"/>
      <c r="B273" s="70"/>
      <c r="C273" s="70"/>
      <c r="D273" s="70"/>
      <c r="E273" s="72">
        <v>32</v>
      </c>
      <c r="F273" s="70" t="s">
        <v>2940</v>
      </c>
      <c r="G273" s="72" t="s">
        <v>2738</v>
      </c>
      <c r="H273" s="72">
        <v>1</v>
      </c>
      <c r="I273" s="69">
        <v>20</v>
      </c>
      <c r="J273" s="73" t="s">
        <v>2780</v>
      </c>
      <c r="K273" s="73" t="s">
        <v>2820</v>
      </c>
      <c r="L273" s="73" t="s">
        <v>2860</v>
      </c>
      <c r="M273" s="73" t="s">
        <v>2900</v>
      </c>
      <c r="N273" s="44" t="str">
        <f t="shared" si="16"/>
        <v>d. d. They should be made more restrictive on space technologies</v>
      </c>
    </row>
    <row r="274" spans="1:14" s="44" customFormat="1" ht="15" customHeight="1" x14ac:dyDescent="0.25">
      <c r="A274" s="69"/>
      <c r="B274" s="70"/>
      <c r="C274" s="70"/>
      <c r="D274" s="70"/>
      <c r="E274" s="72">
        <v>33</v>
      </c>
      <c r="F274" s="70" t="s">
        <v>2941</v>
      </c>
      <c r="G274" s="72" t="s">
        <v>2739</v>
      </c>
      <c r="H274" s="72">
        <v>1</v>
      </c>
      <c r="I274" s="69">
        <v>20</v>
      </c>
      <c r="J274" s="73" t="s">
        <v>2781</v>
      </c>
      <c r="K274" s="73" t="s">
        <v>2821</v>
      </c>
      <c r="L274" s="73" t="s">
        <v>2861</v>
      </c>
      <c r="M274" s="73" t="s">
        <v>2901</v>
      </c>
      <c r="N274" s="44" t="str">
        <f t="shared" si="16"/>
        <v>d. d. It's best to explain about a lot of composers and instruments and let the children choose what to hear.</v>
      </c>
    </row>
    <row r="275" spans="1:14" s="44" customFormat="1" ht="15" customHeight="1" x14ac:dyDescent="0.25">
      <c r="A275" s="69"/>
      <c r="B275" s="70"/>
      <c r="C275" s="70"/>
      <c r="D275" s="70"/>
      <c r="E275" s="72">
        <v>34</v>
      </c>
      <c r="F275" s="70" t="s">
        <v>2942</v>
      </c>
      <c r="G275" s="72" t="s">
        <v>2740</v>
      </c>
      <c r="H275" s="72">
        <v>1</v>
      </c>
      <c r="I275" s="69">
        <v>20</v>
      </c>
      <c r="J275" s="73" t="s">
        <v>2782</v>
      </c>
      <c r="K275" s="73" t="s">
        <v>2822</v>
      </c>
      <c r="L275" s="73" t="s">
        <v>2862</v>
      </c>
      <c r="M275" s="73" t="s">
        <v>2902</v>
      </c>
      <c r="N275" s="44" t="str">
        <f t="shared" si="16"/>
        <v>d. d. Webster's first dictionary was unsuccessful because it was too close to British spelling</v>
      </c>
    </row>
    <row r="276" spans="1:14" s="44" customFormat="1" ht="15" customHeight="1" x14ac:dyDescent="0.25">
      <c r="A276" s="69"/>
      <c r="B276" s="70"/>
      <c r="C276" s="70"/>
      <c r="D276" s="70"/>
      <c r="E276" s="72">
        <v>35</v>
      </c>
      <c r="F276" s="70" t="s">
        <v>2943</v>
      </c>
      <c r="G276" s="72" t="s">
        <v>2741</v>
      </c>
      <c r="H276" s="72">
        <v>1</v>
      </c>
      <c r="I276" s="69">
        <v>20</v>
      </c>
      <c r="J276" s="73" t="s">
        <v>2783</v>
      </c>
      <c r="K276" s="73" t="s">
        <v>2823</v>
      </c>
      <c r="L276" s="73" t="s">
        <v>2863</v>
      </c>
      <c r="M276" s="73" t="s">
        <v>2903</v>
      </c>
      <c r="N276" s="44" t="str">
        <f t="shared" si="16"/>
        <v>d. d. Because they will be working with children.</v>
      </c>
    </row>
    <row r="277" spans="1:14" s="44" customFormat="1" ht="15" customHeight="1" x14ac:dyDescent="0.25">
      <c r="A277" s="69"/>
      <c r="B277" s="70"/>
      <c r="C277" s="70"/>
      <c r="D277" s="70"/>
      <c r="E277" s="72">
        <v>36</v>
      </c>
      <c r="F277" s="70" t="s">
        <v>2748</v>
      </c>
      <c r="G277" s="72" t="s">
        <v>2742</v>
      </c>
      <c r="H277" s="72">
        <v>1</v>
      </c>
      <c r="I277" s="69">
        <v>20</v>
      </c>
      <c r="J277" s="73" t="s">
        <v>2784</v>
      </c>
      <c r="K277" s="73" t="s">
        <v>2824</v>
      </c>
      <c r="L277" s="73" t="s">
        <v>2864</v>
      </c>
      <c r="M277" s="73" t="s">
        <v>2904</v>
      </c>
      <c r="N277" s="44" t="str">
        <f t="shared" si="16"/>
        <v>d. d. Nowadays boards select members based on merit</v>
      </c>
    </row>
    <row r="278" spans="1:14" s="44" customFormat="1" ht="15" customHeight="1" x14ac:dyDescent="0.25">
      <c r="A278" s="69"/>
      <c r="B278" s="70"/>
      <c r="C278" s="70"/>
      <c r="D278" s="70"/>
      <c r="E278" s="72">
        <v>37</v>
      </c>
      <c r="F278" s="70" t="s">
        <v>2944</v>
      </c>
      <c r="G278" s="72" t="s">
        <v>2743</v>
      </c>
      <c r="H278" s="72">
        <v>1</v>
      </c>
      <c r="I278" s="69">
        <v>20</v>
      </c>
      <c r="J278" s="73" t="s">
        <v>2785</v>
      </c>
      <c r="K278" s="73" t="s">
        <v>2825</v>
      </c>
      <c r="L278" s="73" t="s">
        <v>2865</v>
      </c>
      <c r="M278" s="73" t="s">
        <v>2905</v>
      </c>
      <c r="N278" s="44" t="str">
        <f t="shared" si="16"/>
        <v>d. d. Vehicle traffic has caused the paving to deteriorate quickly</v>
      </c>
    </row>
    <row r="279" spans="1:14" s="44" customFormat="1" ht="15" customHeight="1" x14ac:dyDescent="0.25">
      <c r="A279" s="69"/>
      <c r="B279" s="70"/>
      <c r="C279" s="70"/>
      <c r="D279" s="70"/>
      <c r="E279" s="72">
        <v>38</v>
      </c>
      <c r="F279" s="70" t="s">
        <v>2945</v>
      </c>
      <c r="G279" s="72" t="s">
        <v>2744</v>
      </c>
      <c r="H279" s="72">
        <v>1</v>
      </c>
      <c r="I279" s="69">
        <v>20</v>
      </c>
      <c r="J279" s="73" t="s">
        <v>2786</v>
      </c>
      <c r="K279" s="73" t="s">
        <v>2826</v>
      </c>
      <c r="L279" s="73" t="s">
        <v>2866</v>
      </c>
      <c r="M279" s="73" t="s">
        <v>2906</v>
      </c>
      <c r="N279" s="44" t="str">
        <f t="shared" si="16"/>
        <v>d. d. She wanted to work in a profession in which she could help people in need</v>
      </c>
    </row>
    <row r="280" spans="1:14" s="44" customFormat="1" ht="15" customHeight="1" x14ac:dyDescent="0.25">
      <c r="A280" s="69"/>
      <c r="B280" s="70"/>
      <c r="C280" s="70"/>
      <c r="D280" s="70"/>
      <c r="E280" s="72">
        <v>39</v>
      </c>
      <c r="F280" s="70" t="s">
        <v>2946</v>
      </c>
      <c r="G280" s="72" t="s">
        <v>2745</v>
      </c>
      <c r="H280" s="72">
        <v>1</v>
      </c>
      <c r="I280" s="69">
        <v>20</v>
      </c>
      <c r="J280" s="73" t="s">
        <v>2787</v>
      </c>
      <c r="K280" s="73" t="s">
        <v>2827</v>
      </c>
      <c r="L280" s="73" t="s">
        <v>2867</v>
      </c>
      <c r="M280" s="73" t="s">
        <v>2907</v>
      </c>
      <c r="N280" s="44" t="str">
        <f t="shared" si="16"/>
        <v>d. d. Most movies nowadays are formulaic and predictable</v>
      </c>
    </row>
    <row r="281" spans="1:14" s="44" customFormat="1" ht="15" customHeight="1" x14ac:dyDescent="0.25">
      <c r="A281" s="69"/>
      <c r="B281" s="70"/>
      <c r="C281" s="70"/>
      <c r="D281" s="70"/>
      <c r="E281" s="72">
        <v>40</v>
      </c>
      <c r="F281" s="70" t="s">
        <v>2947</v>
      </c>
      <c r="G281" s="72" t="s">
        <v>2746</v>
      </c>
      <c r="H281" s="72">
        <v>1</v>
      </c>
      <c r="I281" s="69">
        <v>20</v>
      </c>
      <c r="J281" s="73" t="s">
        <v>2788</v>
      </c>
      <c r="K281" s="73" t="s">
        <v>2828</v>
      </c>
      <c r="L281" s="73" t="s">
        <v>2868</v>
      </c>
      <c r="M281" s="73" t="s">
        <v>2908</v>
      </c>
      <c r="N281" s="44" t="str">
        <f t="shared" si="16"/>
        <v>d. d. Children were more of an economic burden on their parents in the past</v>
      </c>
    </row>
    <row r="282" spans="1:14" s="44" customFormat="1" ht="20.100000000000001" customHeight="1" x14ac:dyDescent="0.25">
      <c r="A282" s="78"/>
      <c r="B282" s="79"/>
      <c r="C282" s="80">
        <v>8</v>
      </c>
      <c r="D282" s="80" t="s">
        <v>3044</v>
      </c>
      <c r="E282" s="81">
        <v>1</v>
      </c>
      <c r="F282" s="84" t="s">
        <v>3687</v>
      </c>
      <c r="G282" s="82" t="s">
        <v>3452</v>
      </c>
      <c r="H282" s="81">
        <v>1</v>
      </c>
      <c r="I282" s="78">
        <v>20</v>
      </c>
      <c r="J282" s="83" t="s">
        <v>3453</v>
      </c>
      <c r="K282" s="83" t="s">
        <v>3454</v>
      </c>
      <c r="L282" s="83" t="s">
        <v>3455</v>
      </c>
      <c r="M282" s="83" t="s">
        <v>3456</v>
      </c>
    </row>
    <row r="283" spans="1:14" s="44" customFormat="1" ht="20.100000000000001" customHeight="1" x14ac:dyDescent="0.25">
      <c r="A283" s="78"/>
      <c r="B283" s="79"/>
      <c r="C283" s="80"/>
      <c r="D283" s="80" t="s">
        <v>3457</v>
      </c>
      <c r="E283" s="81">
        <v>2</v>
      </c>
      <c r="F283" s="84" t="s">
        <v>3684</v>
      </c>
      <c r="G283" s="81" t="s">
        <v>3458</v>
      </c>
      <c r="H283" s="81">
        <v>1</v>
      </c>
      <c r="I283" s="78">
        <v>20</v>
      </c>
      <c r="J283" s="83" t="s">
        <v>3459</v>
      </c>
      <c r="K283" s="83" t="s">
        <v>3460</v>
      </c>
      <c r="L283" s="83" t="s">
        <v>3461</v>
      </c>
      <c r="M283" s="83" t="s">
        <v>3462</v>
      </c>
    </row>
    <row r="284" spans="1:14" s="44" customFormat="1" ht="20.100000000000001" customHeight="1" x14ac:dyDescent="0.25">
      <c r="A284" s="78"/>
      <c r="B284" s="79"/>
      <c r="C284" s="80"/>
      <c r="D284" s="80" t="s">
        <v>16</v>
      </c>
      <c r="E284" s="81">
        <v>3</v>
      </c>
      <c r="F284" s="84" t="s">
        <v>3685</v>
      </c>
      <c r="G284" s="81" t="s">
        <v>3463</v>
      </c>
      <c r="H284" s="81">
        <v>1</v>
      </c>
      <c r="I284" s="78">
        <v>20</v>
      </c>
      <c r="J284" s="83" t="s">
        <v>3464</v>
      </c>
      <c r="K284" s="83" t="s">
        <v>3465</v>
      </c>
      <c r="L284" s="83" t="s">
        <v>3466</v>
      </c>
      <c r="M284" s="83" t="s">
        <v>3467</v>
      </c>
    </row>
    <row r="285" spans="1:14" s="44" customFormat="1" ht="20.100000000000001" customHeight="1" x14ac:dyDescent="0.25">
      <c r="A285" s="78"/>
      <c r="B285" s="79"/>
      <c r="C285" s="79"/>
      <c r="D285" s="79"/>
      <c r="E285" s="81">
        <v>4</v>
      </c>
      <c r="F285" s="84" t="s">
        <v>3686</v>
      </c>
      <c r="G285" s="81" t="s">
        <v>3468</v>
      </c>
      <c r="H285" s="81">
        <v>1</v>
      </c>
      <c r="I285" s="78">
        <v>20</v>
      </c>
      <c r="J285" s="83" t="s">
        <v>3469</v>
      </c>
      <c r="K285" s="83" t="s">
        <v>3470</v>
      </c>
      <c r="L285" s="83" t="s">
        <v>3471</v>
      </c>
      <c r="M285" s="83" t="s">
        <v>3472</v>
      </c>
    </row>
    <row r="286" spans="1:14" s="44" customFormat="1" ht="20.100000000000001" customHeight="1" x14ac:dyDescent="0.25">
      <c r="A286" s="78"/>
      <c r="B286" s="79"/>
      <c r="C286" s="79"/>
      <c r="D286" s="79"/>
      <c r="E286" s="81">
        <v>5</v>
      </c>
      <c r="F286" s="84" t="s">
        <v>3688</v>
      </c>
      <c r="G286" s="81" t="s">
        <v>3473</v>
      </c>
      <c r="H286" s="81">
        <v>1</v>
      </c>
      <c r="I286" s="78">
        <v>20</v>
      </c>
      <c r="J286" s="83" t="s">
        <v>3474</v>
      </c>
      <c r="K286" s="83" t="s">
        <v>3475</v>
      </c>
      <c r="L286" s="83" t="s">
        <v>3476</v>
      </c>
      <c r="M286" s="83" t="s">
        <v>3477</v>
      </c>
    </row>
    <row r="287" spans="1:14" s="44" customFormat="1" ht="20.100000000000001" customHeight="1" x14ac:dyDescent="0.25">
      <c r="A287" s="78"/>
      <c r="B287" s="79"/>
      <c r="C287" s="79"/>
      <c r="D287" s="79"/>
      <c r="E287" s="81">
        <v>6</v>
      </c>
      <c r="F287" s="84" t="s">
        <v>3689</v>
      </c>
      <c r="G287" s="81" t="s">
        <v>3478</v>
      </c>
      <c r="H287" s="81">
        <v>1</v>
      </c>
      <c r="I287" s="78">
        <v>20</v>
      </c>
      <c r="J287" s="83" t="s">
        <v>3479</v>
      </c>
      <c r="K287" s="83" t="s">
        <v>3480</v>
      </c>
      <c r="L287" s="83" t="s">
        <v>3481</v>
      </c>
      <c r="M287" s="83" t="s">
        <v>3482</v>
      </c>
    </row>
    <row r="288" spans="1:14" s="44" customFormat="1" ht="20.100000000000001" customHeight="1" x14ac:dyDescent="0.25">
      <c r="A288" s="78"/>
      <c r="B288" s="79"/>
      <c r="C288" s="79"/>
      <c r="D288" s="79"/>
      <c r="E288" s="81">
        <v>7</v>
      </c>
      <c r="F288" s="84" t="s">
        <v>3690</v>
      </c>
      <c r="G288" s="81" t="s">
        <v>3483</v>
      </c>
      <c r="H288" s="81">
        <v>1</v>
      </c>
      <c r="I288" s="78">
        <v>20</v>
      </c>
      <c r="J288" s="83" t="s">
        <v>3484</v>
      </c>
      <c r="K288" s="83" t="s">
        <v>3485</v>
      </c>
      <c r="L288" s="83" t="s">
        <v>3486</v>
      </c>
      <c r="M288" s="83" t="s">
        <v>3487</v>
      </c>
    </row>
    <row r="289" spans="1:13" s="44" customFormat="1" ht="20.100000000000001" customHeight="1" x14ac:dyDescent="0.25">
      <c r="A289" s="78"/>
      <c r="B289" s="79"/>
      <c r="C289" s="79"/>
      <c r="D289" s="79"/>
      <c r="E289" s="81">
        <v>8</v>
      </c>
      <c r="F289" s="84" t="s">
        <v>3691</v>
      </c>
      <c r="G289" s="81" t="s">
        <v>3488</v>
      </c>
      <c r="H289" s="81">
        <v>1</v>
      </c>
      <c r="I289" s="78">
        <v>20</v>
      </c>
      <c r="J289" s="83" t="s">
        <v>3489</v>
      </c>
      <c r="K289" s="83" t="s">
        <v>3490</v>
      </c>
      <c r="L289" s="83" t="s">
        <v>3491</v>
      </c>
      <c r="M289" s="83" t="s">
        <v>3492</v>
      </c>
    </row>
    <row r="290" spans="1:13" s="44" customFormat="1" ht="20.100000000000001" customHeight="1" x14ac:dyDescent="0.25">
      <c r="A290" s="78"/>
      <c r="B290" s="79"/>
      <c r="C290" s="79"/>
      <c r="D290" s="79"/>
      <c r="E290" s="81">
        <v>9</v>
      </c>
      <c r="F290" s="84" t="s">
        <v>3692</v>
      </c>
      <c r="G290" s="81" t="s">
        <v>3493</v>
      </c>
      <c r="H290" s="81">
        <v>1</v>
      </c>
      <c r="I290" s="78">
        <v>20</v>
      </c>
      <c r="J290" s="83" t="s">
        <v>3494</v>
      </c>
      <c r="K290" s="83" t="s">
        <v>3495</v>
      </c>
      <c r="L290" s="83" t="s">
        <v>3496</v>
      </c>
      <c r="M290" s="83" t="s">
        <v>3497</v>
      </c>
    </row>
    <row r="291" spans="1:13" s="44" customFormat="1" ht="20.100000000000001" customHeight="1" x14ac:dyDescent="0.25">
      <c r="A291" s="78"/>
      <c r="B291" s="79"/>
      <c r="C291" s="79"/>
      <c r="D291" s="79"/>
      <c r="E291" s="81">
        <v>10</v>
      </c>
      <c r="F291" s="84" t="s">
        <v>3693</v>
      </c>
      <c r="G291" s="81" t="s">
        <v>3498</v>
      </c>
      <c r="H291" s="81">
        <v>1</v>
      </c>
      <c r="I291" s="78">
        <v>20</v>
      </c>
      <c r="J291" s="83" t="s">
        <v>3499</v>
      </c>
      <c r="K291" s="83" t="s">
        <v>3500</v>
      </c>
      <c r="L291" s="83" t="s">
        <v>3501</v>
      </c>
      <c r="M291" s="83" t="s">
        <v>3502</v>
      </c>
    </row>
    <row r="292" spans="1:13" s="44" customFormat="1" ht="20.100000000000001" customHeight="1" x14ac:dyDescent="0.25">
      <c r="A292" s="78"/>
      <c r="B292" s="79"/>
      <c r="C292" s="79"/>
      <c r="D292" s="79"/>
      <c r="E292" s="81">
        <v>11</v>
      </c>
      <c r="F292" s="84" t="s">
        <v>3694</v>
      </c>
      <c r="G292" s="81" t="s">
        <v>3503</v>
      </c>
      <c r="H292" s="81">
        <v>1</v>
      </c>
      <c r="I292" s="78">
        <v>20</v>
      </c>
      <c r="J292" s="83" t="s">
        <v>3504</v>
      </c>
      <c r="K292" s="83" t="s">
        <v>3505</v>
      </c>
      <c r="L292" s="83" t="s">
        <v>3506</v>
      </c>
      <c r="M292" s="83" t="s">
        <v>3507</v>
      </c>
    </row>
    <row r="293" spans="1:13" s="44" customFormat="1" ht="20.100000000000001" customHeight="1" x14ac:dyDescent="0.25">
      <c r="A293" s="78"/>
      <c r="B293" s="79"/>
      <c r="C293" s="79"/>
      <c r="D293" s="79"/>
      <c r="E293" s="81">
        <v>12</v>
      </c>
      <c r="F293" s="84" t="s">
        <v>3695</v>
      </c>
      <c r="G293" s="81" t="s">
        <v>3508</v>
      </c>
      <c r="H293" s="81">
        <v>1</v>
      </c>
      <c r="I293" s="78">
        <v>20</v>
      </c>
      <c r="J293" s="83" t="s">
        <v>3509</v>
      </c>
      <c r="K293" s="83" t="s">
        <v>3510</v>
      </c>
      <c r="L293" s="83" t="s">
        <v>3511</v>
      </c>
      <c r="M293" s="83" t="s">
        <v>3512</v>
      </c>
    </row>
    <row r="294" spans="1:13" s="44" customFormat="1" ht="20.100000000000001" customHeight="1" x14ac:dyDescent="0.25">
      <c r="A294" s="78"/>
      <c r="B294" s="79"/>
      <c r="C294" s="79"/>
      <c r="D294" s="79"/>
      <c r="E294" s="81">
        <v>13</v>
      </c>
      <c r="F294" s="84" t="s">
        <v>3696</v>
      </c>
      <c r="G294" s="81" t="s">
        <v>3513</v>
      </c>
      <c r="H294" s="81">
        <v>1</v>
      </c>
      <c r="I294" s="78">
        <v>20</v>
      </c>
      <c r="J294" s="83" t="s">
        <v>3514</v>
      </c>
      <c r="K294" s="83" t="s">
        <v>3515</v>
      </c>
      <c r="L294" s="83" t="s">
        <v>3516</v>
      </c>
      <c r="M294" s="83" t="s">
        <v>3517</v>
      </c>
    </row>
    <row r="295" spans="1:13" s="44" customFormat="1" ht="20.100000000000001" customHeight="1" x14ac:dyDescent="0.25">
      <c r="A295" s="78"/>
      <c r="B295" s="79"/>
      <c r="C295" s="79"/>
      <c r="D295" s="79"/>
      <c r="E295" s="81">
        <v>14</v>
      </c>
      <c r="F295" s="84" t="s">
        <v>3697</v>
      </c>
      <c r="G295" s="81" t="s">
        <v>3518</v>
      </c>
      <c r="H295" s="81">
        <v>1</v>
      </c>
      <c r="I295" s="78">
        <v>20</v>
      </c>
      <c r="J295" s="83" t="s">
        <v>3519</v>
      </c>
      <c r="K295" s="83" t="s">
        <v>3520</v>
      </c>
      <c r="L295" s="83" t="s">
        <v>3521</v>
      </c>
      <c r="M295" s="83" t="s">
        <v>3522</v>
      </c>
    </row>
    <row r="296" spans="1:13" s="44" customFormat="1" ht="20.100000000000001" customHeight="1" x14ac:dyDescent="0.25">
      <c r="A296" s="78"/>
      <c r="B296" s="79"/>
      <c r="C296" s="79"/>
      <c r="D296" s="79"/>
      <c r="E296" s="81">
        <v>15</v>
      </c>
      <c r="F296" s="84" t="s">
        <v>3698</v>
      </c>
      <c r="G296" s="81" t="s">
        <v>3523</v>
      </c>
      <c r="H296" s="81">
        <v>1</v>
      </c>
      <c r="I296" s="78">
        <v>20</v>
      </c>
      <c r="J296" s="83" t="s">
        <v>3524</v>
      </c>
      <c r="K296" s="83" t="s">
        <v>3525</v>
      </c>
      <c r="L296" s="83" t="s">
        <v>3526</v>
      </c>
      <c r="M296" s="83" t="s">
        <v>3527</v>
      </c>
    </row>
    <row r="297" spans="1:13" s="44" customFormat="1" ht="20.100000000000001" customHeight="1" x14ac:dyDescent="0.25">
      <c r="A297" s="78"/>
      <c r="B297" s="79"/>
      <c r="C297" s="79"/>
      <c r="D297" s="79"/>
      <c r="E297" s="81">
        <v>16</v>
      </c>
      <c r="F297" s="84" t="s">
        <v>3699</v>
      </c>
      <c r="G297" s="81" t="s">
        <v>3528</v>
      </c>
      <c r="H297" s="81">
        <v>1</v>
      </c>
      <c r="I297" s="78">
        <v>20</v>
      </c>
      <c r="J297" s="83" t="s">
        <v>3529</v>
      </c>
      <c r="K297" s="83" t="s">
        <v>3530</v>
      </c>
      <c r="L297" s="83" t="s">
        <v>3531</v>
      </c>
      <c r="M297" s="83" t="s">
        <v>3532</v>
      </c>
    </row>
    <row r="298" spans="1:13" s="44" customFormat="1" ht="20.100000000000001" customHeight="1" x14ac:dyDescent="0.25">
      <c r="A298" s="78"/>
      <c r="B298" s="79"/>
      <c r="C298" s="79"/>
      <c r="D298" s="79"/>
      <c r="E298" s="81">
        <v>17</v>
      </c>
      <c r="F298" s="84" t="s">
        <v>3700</v>
      </c>
      <c r="G298" s="81" t="s">
        <v>3533</v>
      </c>
      <c r="H298" s="81">
        <v>1</v>
      </c>
      <c r="I298" s="78">
        <v>20</v>
      </c>
      <c r="J298" s="83" t="s">
        <v>3534</v>
      </c>
      <c r="K298" s="83" t="s">
        <v>3535</v>
      </c>
      <c r="L298" s="83" t="s">
        <v>3536</v>
      </c>
      <c r="M298" s="83" t="s">
        <v>3537</v>
      </c>
    </row>
    <row r="299" spans="1:13" s="44" customFormat="1" ht="20.100000000000001" customHeight="1" x14ac:dyDescent="0.25">
      <c r="A299" s="78"/>
      <c r="B299" s="79"/>
      <c r="C299" s="79"/>
      <c r="D299" s="79"/>
      <c r="E299" s="81">
        <v>18</v>
      </c>
      <c r="F299" s="84" t="s">
        <v>3701</v>
      </c>
      <c r="G299" s="81" t="s">
        <v>3538</v>
      </c>
      <c r="H299" s="81">
        <v>1</v>
      </c>
      <c r="I299" s="78">
        <v>20</v>
      </c>
      <c r="J299" s="83" t="s">
        <v>3539</v>
      </c>
      <c r="K299" s="83" t="s">
        <v>3540</v>
      </c>
      <c r="L299" s="83" t="s">
        <v>3541</v>
      </c>
      <c r="M299" s="83" t="s">
        <v>3542</v>
      </c>
    </row>
    <row r="300" spans="1:13" s="44" customFormat="1" ht="20.100000000000001" customHeight="1" x14ac:dyDescent="0.25">
      <c r="A300" s="78"/>
      <c r="B300" s="79"/>
      <c r="C300" s="79"/>
      <c r="D300" s="79"/>
      <c r="E300" s="81">
        <v>19</v>
      </c>
      <c r="F300" s="84" t="s">
        <v>3702</v>
      </c>
      <c r="G300" s="81" t="s">
        <v>3543</v>
      </c>
      <c r="H300" s="81">
        <v>1</v>
      </c>
      <c r="I300" s="78">
        <v>20</v>
      </c>
      <c r="J300" s="83" t="s">
        <v>3544</v>
      </c>
      <c r="K300" s="83" t="s">
        <v>3545</v>
      </c>
      <c r="L300" s="83" t="s">
        <v>3546</v>
      </c>
      <c r="M300" s="83" t="s">
        <v>3547</v>
      </c>
    </row>
    <row r="301" spans="1:13" s="44" customFormat="1" ht="20.100000000000001" customHeight="1" x14ac:dyDescent="0.25">
      <c r="A301" s="78"/>
      <c r="B301" s="79"/>
      <c r="C301" s="79"/>
      <c r="D301" s="79"/>
      <c r="E301" s="81">
        <v>20</v>
      </c>
      <c r="F301" s="84" t="s">
        <v>3703</v>
      </c>
      <c r="G301" s="81" t="s">
        <v>3548</v>
      </c>
      <c r="H301" s="81">
        <v>1</v>
      </c>
      <c r="I301" s="78">
        <v>20</v>
      </c>
      <c r="J301" s="83" t="s">
        <v>3549</v>
      </c>
      <c r="K301" s="83" t="s">
        <v>3550</v>
      </c>
      <c r="L301" s="83" t="s">
        <v>3551</v>
      </c>
      <c r="M301" s="83" t="s">
        <v>3552</v>
      </c>
    </row>
    <row r="302" spans="1:13" s="44" customFormat="1" ht="20.100000000000001" customHeight="1" x14ac:dyDescent="0.25">
      <c r="A302" s="78"/>
      <c r="B302" s="79"/>
      <c r="C302" s="79"/>
      <c r="D302" s="79"/>
      <c r="E302" s="81">
        <v>21</v>
      </c>
      <c r="F302" s="84" t="s">
        <v>3704</v>
      </c>
      <c r="G302" s="81" t="s">
        <v>3553</v>
      </c>
      <c r="H302" s="81">
        <v>1</v>
      </c>
      <c r="I302" s="78">
        <v>20</v>
      </c>
      <c r="J302" s="83" t="s">
        <v>3554</v>
      </c>
      <c r="K302" s="83" t="s">
        <v>3555</v>
      </c>
      <c r="L302" s="83" t="s">
        <v>3556</v>
      </c>
      <c r="M302" s="83" t="s">
        <v>3557</v>
      </c>
    </row>
    <row r="303" spans="1:13" s="44" customFormat="1" ht="20.100000000000001" customHeight="1" x14ac:dyDescent="0.25">
      <c r="A303" s="78"/>
      <c r="B303" s="79"/>
      <c r="C303" s="79"/>
      <c r="D303" s="79"/>
      <c r="E303" s="81">
        <v>22</v>
      </c>
      <c r="F303" s="84" t="s">
        <v>3705</v>
      </c>
      <c r="G303" s="81" t="s">
        <v>3558</v>
      </c>
      <c r="H303" s="81">
        <v>1</v>
      </c>
      <c r="I303" s="78">
        <v>20</v>
      </c>
      <c r="J303" s="83" t="s">
        <v>3559</v>
      </c>
      <c r="K303" s="83" t="s">
        <v>3560</v>
      </c>
      <c r="L303" s="83" t="s">
        <v>3561</v>
      </c>
      <c r="M303" s="83" t="s">
        <v>3562</v>
      </c>
    </row>
    <row r="304" spans="1:13" s="44" customFormat="1" ht="20.100000000000001" customHeight="1" x14ac:dyDescent="0.25">
      <c r="A304" s="78"/>
      <c r="B304" s="79"/>
      <c r="C304" s="79"/>
      <c r="D304" s="79"/>
      <c r="E304" s="81">
        <v>23</v>
      </c>
      <c r="F304" s="84" t="s">
        <v>3706</v>
      </c>
      <c r="G304" s="81" t="s">
        <v>3563</v>
      </c>
      <c r="H304" s="81">
        <v>1</v>
      </c>
      <c r="I304" s="78">
        <v>20</v>
      </c>
      <c r="J304" s="83" t="s">
        <v>3564</v>
      </c>
      <c r="K304" s="83" t="s">
        <v>3565</v>
      </c>
      <c r="L304" s="83" t="s">
        <v>3566</v>
      </c>
      <c r="M304" s="83" t="s">
        <v>3567</v>
      </c>
    </row>
    <row r="305" spans="1:13" s="44" customFormat="1" ht="20.100000000000001" customHeight="1" x14ac:dyDescent="0.25">
      <c r="A305" s="78"/>
      <c r="B305" s="79"/>
      <c r="C305" s="79"/>
      <c r="D305" s="79"/>
      <c r="E305" s="81">
        <v>24</v>
      </c>
      <c r="F305" s="84" t="s">
        <v>3707</v>
      </c>
      <c r="G305" s="81" t="s">
        <v>3568</v>
      </c>
      <c r="H305" s="81">
        <v>1</v>
      </c>
      <c r="I305" s="78">
        <v>20</v>
      </c>
      <c r="J305" s="83" t="s">
        <v>3569</v>
      </c>
      <c r="K305" s="83" t="s">
        <v>3570</v>
      </c>
      <c r="L305" s="83" t="s">
        <v>3571</v>
      </c>
      <c r="M305" s="83" t="s">
        <v>3572</v>
      </c>
    </row>
    <row r="306" spans="1:13" s="44" customFormat="1" ht="20.100000000000001" customHeight="1" x14ac:dyDescent="0.25">
      <c r="A306" s="78"/>
      <c r="B306" s="79"/>
      <c r="C306" s="79"/>
      <c r="D306" s="79"/>
      <c r="E306" s="81">
        <v>25</v>
      </c>
      <c r="F306" s="84" t="s">
        <v>3708</v>
      </c>
      <c r="G306" s="81" t="s">
        <v>3573</v>
      </c>
      <c r="H306" s="81">
        <v>1</v>
      </c>
      <c r="I306" s="78">
        <v>20</v>
      </c>
      <c r="J306" s="83" t="s">
        <v>3574</v>
      </c>
      <c r="K306" s="83" t="s">
        <v>3575</v>
      </c>
      <c r="L306" s="83" t="s">
        <v>3576</v>
      </c>
      <c r="M306" s="83" t="s">
        <v>3577</v>
      </c>
    </row>
    <row r="307" spans="1:13" s="44" customFormat="1" ht="20.100000000000001" customHeight="1" x14ac:dyDescent="0.25">
      <c r="A307" s="78"/>
      <c r="B307" s="79"/>
      <c r="C307" s="79"/>
      <c r="D307" s="79"/>
      <c r="E307" s="81">
        <v>26</v>
      </c>
      <c r="F307" s="84" t="s">
        <v>3709</v>
      </c>
      <c r="G307" s="81" t="s">
        <v>3578</v>
      </c>
      <c r="H307" s="81">
        <v>1</v>
      </c>
      <c r="I307" s="78">
        <v>20</v>
      </c>
      <c r="J307" s="83" t="s">
        <v>3579</v>
      </c>
      <c r="K307" s="83" t="s">
        <v>3580</v>
      </c>
      <c r="L307" s="83" t="s">
        <v>3581</v>
      </c>
      <c r="M307" s="83" t="s">
        <v>3582</v>
      </c>
    </row>
    <row r="308" spans="1:13" s="44" customFormat="1" ht="20.100000000000001" customHeight="1" x14ac:dyDescent="0.25">
      <c r="A308" s="78"/>
      <c r="B308" s="79"/>
      <c r="C308" s="79"/>
      <c r="D308" s="79"/>
      <c r="E308" s="81">
        <v>27</v>
      </c>
      <c r="F308" s="84" t="s">
        <v>3710</v>
      </c>
      <c r="G308" s="81" t="s">
        <v>3583</v>
      </c>
      <c r="H308" s="81">
        <v>1</v>
      </c>
      <c r="I308" s="78">
        <v>20</v>
      </c>
      <c r="J308" s="83" t="s">
        <v>3584</v>
      </c>
      <c r="K308" s="83" t="s">
        <v>3585</v>
      </c>
      <c r="L308" s="83" t="s">
        <v>3586</v>
      </c>
      <c r="M308" s="83" t="s">
        <v>3587</v>
      </c>
    </row>
    <row r="309" spans="1:13" s="44" customFormat="1" ht="20.100000000000001" customHeight="1" x14ac:dyDescent="0.25">
      <c r="A309" s="78"/>
      <c r="B309" s="79"/>
      <c r="C309" s="79"/>
      <c r="D309" s="79"/>
      <c r="E309" s="81">
        <v>28</v>
      </c>
      <c r="F309" s="84" t="s">
        <v>3711</v>
      </c>
      <c r="G309" s="81" t="s">
        <v>3588</v>
      </c>
      <c r="H309" s="81">
        <v>1</v>
      </c>
      <c r="I309" s="78">
        <v>20</v>
      </c>
      <c r="J309" s="83" t="s">
        <v>3589</v>
      </c>
      <c r="K309" s="83" t="s">
        <v>3590</v>
      </c>
      <c r="L309" s="83" t="s">
        <v>3591</v>
      </c>
      <c r="M309" s="83" t="s">
        <v>3592</v>
      </c>
    </row>
    <row r="310" spans="1:13" s="44" customFormat="1" ht="20.100000000000001" customHeight="1" x14ac:dyDescent="0.25">
      <c r="A310" s="78"/>
      <c r="B310" s="79"/>
      <c r="C310" s="79"/>
      <c r="D310" s="79"/>
      <c r="E310" s="81">
        <v>29</v>
      </c>
      <c r="F310" s="84" t="s">
        <v>3712</v>
      </c>
      <c r="G310" s="81" t="s">
        <v>3593</v>
      </c>
      <c r="H310" s="81">
        <v>1</v>
      </c>
      <c r="I310" s="78">
        <v>20</v>
      </c>
      <c r="J310" s="83" t="s">
        <v>3594</v>
      </c>
      <c r="K310" s="83" t="s">
        <v>3595</v>
      </c>
      <c r="L310" s="83" t="s">
        <v>3596</v>
      </c>
      <c r="M310" s="83" t="s">
        <v>3597</v>
      </c>
    </row>
    <row r="311" spans="1:13" s="44" customFormat="1" ht="20.100000000000001" customHeight="1" x14ac:dyDescent="0.25">
      <c r="A311" s="78"/>
      <c r="B311" s="79"/>
      <c r="C311" s="79"/>
      <c r="D311" s="79"/>
      <c r="E311" s="81">
        <v>30</v>
      </c>
      <c r="F311" s="84" t="s">
        <v>3713</v>
      </c>
      <c r="G311" s="81" t="s">
        <v>3598</v>
      </c>
      <c r="H311" s="81">
        <v>1</v>
      </c>
      <c r="I311" s="78">
        <v>20</v>
      </c>
      <c r="J311" s="83" t="s">
        <v>3599</v>
      </c>
      <c r="K311" s="83" t="s">
        <v>3600</v>
      </c>
      <c r="L311" s="83" t="s">
        <v>3601</v>
      </c>
      <c r="M311" s="83" t="s">
        <v>3602</v>
      </c>
    </row>
    <row r="312" spans="1:13" s="44" customFormat="1" ht="20.100000000000001" customHeight="1" x14ac:dyDescent="0.25">
      <c r="A312" s="78"/>
      <c r="B312" s="79"/>
      <c r="C312" s="79"/>
      <c r="D312" s="79"/>
      <c r="E312" s="81">
        <v>31</v>
      </c>
      <c r="F312" s="84" t="s">
        <v>3714</v>
      </c>
      <c r="G312" s="81" t="s">
        <v>3603</v>
      </c>
      <c r="H312" s="81">
        <v>1</v>
      </c>
      <c r="I312" s="78">
        <v>20</v>
      </c>
      <c r="J312" s="83" t="s">
        <v>3604</v>
      </c>
      <c r="K312" s="83" t="s">
        <v>3605</v>
      </c>
      <c r="L312" s="83" t="s">
        <v>3606</v>
      </c>
      <c r="M312" s="83" t="s">
        <v>3607</v>
      </c>
    </row>
    <row r="313" spans="1:13" s="44" customFormat="1" ht="20.100000000000001" customHeight="1" x14ac:dyDescent="0.25">
      <c r="A313" s="78"/>
      <c r="B313" s="79"/>
      <c r="C313" s="79"/>
      <c r="D313" s="79"/>
      <c r="E313" s="81">
        <v>32</v>
      </c>
      <c r="F313" s="84" t="s">
        <v>3715</v>
      </c>
      <c r="G313" s="81" t="s">
        <v>3608</v>
      </c>
      <c r="H313" s="81">
        <v>1</v>
      </c>
      <c r="I313" s="78">
        <v>20</v>
      </c>
      <c r="J313" s="83" t="s">
        <v>3609</v>
      </c>
      <c r="K313" s="83" t="s">
        <v>3610</v>
      </c>
      <c r="L313" s="83" t="s">
        <v>3611</v>
      </c>
      <c r="M313" s="83" t="s">
        <v>3612</v>
      </c>
    </row>
    <row r="314" spans="1:13" s="44" customFormat="1" ht="20.100000000000001" customHeight="1" x14ac:dyDescent="0.25">
      <c r="A314" s="78"/>
      <c r="B314" s="79"/>
      <c r="C314" s="79"/>
      <c r="D314" s="79"/>
      <c r="E314" s="81">
        <v>33</v>
      </c>
      <c r="F314" s="84" t="s">
        <v>3716</v>
      </c>
      <c r="G314" s="81" t="s">
        <v>3613</v>
      </c>
      <c r="H314" s="81">
        <v>1</v>
      </c>
      <c r="I314" s="78">
        <v>20</v>
      </c>
      <c r="J314" s="83" t="s">
        <v>3614</v>
      </c>
      <c r="K314" s="83" t="s">
        <v>3615</v>
      </c>
      <c r="L314" s="83" t="s">
        <v>3616</v>
      </c>
      <c r="M314" s="83" t="s">
        <v>3617</v>
      </c>
    </row>
    <row r="315" spans="1:13" s="44" customFormat="1" ht="20.100000000000001" customHeight="1" x14ac:dyDescent="0.25">
      <c r="A315" s="78"/>
      <c r="B315" s="79"/>
      <c r="C315" s="79"/>
      <c r="D315" s="79"/>
      <c r="E315" s="81">
        <v>34</v>
      </c>
      <c r="F315" s="84" t="s">
        <v>3717</v>
      </c>
      <c r="G315" s="81" t="s">
        <v>3618</v>
      </c>
      <c r="H315" s="81">
        <v>1</v>
      </c>
      <c r="I315" s="78">
        <v>20</v>
      </c>
      <c r="J315" s="83" t="s">
        <v>3619</v>
      </c>
      <c r="K315" s="83" t="s">
        <v>3620</v>
      </c>
      <c r="L315" s="83" t="s">
        <v>3621</v>
      </c>
      <c r="M315" s="83" t="s">
        <v>3622</v>
      </c>
    </row>
    <row r="316" spans="1:13" s="44" customFormat="1" ht="20.100000000000001" customHeight="1" x14ac:dyDescent="0.25">
      <c r="A316" s="78"/>
      <c r="B316" s="79"/>
      <c r="C316" s="79"/>
      <c r="D316" s="79"/>
      <c r="E316" s="81">
        <v>35</v>
      </c>
      <c r="F316" s="84" t="s">
        <v>3718</v>
      </c>
      <c r="G316" s="81" t="s">
        <v>3623</v>
      </c>
      <c r="H316" s="81">
        <v>1</v>
      </c>
      <c r="I316" s="78">
        <v>20</v>
      </c>
      <c r="J316" s="83" t="s">
        <v>3624</v>
      </c>
      <c r="K316" s="83" t="s">
        <v>3625</v>
      </c>
      <c r="L316" s="83" t="s">
        <v>3626</v>
      </c>
      <c r="M316" s="83" t="s">
        <v>3627</v>
      </c>
    </row>
    <row r="317" spans="1:13" s="44" customFormat="1" ht="20.100000000000001" customHeight="1" x14ac:dyDescent="0.25">
      <c r="A317" s="78"/>
      <c r="B317" s="79"/>
      <c r="C317" s="79"/>
      <c r="D317" s="79"/>
      <c r="E317" s="81">
        <v>36</v>
      </c>
      <c r="F317" s="84" t="s">
        <v>3719</v>
      </c>
      <c r="G317" s="81" t="s">
        <v>3628</v>
      </c>
      <c r="H317" s="81">
        <v>1</v>
      </c>
      <c r="I317" s="78">
        <v>20</v>
      </c>
      <c r="J317" s="83" t="s">
        <v>3629</v>
      </c>
      <c r="K317" s="83" t="s">
        <v>3630</v>
      </c>
      <c r="L317" s="83" t="s">
        <v>3631</v>
      </c>
      <c r="M317" s="83" t="s">
        <v>3632</v>
      </c>
    </row>
    <row r="318" spans="1:13" s="44" customFormat="1" ht="20.100000000000001" customHeight="1" x14ac:dyDescent="0.25">
      <c r="A318" s="78"/>
      <c r="B318" s="79"/>
      <c r="C318" s="79"/>
      <c r="D318" s="79"/>
      <c r="E318" s="81">
        <v>37</v>
      </c>
      <c r="F318" s="84" t="s">
        <v>3720</v>
      </c>
      <c r="G318" s="81" t="s">
        <v>3633</v>
      </c>
      <c r="H318" s="81">
        <v>1</v>
      </c>
      <c r="I318" s="78">
        <v>20</v>
      </c>
      <c r="J318" s="83" t="s">
        <v>3634</v>
      </c>
      <c r="K318" s="83" t="s">
        <v>3635</v>
      </c>
      <c r="L318" s="83" t="s">
        <v>3636</v>
      </c>
      <c r="M318" s="83" t="s">
        <v>3637</v>
      </c>
    </row>
    <row r="319" spans="1:13" s="44" customFormat="1" ht="20.100000000000001" customHeight="1" x14ac:dyDescent="0.25">
      <c r="A319" s="78"/>
      <c r="B319" s="79"/>
      <c r="C319" s="79"/>
      <c r="D319" s="79"/>
      <c r="E319" s="81">
        <v>38</v>
      </c>
      <c r="F319" s="84" t="s">
        <v>3721</v>
      </c>
      <c r="G319" s="81" t="s">
        <v>3638</v>
      </c>
      <c r="H319" s="81">
        <v>1</v>
      </c>
      <c r="I319" s="78">
        <v>20</v>
      </c>
      <c r="J319" s="83" t="s">
        <v>3639</v>
      </c>
      <c r="K319" s="83" t="s">
        <v>3640</v>
      </c>
      <c r="L319" s="83" t="s">
        <v>3641</v>
      </c>
      <c r="M319" s="83" t="s">
        <v>3642</v>
      </c>
    </row>
    <row r="320" spans="1:13" s="44" customFormat="1" ht="20.100000000000001" customHeight="1" x14ac:dyDescent="0.25">
      <c r="A320" s="78"/>
      <c r="B320" s="79"/>
      <c r="C320" s="79"/>
      <c r="D320" s="79"/>
      <c r="E320" s="81">
        <v>39</v>
      </c>
      <c r="F320" s="84" t="s">
        <v>3722</v>
      </c>
      <c r="G320" s="81" t="s">
        <v>3643</v>
      </c>
      <c r="H320" s="81">
        <v>1</v>
      </c>
      <c r="I320" s="78">
        <v>20</v>
      </c>
      <c r="J320" s="83" t="s">
        <v>3644</v>
      </c>
      <c r="K320" s="83" t="s">
        <v>3645</v>
      </c>
      <c r="L320" s="83" t="s">
        <v>3646</v>
      </c>
      <c r="M320" s="83" t="s">
        <v>3647</v>
      </c>
    </row>
    <row r="321" spans="1:13" s="44" customFormat="1" ht="20.100000000000001" customHeight="1" x14ac:dyDescent="0.25">
      <c r="A321" s="78"/>
      <c r="B321" s="79"/>
      <c r="C321" s="79"/>
      <c r="D321" s="79"/>
      <c r="E321" s="81">
        <v>40</v>
      </c>
      <c r="F321" s="84" t="s">
        <v>3723</v>
      </c>
      <c r="G321" s="81" t="s">
        <v>3648</v>
      </c>
      <c r="H321" s="81">
        <v>1</v>
      </c>
      <c r="I321" s="78">
        <v>20</v>
      </c>
      <c r="J321" s="83" t="s">
        <v>3649</v>
      </c>
      <c r="K321" s="83" t="s">
        <v>3650</v>
      </c>
      <c r="L321" s="83" t="s">
        <v>3651</v>
      </c>
      <c r="M321" s="83" t="s">
        <v>3652</v>
      </c>
    </row>
    <row r="322" spans="1:13" ht="20.100000000000001" customHeight="1" x14ac:dyDescent="0.25">
      <c r="A322" s="48"/>
      <c r="B322" s="48"/>
      <c r="C322" s="48">
        <v>1000</v>
      </c>
      <c r="D322" s="48" t="s">
        <v>2026</v>
      </c>
      <c r="E322" s="48">
        <v>1</v>
      </c>
      <c r="F322" s="49" t="s">
        <v>1950</v>
      </c>
      <c r="G322" s="48" t="s">
        <v>1228</v>
      </c>
      <c r="H322" s="48">
        <v>5</v>
      </c>
      <c r="I322" s="48">
        <v>3</v>
      </c>
      <c r="J322" s="48" t="s">
        <v>361</v>
      </c>
      <c r="K322" s="48" t="s">
        <v>1691</v>
      </c>
      <c r="L322" s="48" t="s">
        <v>175</v>
      </c>
      <c r="M322" s="48" t="s">
        <v>1693</v>
      </c>
    </row>
    <row r="323" spans="1:13" ht="20.100000000000001" customHeight="1" x14ac:dyDescent="0.25">
      <c r="A323" s="48"/>
      <c r="B323" s="48"/>
      <c r="C323" s="48"/>
      <c r="D323" s="48" t="s">
        <v>2027</v>
      </c>
      <c r="E323" s="48">
        <v>2</v>
      </c>
      <c r="F323" s="49" t="s">
        <v>1951</v>
      </c>
      <c r="G323" s="48" t="s">
        <v>1229</v>
      </c>
      <c r="H323" s="48">
        <v>5</v>
      </c>
      <c r="I323" s="48">
        <v>3</v>
      </c>
      <c r="J323" s="48" t="s">
        <v>362</v>
      </c>
      <c r="K323" s="48" t="s">
        <v>386</v>
      </c>
      <c r="L323" s="48" t="s">
        <v>176</v>
      </c>
      <c r="M323" s="48" t="s">
        <v>174</v>
      </c>
    </row>
    <row r="324" spans="1:13" ht="20.100000000000001" customHeight="1" x14ac:dyDescent="0.25">
      <c r="A324" s="48"/>
      <c r="B324" s="48"/>
      <c r="C324" s="48"/>
      <c r="D324" s="48" t="s">
        <v>16</v>
      </c>
      <c r="E324" s="48">
        <v>3</v>
      </c>
      <c r="F324" s="49" t="s">
        <v>1952</v>
      </c>
      <c r="G324" s="48" t="s">
        <v>1230</v>
      </c>
      <c r="H324" s="48">
        <v>5</v>
      </c>
      <c r="I324" s="48">
        <v>3</v>
      </c>
      <c r="J324" s="48" t="s">
        <v>1690</v>
      </c>
      <c r="K324" s="48" t="s">
        <v>1692</v>
      </c>
      <c r="L324" s="48" t="s">
        <v>1695</v>
      </c>
      <c r="M324" s="48" t="s">
        <v>173</v>
      </c>
    </row>
    <row r="325" spans="1:13" ht="20.100000000000001" customHeight="1" x14ac:dyDescent="0.25">
      <c r="A325" s="48"/>
      <c r="B325" s="48"/>
      <c r="C325" s="48"/>
      <c r="D325" s="48" t="s">
        <v>1758</v>
      </c>
      <c r="E325" s="48">
        <v>4</v>
      </c>
      <c r="F325" s="49" t="s">
        <v>1953</v>
      </c>
      <c r="G325" s="48" t="s">
        <v>1231</v>
      </c>
      <c r="H325" s="48">
        <v>5</v>
      </c>
      <c r="I325" s="48">
        <v>3</v>
      </c>
      <c r="J325" s="48" t="s">
        <v>1759</v>
      </c>
      <c r="K325" s="48" t="s">
        <v>367</v>
      </c>
      <c r="L325" s="48" t="s">
        <v>1696</v>
      </c>
      <c r="M325" s="48" t="s">
        <v>172</v>
      </c>
    </row>
    <row r="326" spans="1:13" ht="20.100000000000001" customHeight="1" x14ac:dyDescent="0.25">
      <c r="A326" s="48"/>
      <c r="B326" s="48"/>
      <c r="C326" s="48"/>
      <c r="D326" s="48"/>
      <c r="E326" s="48">
        <v>5</v>
      </c>
      <c r="F326" s="50" t="s">
        <v>2031</v>
      </c>
      <c r="G326" s="48" t="s">
        <v>1232</v>
      </c>
      <c r="H326" s="48">
        <v>5</v>
      </c>
      <c r="I326" s="48">
        <v>3</v>
      </c>
      <c r="J326" s="48" t="s">
        <v>363</v>
      </c>
      <c r="K326" s="48" t="s">
        <v>368</v>
      </c>
      <c r="L326" s="48" t="s">
        <v>1697</v>
      </c>
      <c r="M326" s="48" t="s">
        <v>171</v>
      </c>
    </row>
    <row r="327" spans="1:13" ht="20.100000000000001" customHeight="1" x14ac:dyDescent="0.25">
      <c r="A327" s="48"/>
      <c r="B327" s="48"/>
      <c r="C327" s="48"/>
      <c r="D327" s="48"/>
      <c r="E327" s="48">
        <v>6</v>
      </c>
      <c r="F327" s="49" t="s">
        <v>1954</v>
      </c>
      <c r="G327" s="48" t="s">
        <v>1233</v>
      </c>
      <c r="H327" s="48">
        <v>5</v>
      </c>
      <c r="I327" s="48">
        <v>1</v>
      </c>
      <c r="J327" s="48" t="s">
        <v>364</v>
      </c>
      <c r="K327" s="48" t="s">
        <v>369</v>
      </c>
      <c r="L327" s="48" t="s">
        <v>177</v>
      </c>
      <c r="M327" s="48" t="s">
        <v>1694</v>
      </c>
    </row>
    <row r="328" spans="1:13" ht="20.100000000000001" customHeight="1" x14ac:dyDescent="0.25">
      <c r="A328" s="48"/>
      <c r="B328" s="48"/>
      <c r="C328" s="48"/>
      <c r="D328" s="48"/>
      <c r="E328" s="48">
        <v>7</v>
      </c>
      <c r="F328" s="49" t="s">
        <v>1955</v>
      </c>
      <c r="G328" s="48" t="s">
        <v>1234</v>
      </c>
      <c r="H328" s="48">
        <v>5</v>
      </c>
      <c r="I328" s="48">
        <v>1</v>
      </c>
      <c r="J328" s="48" t="s">
        <v>365</v>
      </c>
      <c r="K328" s="48" t="s">
        <v>370</v>
      </c>
      <c r="L328" s="48" t="s">
        <v>178</v>
      </c>
      <c r="M328" s="48" t="s">
        <v>170</v>
      </c>
    </row>
    <row r="329" spans="1:13" ht="20.100000000000001" customHeight="1" x14ac:dyDescent="0.25">
      <c r="A329" s="48"/>
      <c r="B329" s="48"/>
      <c r="C329" s="48"/>
      <c r="D329" s="48"/>
      <c r="E329" s="48">
        <v>8</v>
      </c>
      <c r="F329" s="49" t="s">
        <v>1956</v>
      </c>
      <c r="G329" s="48" t="s">
        <v>1235</v>
      </c>
      <c r="H329" s="48">
        <v>5</v>
      </c>
      <c r="I329" s="48">
        <v>1</v>
      </c>
      <c r="J329" s="48" t="s">
        <v>1246</v>
      </c>
      <c r="K329" s="48" t="s">
        <v>1247</v>
      </c>
      <c r="L329" s="48" t="s">
        <v>1248</v>
      </c>
      <c r="M329" s="48" t="s">
        <v>1249</v>
      </c>
    </row>
    <row r="330" spans="1:13" ht="20.100000000000001" customHeight="1" x14ac:dyDescent="0.25">
      <c r="A330" s="48"/>
      <c r="B330" s="48"/>
      <c r="C330" s="48"/>
      <c r="D330" s="48"/>
      <c r="E330" s="48">
        <v>9</v>
      </c>
      <c r="F330" s="49" t="s">
        <v>1957</v>
      </c>
      <c r="G330" s="48" t="s">
        <v>1236</v>
      </c>
      <c r="H330" s="48">
        <v>5</v>
      </c>
      <c r="I330" s="48">
        <v>1</v>
      </c>
      <c r="J330" s="48" t="s">
        <v>1698</v>
      </c>
      <c r="K330" s="48" t="s">
        <v>371</v>
      </c>
      <c r="L330" s="48" t="s">
        <v>179</v>
      </c>
      <c r="M330" s="48" t="s">
        <v>1701</v>
      </c>
    </row>
    <row r="331" spans="1:13" ht="20.100000000000001" customHeight="1" x14ac:dyDescent="0.25">
      <c r="A331" s="48"/>
      <c r="B331" s="48"/>
      <c r="C331" s="48"/>
      <c r="D331" s="48"/>
      <c r="E331" s="48">
        <v>10</v>
      </c>
      <c r="F331" s="49" t="s">
        <v>1958</v>
      </c>
      <c r="G331" s="48" t="s">
        <v>24</v>
      </c>
      <c r="H331" s="48">
        <v>5</v>
      </c>
      <c r="I331" s="48">
        <v>1</v>
      </c>
      <c r="J331" s="48" t="s">
        <v>1699</v>
      </c>
      <c r="K331" s="48" t="s">
        <v>372</v>
      </c>
      <c r="L331" s="48" t="s">
        <v>1700</v>
      </c>
      <c r="M331" s="48" t="s">
        <v>1702</v>
      </c>
    </row>
    <row r="332" spans="1:13" ht="20.100000000000001" customHeight="1" x14ac:dyDescent="0.25">
      <c r="A332" s="48"/>
      <c r="B332" s="48"/>
      <c r="C332" s="48"/>
      <c r="D332" s="48"/>
      <c r="E332" s="48">
        <v>11</v>
      </c>
      <c r="F332" s="49" t="s">
        <v>1959</v>
      </c>
      <c r="G332" s="48" t="s">
        <v>25</v>
      </c>
      <c r="H332" s="48">
        <v>5</v>
      </c>
      <c r="I332" s="48">
        <v>1</v>
      </c>
      <c r="J332" s="48" t="s">
        <v>366</v>
      </c>
      <c r="K332" s="48" t="s">
        <v>373</v>
      </c>
      <c r="L332" s="48" t="s">
        <v>180</v>
      </c>
      <c r="M332" s="48" t="s">
        <v>1688</v>
      </c>
    </row>
    <row r="333" spans="1:13" ht="20.100000000000001" customHeight="1" x14ac:dyDescent="0.25">
      <c r="A333" s="48"/>
      <c r="B333" s="48"/>
      <c r="C333" s="48"/>
      <c r="D333" s="48"/>
      <c r="E333" s="48">
        <v>12</v>
      </c>
      <c r="F333" s="49" t="s">
        <v>1960</v>
      </c>
      <c r="G333" s="48" t="s">
        <v>26</v>
      </c>
      <c r="H333" s="48">
        <v>5</v>
      </c>
      <c r="I333" s="48">
        <v>1</v>
      </c>
      <c r="J333" s="48" t="s">
        <v>385</v>
      </c>
      <c r="K333" s="48" t="s">
        <v>374</v>
      </c>
      <c r="L333" s="48" t="s">
        <v>181</v>
      </c>
      <c r="M333" s="48" t="s">
        <v>1703</v>
      </c>
    </row>
    <row r="334" spans="1:13" ht="20.100000000000001" customHeight="1" x14ac:dyDescent="0.25">
      <c r="A334" s="48"/>
      <c r="B334" s="48"/>
      <c r="C334" s="48"/>
      <c r="D334" s="48"/>
      <c r="E334" s="48">
        <v>13</v>
      </c>
      <c r="F334" s="50" t="s">
        <v>1961</v>
      </c>
      <c r="G334" s="48" t="s">
        <v>27</v>
      </c>
      <c r="H334" s="48">
        <v>5</v>
      </c>
      <c r="I334" s="48">
        <v>1</v>
      </c>
      <c r="J334" s="48" t="s">
        <v>379</v>
      </c>
      <c r="K334" s="48" t="s">
        <v>375</v>
      </c>
      <c r="L334" s="48" t="s">
        <v>182</v>
      </c>
      <c r="M334" s="48" t="s">
        <v>1704</v>
      </c>
    </row>
    <row r="335" spans="1:13" ht="20.100000000000001" customHeight="1" x14ac:dyDescent="0.25">
      <c r="A335" s="48"/>
      <c r="B335" s="48"/>
      <c r="C335" s="48"/>
      <c r="D335" s="48"/>
      <c r="E335" s="48">
        <v>14</v>
      </c>
      <c r="F335" s="50" t="s">
        <v>1962</v>
      </c>
      <c r="G335" s="48" t="s">
        <v>28</v>
      </c>
      <c r="H335" s="48">
        <v>5</v>
      </c>
      <c r="I335" s="48">
        <v>1</v>
      </c>
      <c r="J335" s="48" t="s">
        <v>1756</v>
      </c>
      <c r="K335" s="48" t="s">
        <v>1755</v>
      </c>
      <c r="L335" s="48" t="s">
        <v>1757</v>
      </c>
      <c r="M335" s="48" t="s">
        <v>169</v>
      </c>
    </row>
    <row r="336" spans="1:13" ht="20.100000000000001" customHeight="1" x14ac:dyDescent="0.25">
      <c r="A336" s="48"/>
      <c r="B336" s="48"/>
      <c r="C336" s="48"/>
      <c r="D336" s="48"/>
      <c r="E336" s="48">
        <v>15</v>
      </c>
      <c r="F336" s="50" t="s">
        <v>1963</v>
      </c>
      <c r="G336" s="48" t="s">
        <v>29</v>
      </c>
      <c r="H336" s="48">
        <v>5</v>
      </c>
      <c r="I336" s="48">
        <v>1</v>
      </c>
      <c r="J336" s="48" t="s">
        <v>380</v>
      </c>
      <c r="K336" s="48" t="s">
        <v>376</v>
      </c>
      <c r="L336" s="48" t="s">
        <v>183</v>
      </c>
      <c r="M336" s="48" t="s">
        <v>1705</v>
      </c>
    </row>
    <row r="337" spans="1:13" ht="20.100000000000001" customHeight="1" x14ac:dyDescent="0.25">
      <c r="A337" s="48"/>
      <c r="B337" s="48"/>
      <c r="C337" s="48"/>
      <c r="D337" s="48"/>
      <c r="E337" s="48">
        <v>16</v>
      </c>
      <c r="F337" s="50" t="s">
        <v>1964</v>
      </c>
      <c r="G337" s="48" t="s">
        <v>30</v>
      </c>
      <c r="H337" s="48">
        <v>5</v>
      </c>
      <c r="I337" s="48">
        <v>1</v>
      </c>
      <c r="J337" s="48" t="s">
        <v>381</v>
      </c>
      <c r="K337" s="48" t="s">
        <v>387</v>
      </c>
      <c r="L337" s="48" t="s">
        <v>184</v>
      </c>
      <c r="M337" s="48" t="s">
        <v>392</v>
      </c>
    </row>
    <row r="338" spans="1:13" ht="20.100000000000001" customHeight="1" x14ac:dyDescent="0.25">
      <c r="A338" s="48"/>
      <c r="B338" s="48"/>
      <c r="C338" s="48"/>
      <c r="D338" s="48"/>
      <c r="E338" s="48">
        <v>17</v>
      </c>
      <c r="F338" s="50" t="s">
        <v>1965</v>
      </c>
      <c r="G338" s="48" t="s">
        <v>31</v>
      </c>
      <c r="H338" s="48">
        <v>5</v>
      </c>
      <c r="I338" s="48">
        <v>1</v>
      </c>
      <c r="J338" s="48" t="s">
        <v>391</v>
      </c>
      <c r="K338" s="48" t="s">
        <v>377</v>
      </c>
      <c r="L338" s="48" t="s">
        <v>185</v>
      </c>
      <c r="M338" s="48" t="s">
        <v>1706</v>
      </c>
    </row>
    <row r="339" spans="1:13" ht="20.100000000000001" customHeight="1" x14ac:dyDescent="0.25">
      <c r="A339" s="48"/>
      <c r="B339" s="48"/>
      <c r="C339" s="48"/>
      <c r="D339" s="48"/>
      <c r="E339" s="48">
        <v>18</v>
      </c>
      <c r="F339" s="50" t="s">
        <v>1966</v>
      </c>
      <c r="G339" s="48" t="s">
        <v>32</v>
      </c>
      <c r="H339" s="48">
        <v>5</v>
      </c>
      <c r="I339" s="48">
        <v>1</v>
      </c>
      <c r="J339" s="48" t="s">
        <v>382</v>
      </c>
      <c r="K339" s="48" t="s">
        <v>378</v>
      </c>
      <c r="L339" s="48" t="s">
        <v>186</v>
      </c>
      <c r="M339" s="48" t="s">
        <v>1707</v>
      </c>
    </row>
    <row r="340" spans="1:13" ht="20.100000000000001" customHeight="1" x14ac:dyDescent="0.25">
      <c r="A340" s="48"/>
      <c r="B340" s="48"/>
      <c r="C340" s="48"/>
      <c r="D340" s="48"/>
      <c r="E340" s="48">
        <v>19</v>
      </c>
      <c r="F340" s="50" t="s">
        <v>1967</v>
      </c>
      <c r="G340" s="48" t="s">
        <v>33</v>
      </c>
      <c r="H340" s="48">
        <v>5</v>
      </c>
      <c r="I340" s="48">
        <v>1</v>
      </c>
      <c r="J340" s="48" t="s">
        <v>1689</v>
      </c>
      <c r="K340" s="48" t="s">
        <v>389</v>
      </c>
      <c r="L340" s="48" t="s">
        <v>187</v>
      </c>
      <c r="M340" s="48" t="s">
        <v>388</v>
      </c>
    </row>
    <row r="341" spans="1:13" ht="20.100000000000001" customHeight="1" x14ac:dyDescent="0.25">
      <c r="A341" s="48"/>
      <c r="B341" s="48"/>
      <c r="C341" s="48"/>
      <c r="D341" s="48"/>
      <c r="E341" s="48">
        <v>20</v>
      </c>
      <c r="F341" s="50" t="s">
        <v>1968</v>
      </c>
      <c r="G341" s="48" t="s">
        <v>34</v>
      </c>
      <c r="H341" s="48">
        <v>5</v>
      </c>
      <c r="I341" s="48">
        <v>1</v>
      </c>
      <c r="J341" s="48" t="s">
        <v>390</v>
      </c>
      <c r="K341" s="48" t="s">
        <v>383</v>
      </c>
      <c r="L341" s="48" t="s">
        <v>394</v>
      </c>
      <c r="M341" s="48" t="s">
        <v>1708</v>
      </c>
    </row>
    <row r="342" spans="1:13" ht="20.100000000000001" customHeight="1" x14ac:dyDescent="0.25">
      <c r="A342" s="48"/>
      <c r="B342" s="48"/>
      <c r="C342" s="48"/>
      <c r="D342" s="48"/>
      <c r="E342" s="48">
        <v>21</v>
      </c>
      <c r="F342" s="50" t="s">
        <v>1969</v>
      </c>
      <c r="G342" s="48" t="s">
        <v>76</v>
      </c>
      <c r="H342" s="48">
        <v>5</v>
      </c>
      <c r="I342" s="48">
        <v>1</v>
      </c>
      <c r="J342" s="48" t="s">
        <v>77</v>
      </c>
      <c r="K342" s="48" t="s">
        <v>78</v>
      </c>
      <c r="L342" s="48" t="s">
        <v>79</v>
      </c>
      <c r="M342" s="48" t="s">
        <v>80</v>
      </c>
    </row>
    <row r="343" spans="1:13" ht="20.100000000000001" customHeight="1" x14ac:dyDescent="0.25">
      <c r="A343" s="48"/>
      <c r="B343" s="48"/>
      <c r="C343" s="48"/>
      <c r="D343" s="48"/>
      <c r="E343" s="48">
        <v>22</v>
      </c>
      <c r="F343" s="50" t="s">
        <v>1970</v>
      </c>
      <c r="G343" s="48" t="s">
        <v>82</v>
      </c>
      <c r="H343" s="48">
        <v>5</v>
      </c>
      <c r="I343" s="48">
        <v>1</v>
      </c>
      <c r="J343" s="48" t="s">
        <v>83</v>
      </c>
      <c r="K343" s="48" t="s">
        <v>84</v>
      </c>
      <c r="L343" s="48" t="s">
        <v>85</v>
      </c>
      <c r="M343" s="48" t="s">
        <v>86</v>
      </c>
    </row>
    <row r="344" spans="1:13" ht="20.100000000000001" customHeight="1" x14ac:dyDescent="0.25">
      <c r="A344" s="48"/>
      <c r="B344" s="48"/>
      <c r="C344" s="48"/>
      <c r="D344" s="48"/>
      <c r="E344" s="48">
        <v>23</v>
      </c>
      <c r="F344" s="50" t="s">
        <v>1971</v>
      </c>
      <c r="G344" s="48" t="s">
        <v>88</v>
      </c>
      <c r="H344" s="48">
        <v>5</v>
      </c>
      <c r="I344" s="48">
        <v>1</v>
      </c>
      <c r="J344" s="48" t="s">
        <v>89</v>
      </c>
      <c r="K344" s="48" t="s">
        <v>90</v>
      </c>
      <c r="L344" s="48" t="s">
        <v>91</v>
      </c>
      <c r="M344" s="48" t="s">
        <v>92</v>
      </c>
    </row>
    <row r="345" spans="1:13" ht="20.100000000000001" customHeight="1" x14ac:dyDescent="0.25">
      <c r="A345" s="48"/>
      <c r="B345" s="48"/>
      <c r="C345" s="48"/>
      <c r="D345" s="48"/>
      <c r="E345" s="48">
        <v>24</v>
      </c>
      <c r="F345" s="50" t="s">
        <v>1972</v>
      </c>
      <c r="G345" s="48" t="s">
        <v>93</v>
      </c>
      <c r="H345" s="48">
        <v>5</v>
      </c>
      <c r="I345" s="48">
        <v>1</v>
      </c>
      <c r="J345" s="48" t="s">
        <v>94</v>
      </c>
      <c r="K345" s="48" t="s">
        <v>95</v>
      </c>
      <c r="L345" s="48" t="s">
        <v>96</v>
      </c>
      <c r="M345" s="48" t="s">
        <v>1709</v>
      </c>
    </row>
    <row r="346" spans="1:13" ht="20.100000000000001" customHeight="1" x14ac:dyDescent="0.25">
      <c r="A346" s="48"/>
      <c r="B346" s="48"/>
      <c r="C346" s="48"/>
      <c r="D346" s="48"/>
      <c r="E346" s="48">
        <v>25</v>
      </c>
      <c r="F346" s="50" t="s">
        <v>1973</v>
      </c>
      <c r="G346" s="48" t="s">
        <v>98</v>
      </c>
      <c r="H346" s="48">
        <v>5</v>
      </c>
      <c r="I346" s="48">
        <v>1</v>
      </c>
      <c r="J346" s="48" t="s">
        <v>99</v>
      </c>
      <c r="K346" s="48" t="s">
        <v>100</v>
      </c>
      <c r="L346" s="48" t="s">
        <v>101</v>
      </c>
      <c r="M346" s="48" t="s">
        <v>102</v>
      </c>
    </row>
    <row r="347" spans="1:13" ht="20.100000000000001" customHeight="1" x14ac:dyDescent="0.25">
      <c r="A347" s="48"/>
      <c r="B347" s="48"/>
      <c r="C347" s="48"/>
      <c r="D347" s="48"/>
      <c r="E347" s="48">
        <v>26</v>
      </c>
      <c r="F347" s="50" t="s">
        <v>1974</v>
      </c>
      <c r="G347" s="48" t="s">
        <v>103</v>
      </c>
      <c r="H347" s="48">
        <v>5</v>
      </c>
      <c r="I347" s="48">
        <v>1</v>
      </c>
      <c r="J347" s="48" t="s">
        <v>106</v>
      </c>
      <c r="K347" s="48" t="s">
        <v>1710</v>
      </c>
      <c r="L347" s="48" t="s">
        <v>107</v>
      </c>
      <c r="M347" s="48" t="s">
        <v>1711</v>
      </c>
    </row>
    <row r="348" spans="1:13" ht="20.100000000000001" customHeight="1" x14ac:dyDescent="0.25">
      <c r="A348" s="48"/>
      <c r="B348" s="48"/>
      <c r="C348" s="48"/>
      <c r="D348" s="48"/>
      <c r="E348" s="48">
        <v>27</v>
      </c>
      <c r="F348" s="50" t="s">
        <v>1975</v>
      </c>
      <c r="G348" s="48" t="s">
        <v>104</v>
      </c>
      <c r="H348" s="48">
        <v>5</v>
      </c>
      <c r="I348" s="48">
        <v>1</v>
      </c>
      <c r="J348" s="48" t="s">
        <v>1712</v>
      </c>
      <c r="K348" s="48" t="s">
        <v>109</v>
      </c>
      <c r="L348" s="48" t="s">
        <v>1713</v>
      </c>
      <c r="M348" s="48" t="s">
        <v>110</v>
      </c>
    </row>
    <row r="349" spans="1:13" ht="20.100000000000001" customHeight="1" x14ac:dyDescent="0.25">
      <c r="A349" s="48"/>
      <c r="B349" s="48"/>
      <c r="C349" s="48"/>
      <c r="D349" s="48"/>
      <c r="E349" s="48">
        <v>28</v>
      </c>
      <c r="F349" s="50" t="s">
        <v>2032</v>
      </c>
      <c r="G349" s="48" t="s">
        <v>105</v>
      </c>
      <c r="H349" s="48">
        <v>5</v>
      </c>
      <c r="I349" s="48">
        <v>1</v>
      </c>
      <c r="J349" s="48" t="s">
        <v>112</v>
      </c>
      <c r="K349" s="48" t="s">
        <v>1714</v>
      </c>
      <c r="L349" s="48" t="s">
        <v>1715</v>
      </c>
      <c r="M349" s="48" t="s">
        <v>1716</v>
      </c>
    </row>
    <row r="350" spans="1:13" ht="20.100000000000001" customHeight="1" x14ac:dyDescent="0.25">
      <c r="A350" s="48"/>
      <c r="B350" s="48"/>
      <c r="C350" s="48"/>
      <c r="D350" s="48"/>
      <c r="E350" s="48">
        <v>29</v>
      </c>
      <c r="F350" s="50" t="s">
        <v>1976</v>
      </c>
      <c r="G350" s="48" t="s">
        <v>108</v>
      </c>
      <c r="H350" s="48">
        <v>5</v>
      </c>
      <c r="I350" s="48">
        <v>1</v>
      </c>
      <c r="J350" s="48" t="s">
        <v>1717</v>
      </c>
      <c r="K350" s="48" t="s">
        <v>1718</v>
      </c>
      <c r="L350" s="48" t="s">
        <v>115</v>
      </c>
      <c r="M350" s="48" t="s">
        <v>116</v>
      </c>
    </row>
    <row r="351" spans="1:13" ht="20.100000000000001" customHeight="1" x14ac:dyDescent="0.25">
      <c r="A351" s="48"/>
      <c r="B351" s="48"/>
      <c r="C351" s="48"/>
      <c r="D351" s="48"/>
      <c r="E351" s="48">
        <v>30</v>
      </c>
      <c r="F351" s="50" t="s">
        <v>2029</v>
      </c>
      <c r="G351" s="48" t="s">
        <v>111</v>
      </c>
      <c r="H351" s="48">
        <v>5</v>
      </c>
      <c r="I351" s="48">
        <v>1</v>
      </c>
      <c r="J351" s="48" t="s">
        <v>118</v>
      </c>
      <c r="K351" s="48" t="s">
        <v>119</v>
      </c>
      <c r="L351" s="48" t="s">
        <v>1719</v>
      </c>
      <c r="M351" s="48" t="s">
        <v>1720</v>
      </c>
    </row>
    <row r="352" spans="1:13" ht="20.100000000000001" customHeight="1" x14ac:dyDescent="0.25">
      <c r="A352" s="48"/>
      <c r="B352" s="48"/>
      <c r="C352" s="48"/>
      <c r="D352" s="48"/>
      <c r="E352" s="48">
        <v>31</v>
      </c>
      <c r="F352" s="50" t="s">
        <v>1977</v>
      </c>
      <c r="G352" s="48" t="s">
        <v>114</v>
      </c>
      <c r="H352" s="48">
        <v>5</v>
      </c>
      <c r="I352" s="48">
        <v>1</v>
      </c>
      <c r="J352" s="48" t="s">
        <v>1721</v>
      </c>
      <c r="K352" s="48" t="s">
        <v>1722</v>
      </c>
      <c r="L352" s="48" t="s">
        <v>1723</v>
      </c>
      <c r="M352" s="48" t="s">
        <v>1724</v>
      </c>
    </row>
    <row r="353" spans="1:13" ht="20.100000000000001" customHeight="1" x14ac:dyDescent="0.25">
      <c r="A353" s="48"/>
      <c r="B353" s="48"/>
      <c r="C353" s="48"/>
      <c r="D353" s="48"/>
      <c r="E353" s="48">
        <v>32</v>
      </c>
      <c r="F353" s="50" t="s">
        <v>1978</v>
      </c>
      <c r="G353" s="48" t="s">
        <v>117</v>
      </c>
      <c r="H353" s="48">
        <v>5</v>
      </c>
      <c r="I353" s="48">
        <v>1</v>
      </c>
      <c r="J353" s="48" t="s">
        <v>122</v>
      </c>
      <c r="K353" s="48" t="s">
        <v>1725</v>
      </c>
      <c r="L353" s="48" t="s">
        <v>123</v>
      </c>
      <c r="M353" s="48" t="s">
        <v>124</v>
      </c>
    </row>
    <row r="354" spans="1:13" ht="20.100000000000001" customHeight="1" x14ac:dyDescent="0.25">
      <c r="A354" s="48"/>
      <c r="B354" s="48"/>
      <c r="C354" s="48"/>
      <c r="D354" s="48"/>
      <c r="E354" s="48">
        <v>33</v>
      </c>
      <c r="F354" s="50" t="s">
        <v>1979</v>
      </c>
      <c r="G354" s="48" t="s">
        <v>120</v>
      </c>
      <c r="H354" s="48">
        <v>5</v>
      </c>
      <c r="I354" s="48">
        <v>1</v>
      </c>
      <c r="J354" s="48" t="s">
        <v>126</v>
      </c>
      <c r="K354" s="48" t="s">
        <v>1726</v>
      </c>
      <c r="L354" s="48" t="s">
        <v>1727</v>
      </c>
      <c r="M354" s="48" t="s">
        <v>1728</v>
      </c>
    </row>
    <row r="355" spans="1:13" ht="20.100000000000001" customHeight="1" x14ac:dyDescent="0.25">
      <c r="A355" s="48"/>
      <c r="B355" s="48"/>
      <c r="C355" s="51"/>
      <c r="D355" s="51"/>
      <c r="E355" s="51">
        <v>34</v>
      </c>
      <c r="F355" s="50" t="s">
        <v>1980</v>
      </c>
      <c r="G355" s="51" t="s">
        <v>121</v>
      </c>
      <c r="H355" s="51">
        <v>5</v>
      </c>
      <c r="I355" s="48">
        <v>1</v>
      </c>
      <c r="J355" s="48" t="s">
        <v>128</v>
      </c>
      <c r="K355" s="48" t="s">
        <v>1729</v>
      </c>
      <c r="L355" s="48" t="s">
        <v>129</v>
      </c>
      <c r="M355" s="48" t="s">
        <v>1730</v>
      </c>
    </row>
    <row r="356" spans="1:13" ht="20.100000000000001" customHeight="1" x14ac:dyDescent="0.25">
      <c r="A356" s="48"/>
      <c r="B356" s="48"/>
      <c r="C356" s="51"/>
      <c r="D356" s="51"/>
      <c r="E356" s="51">
        <v>35</v>
      </c>
      <c r="F356" s="50" t="s">
        <v>2030</v>
      </c>
      <c r="G356" s="51" t="s">
        <v>125</v>
      </c>
      <c r="H356" s="51">
        <v>5</v>
      </c>
      <c r="I356" s="48">
        <v>1</v>
      </c>
      <c r="J356" s="48" t="s">
        <v>1731</v>
      </c>
      <c r="K356" s="48" t="s">
        <v>1760</v>
      </c>
      <c r="L356" s="48" t="s">
        <v>1732</v>
      </c>
      <c r="M356" s="48" t="s">
        <v>131</v>
      </c>
    </row>
    <row r="357" spans="1:13" ht="20.100000000000001" customHeight="1" x14ac:dyDescent="0.25">
      <c r="A357" s="48"/>
      <c r="B357" s="48"/>
      <c r="C357" s="51"/>
      <c r="D357" s="51"/>
      <c r="E357" s="51">
        <v>36</v>
      </c>
      <c r="F357" s="50" t="s">
        <v>1997</v>
      </c>
      <c r="G357" s="51" t="s">
        <v>127</v>
      </c>
      <c r="H357" s="51">
        <v>5</v>
      </c>
      <c r="I357" s="48">
        <v>1</v>
      </c>
      <c r="J357" s="48" t="s">
        <v>133</v>
      </c>
      <c r="K357" s="48" t="s">
        <v>134</v>
      </c>
      <c r="L357" s="48" t="s">
        <v>1733</v>
      </c>
      <c r="M357" s="48" t="s">
        <v>135</v>
      </c>
    </row>
    <row r="358" spans="1:13" ht="20.100000000000001" customHeight="1" x14ac:dyDescent="0.25">
      <c r="A358" s="48"/>
      <c r="B358" s="48"/>
      <c r="C358" s="51"/>
      <c r="D358" s="51"/>
      <c r="E358" s="51">
        <v>37</v>
      </c>
      <c r="F358" s="50" t="s">
        <v>1981</v>
      </c>
      <c r="G358" s="51" t="s">
        <v>130</v>
      </c>
      <c r="H358" s="51">
        <v>5</v>
      </c>
      <c r="I358" s="48">
        <v>1</v>
      </c>
      <c r="J358" s="48" t="s">
        <v>1734</v>
      </c>
      <c r="K358" s="48" t="s">
        <v>1735</v>
      </c>
      <c r="L358" s="48" t="s">
        <v>1736</v>
      </c>
      <c r="M358" s="48" t="s">
        <v>1737</v>
      </c>
    </row>
    <row r="359" spans="1:13" ht="20.100000000000001" customHeight="1" x14ac:dyDescent="0.25">
      <c r="A359" s="48"/>
      <c r="B359" s="48"/>
      <c r="C359" s="51"/>
      <c r="D359" s="51"/>
      <c r="E359" s="51">
        <v>38</v>
      </c>
      <c r="F359" s="50" t="s">
        <v>1982</v>
      </c>
      <c r="G359" s="51" t="s">
        <v>132</v>
      </c>
      <c r="H359" s="51">
        <v>5</v>
      </c>
      <c r="I359" s="48">
        <v>1</v>
      </c>
      <c r="J359" s="48" t="s">
        <v>138</v>
      </c>
      <c r="K359" s="48" t="s">
        <v>139</v>
      </c>
      <c r="L359" s="48" t="s">
        <v>140</v>
      </c>
      <c r="M359" s="48" t="s">
        <v>141</v>
      </c>
    </row>
    <row r="360" spans="1:13" ht="20.100000000000001" customHeight="1" x14ac:dyDescent="0.25">
      <c r="A360" s="48"/>
      <c r="B360" s="48"/>
      <c r="C360" s="51"/>
      <c r="D360" s="51"/>
      <c r="E360" s="51">
        <v>39</v>
      </c>
      <c r="F360" s="50" t="s">
        <v>1998</v>
      </c>
      <c r="G360" s="51" t="s">
        <v>136</v>
      </c>
      <c r="H360" s="51">
        <v>5</v>
      </c>
      <c r="I360" s="48">
        <v>1</v>
      </c>
      <c r="J360" s="48" t="s">
        <v>395</v>
      </c>
      <c r="K360" s="48" t="s">
        <v>1738</v>
      </c>
      <c r="L360" s="48" t="s">
        <v>1739</v>
      </c>
      <c r="M360" s="48" t="s">
        <v>1740</v>
      </c>
    </row>
    <row r="361" spans="1:13" ht="20.100000000000001" customHeight="1" x14ac:dyDescent="0.25">
      <c r="A361" s="48"/>
      <c r="B361" s="48"/>
      <c r="C361" s="51"/>
      <c r="D361" s="51"/>
      <c r="E361" s="51">
        <v>40</v>
      </c>
      <c r="F361" s="50" t="s">
        <v>1999</v>
      </c>
      <c r="G361" s="51" t="s">
        <v>137</v>
      </c>
      <c r="H361" s="51">
        <v>5</v>
      </c>
      <c r="I361" s="48">
        <v>1</v>
      </c>
      <c r="J361" s="48" t="s">
        <v>1741</v>
      </c>
      <c r="K361" s="48" t="s">
        <v>1742</v>
      </c>
      <c r="L361" s="48" t="s">
        <v>406</v>
      </c>
      <c r="M361" s="48" t="s">
        <v>410</v>
      </c>
    </row>
    <row r="362" spans="1:13" ht="20.100000000000001" customHeight="1" x14ac:dyDescent="0.25">
      <c r="A362" s="52"/>
      <c r="B362" s="52"/>
      <c r="C362" s="52">
        <v>2000</v>
      </c>
      <c r="D362" s="52" t="s">
        <v>2109</v>
      </c>
      <c r="E362" s="52">
        <v>1</v>
      </c>
      <c r="F362" s="52" t="s">
        <v>2147</v>
      </c>
      <c r="G362" s="52" t="s">
        <v>1237</v>
      </c>
      <c r="H362" s="53">
        <v>5</v>
      </c>
      <c r="I362" s="53">
        <v>1</v>
      </c>
      <c r="J362" s="53" t="s">
        <v>188</v>
      </c>
      <c r="K362" s="53" t="s">
        <v>208</v>
      </c>
      <c r="L362" s="53" t="s">
        <v>228</v>
      </c>
      <c r="M362" s="53" t="s">
        <v>248</v>
      </c>
    </row>
    <row r="363" spans="1:13" ht="20.100000000000001" customHeight="1" x14ac:dyDescent="0.25">
      <c r="A363" s="52"/>
      <c r="B363" s="52"/>
      <c r="C363" s="52"/>
      <c r="D363" s="52" t="s">
        <v>2027</v>
      </c>
      <c r="E363" s="52">
        <v>2</v>
      </c>
      <c r="F363" s="52" t="s">
        <v>2146</v>
      </c>
      <c r="G363" s="52" t="s">
        <v>1238</v>
      </c>
      <c r="H363" s="53">
        <v>5</v>
      </c>
      <c r="I363" s="53">
        <v>1</v>
      </c>
      <c r="J363" s="53" t="s">
        <v>189</v>
      </c>
      <c r="K363" s="53" t="s">
        <v>209</v>
      </c>
      <c r="L363" s="53" t="s">
        <v>229</v>
      </c>
      <c r="M363" s="53" t="s">
        <v>249</v>
      </c>
    </row>
    <row r="364" spans="1:13" ht="20.100000000000001" customHeight="1" x14ac:dyDescent="0.25">
      <c r="A364" s="52"/>
      <c r="B364" s="52"/>
      <c r="C364" s="52"/>
      <c r="D364" s="54" t="s">
        <v>16</v>
      </c>
      <c r="E364" s="52">
        <v>3</v>
      </c>
      <c r="F364" s="52" t="s">
        <v>2129</v>
      </c>
      <c r="G364" s="52" t="s">
        <v>1239</v>
      </c>
      <c r="H364" s="53">
        <v>5</v>
      </c>
      <c r="I364" s="53">
        <v>1</v>
      </c>
      <c r="J364" s="53" t="s">
        <v>190</v>
      </c>
      <c r="K364" s="53" t="s">
        <v>210</v>
      </c>
      <c r="L364" s="53" t="s">
        <v>230</v>
      </c>
      <c r="M364" s="53" t="s">
        <v>250</v>
      </c>
    </row>
    <row r="365" spans="1:13" ht="20.100000000000001" customHeight="1" x14ac:dyDescent="0.25">
      <c r="A365" s="52"/>
      <c r="B365" s="52"/>
      <c r="C365" s="52"/>
      <c r="D365" s="52"/>
      <c r="E365" s="52">
        <v>4</v>
      </c>
      <c r="F365" s="52" t="s">
        <v>2130</v>
      </c>
      <c r="G365" s="52" t="s">
        <v>1240</v>
      </c>
      <c r="H365" s="53">
        <v>5</v>
      </c>
      <c r="I365" s="53">
        <v>1</v>
      </c>
      <c r="J365" s="53" t="s">
        <v>191</v>
      </c>
      <c r="K365" s="53" t="s">
        <v>211</v>
      </c>
      <c r="L365" s="53" t="s">
        <v>231</v>
      </c>
      <c r="M365" s="53" t="s">
        <v>251</v>
      </c>
    </row>
    <row r="366" spans="1:13" ht="20.100000000000001" customHeight="1" x14ac:dyDescent="0.25">
      <c r="A366" s="52"/>
      <c r="B366" s="52"/>
      <c r="C366" s="52"/>
      <c r="D366" s="52"/>
      <c r="E366" s="52">
        <v>5</v>
      </c>
      <c r="F366" s="52" t="s">
        <v>2131</v>
      </c>
      <c r="G366" s="52" t="s">
        <v>1241</v>
      </c>
      <c r="H366" s="53">
        <v>5</v>
      </c>
      <c r="I366" s="53">
        <v>1</v>
      </c>
      <c r="J366" s="53" t="s">
        <v>192</v>
      </c>
      <c r="K366" s="53" t="s">
        <v>212</v>
      </c>
      <c r="L366" s="53" t="s">
        <v>232</v>
      </c>
      <c r="M366" s="53" t="s">
        <v>252</v>
      </c>
    </row>
    <row r="367" spans="1:13" ht="20.100000000000001" customHeight="1" x14ac:dyDescent="0.25">
      <c r="A367" s="52"/>
      <c r="B367" s="52"/>
      <c r="C367" s="52"/>
      <c r="D367" s="52"/>
      <c r="E367" s="52">
        <v>6</v>
      </c>
      <c r="F367" s="52" t="s">
        <v>2132</v>
      </c>
      <c r="G367" s="52" t="s">
        <v>1242</v>
      </c>
      <c r="H367" s="53">
        <v>5</v>
      </c>
      <c r="I367" s="53">
        <v>1</v>
      </c>
      <c r="J367" s="53" t="s">
        <v>193</v>
      </c>
      <c r="K367" s="53" t="s">
        <v>213</v>
      </c>
      <c r="L367" s="53" t="s">
        <v>233</v>
      </c>
      <c r="M367" s="53" t="s">
        <v>253</v>
      </c>
    </row>
    <row r="368" spans="1:13" ht="20.100000000000001" customHeight="1" x14ac:dyDescent="0.25">
      <c r="A368" s="52"/>
      <c r="B368" s="52"/>
      <c r="C368" s="52"/>
      <c r="D368" s="52"/>
      <c r="E368" s="52">
        <v>7</v>
      </c>
      <c r="F368" s="55" t="s">
        <v>2133</v>
      </c>
      <c r="G368" s="52" t="s">
        <v>1243</v>
      </c>
      <c r="H368" s="53">
        <v>5</v>
      </c>
      <c r="I368" s="53">
        <v>1</v>
      </c>
      <c r="J368" s="53" t="s">
        <v>194</v>
      </c>
      <c r="K368" s="53" t="s">
        <v>214</v>
      </c>
      <c r="L368" s="53" t="s">
        <v>234</v>
      </c>
      <c r="M368" s="53" t="s">
        <v>254</v>
      </c>
    </row>
    <row r="369" spans="1:13" ht="20.100000000000001" customHeight="1" x14ac:dyDescent="0.25">
      <c r="A369" s="52"/>
      <c r="B369" s="52"/>
      <c r="C369" s="52"/>
      <c r="D369" s="52"/>
      <c r="E369" s="52">
        <v>8</v>
      </c>
      <c r="F369" s="52" t="s">
        <v>2134</v>
      </c>
      <c r="G369" s="52" t="s">
        <v>1244</v>
      </c>
      <c r="H369" s="53">
        <v>5</v>
      </c>
      <c r="I369" s="53">
        <v>1</v>
      </c>
      <c r="J369" s="53" t="s">
        <v>195</v>
      </c>
      <c r="K369" s="53" t="s">
        <v>215</v>
      </c>
      <c r="L369" s="53" t="s">
        <v>235</v>
      </c>
      <c r="M369" s="53" t="s">
        <v>255</v>
      </c>
    </row>
    <row r="370" spans="1:13" ht="20.100000000000001" customHeight="1" x14ac:dyDescent="0.25">
      <c r="A370" s="52"/>
      <c r="B370" s="52"/>
      <c r="C370" s="52"/>
      <c r="D370" s="52"/>
      <c r="E370" s="52">
        <v>9</v>
      </c>
      <c r="F370" s="55" t="s">
        <v>2135</v>
      </c>
      <c r="G370" s="52" t="s">
        <v>1245</v>
      </c>
      <c r="H370" s="53">
        <v>5</v>
      </c>
      <c r="I370" s="53">
        <v>1</v>
      </c>
      <c r="J370" s="53" t="s">
        <v>196</v>
      </c>
      <c r="K370" s="53" t="s">
        <v>216</v>
      </c>
      <c r="L370" s="53" t="s">
        <v>236</v>
      </c>
      <c r="M370" s="53" t="s">
        <v>256</v>
      </c>
    </row>
    <row r="371" spans="1:13" ht="20.100000000000001" customHeight="1" x14ac:dyDescent="0.25">
      <c r="A371" s="52"/>
      <c r="B371" s="52"/>
      <c r="C371" s="52"/>
      <c r="D371" s="52"/>
      <c r="E371" s="52">
        <v>10</v>
      </c>
      <c r="F371" s="55" t="s">
        <v>2136</v>
      </c>
      <c r="G371" s="53" t="s">
        <v>440</v>
      </c>
      <c r="H371" s="53">
        <v>5</v>
      </c>
      <c r="I371" s="53">
        <v>1</v>
      </c>
      <c r="J371" s="53" t="s">
        <v>197</v>
      </c>
      <c r="K371" s="53" t="s">
        <v>217</v>
      </c>
      <c r="L371" s="53" t="s">
        <v>237</v>
      </c>
      <c r="M371" s="53" t="s">
        <v>257</v>
      </c>
    </row>
    <row r="372" spans="1:13" ht="20.100000000000001" customHeight="1" x14ac:dyDescent="0.25">
      <c r="A372" s="52"/>
      <c r="B372" s="52"/>
      <c r="C372" s="52"/>
      <c r="D372" s="52"/>
      <c r="E372" s="52">
        <v>11</v>
      </c>
      <c r="F372" s="55" t="s">
        <v>2137</v>
      </c>
      <c r="G372" s="53" t="s">
        <v>441</v>
      </c>
      <c r="H372" s="53">
        <v>5</v>
      </c>
      <c r="I372" s="53">
        <v>1</v>
      </c>
      <c r="J372" s="53" t="s">
        <v>198</v>
      </c>
      <c r="K372" s="53" t="s">
        <v>218</v>
      </c>
      <c r="L372" s="53" t="s">
        <v>238</v>
      </c>
      <c r="M372" s="53" t="s">
        <v>258</v>
      </c>
    </row>
    <row r="373" spans="1:13" ht="20.100000000000001" customHeight="1" x14ac:dyDescent="0.25">
      <c r="A373" s="52"/>
      <c r="B373" s="52"/>
      <c r="C373" s="52"/>
      <c r="D373" s="52"/>
      <c r="E373" s="52">
        <v>12</v>
      </c>
      <c r="F373" s="55" t="s">
        <v>2138</v>
      </c>
      <c r="G373" s="53" t="s">
        <v>442</v>
      </c>
      <c r="H373" s="53">
        <v>5</v>
      </c>
      <c r="I373" s="53">
        <v>1</v>
      </c>
      <c r="J373" s="53" t="s">
        <v>199</v>
      </c>
      <c r="K373" s="53" t="s">
        <v>219</v>
      </c>
      <c r="L373" s="53" t="s">
        <v>239</v>
      </c>
      <c r="M373" s="53" t="s">
        <v>259</v>
      </c>
    </row>
    <row r="374" spans="1:13" ht="20.100000000000001" customHeight="1" x14ac:dyDescent="0.25">
      <c r="A374" s="52"/>
      <c r="B374" s="52"/>
      <c r="C374" s="52"/>
      <c r="D374" s="52"/>
      <c r="E374" s="52">
        <v>13</v>
      </c>
      <c r="F374" s="55" t="s">
        <v>2139</v>
      </c>
      <c r="G374" s="53" t="s">
        <v>443</v>
      </c>
      <c r="H374" s="53">
        <v>5</v>
      </c>
      <c r="I374" s="53">
        <v>1</v>
      </c>
      <c r="J374" s="53" t="s">
        <v>200</v>
      </c>
      <c r="K374" s="53" t="s">
        <v>220</v>
      </c>
      <c r="L374" s="53" t="s">
        <v>240</v>
      </c>
      <c r="M374" s="53" t="s">
        <v>260</v>
      </c>
    </row>
    <row r="375" spans="1:13" ht="20.100000000000001" customHeight="1" x14ac:dyDescent="0.25">
      <c r="A375" s="52"/>
      <c r="B375" s="52"/>
      <c r="C375" s="52"/>
      <c r="D375" s="52"/>
      <c r="E375" s="52">
        <v>14</v>
      </c>
      <c r="F375" s="55" t="s">
        <v>2140</v>
      </c>
      <c r="G375" s="53" t="s">
        <v>444</v>
      </c>
      <c r="H375" s="53">
        <v>5</v>
      </c>
      <c r="I375" s="53">
        <v>1</v>
      </c>
      <c r="J375" s="53" t="s">
        <v>201</v>
      </c>
      <c r="K375" s="53" t="s">
        <v>221</v>
      </c>
      <c r="L375" s="53" t="s">
        <v>241</v>
      </c>
      <c r="M375" s="53" t="s">
        <v>261</v>
      </c>
    </row>
    <row r="376" spans="1:13" ht="20.100000000000001" customHeight="1" x14ac:dyDescent="0.25">
      <c r="A376" s="52"/>
      <c r="B376" s="52"/>
      <c r="C376" s="52"/>
      <c r="D376" s="52"/>
      <c r="E376" s="52">
        <v>15</v>
      </c>
      <c r="F376" s="55" t="s">
        <v>2141</v>
      </c>
      <c r="G376" s="53" t="s">
        <v>445</v>
      </c>
      <c r="H376" s="53">
        <v>5</v>
      </c>
      <c r="I376" s="53">
        <v>1</v>
      </c>
      <c r="J376" s="53" t="s">
        <v>202</v>
      </c>
      <c r="K376" s="53" t="s">
        <v>222</v>
      </c>
      <c r="L376" s="53" t="s">
        <v>242</v>
      </c>
      <c r="M376" s="53" t="s">
        <v>262</v>
      </c>
    </row>
    <row r="377" spans="1:13" ht="20.100000000000001" customHeight="1" x14ac:dyDescent="0.25">
      <c r="A377" s="52"/>
      <c r="B377" s="52"/>
      <c r="C377" s="52"/>
      <c r="D377" s="52"/>
      <c r="E377" s="52">
        <v>16</v>
      </c>
      <c r="F377" s="55" t="s">
        <v>2142</v>
      </c>
      <c r="G377" s="53" t="s">
        <v>446</v>
      </c>
      <c r="H377" s="53">
        <v>5</v>
      </c>
      <c r="I377" s="53">
        <v>1</v>
      </c>
      <c r="J377" s="53" t="s">
        <v>203</v>
      </c>
      <c r="K377" s="53" t="s">
        <v>223</v>
      </c>
      <c r="L377" s="53" t="s">
        <v>243</v>
      </c>
      <c r="M377" s="53" t="s">
        <v>263</v>
      </c>
    </row>
    <row r="378" spans="1:13" ht="20.100000000000001" customHeight="1" x14ac:dyDescent="0.25">
      <c r="A378" s="52"/>
      <c r="B378" s="52"/>
      <c r="C378" s="52"/>
      <c r="D378" s="52"/>
      <c r="E378" s="52">
        <v>17</v>
      </c>
      <c r="F378" s="55" t="s">
        <v>2143</v>
      </c>
      <c r="G378" s="53" t="s">
        <v>447</v>
      </c>
      <c r="H378" s="53">
        <v>5</v>
      </c>
      <c r="I378" s="53">
        <v>1</v>
      </c>
      <c r="J378" s="53" t="s">
        <v>204</v>
      </c>
      <c r="K378" s="53" t="s">
        <v>224</v>
      </c>
      <c r="L378" s="53" t="s">
        <v>244</v>
      </c>
      <c r="M378" s="53" t="s">
        <v>264</v>
      </c>
    </row>
    <row r="379" spans="1:13" ht="20.100000000000001" customHeight="1" x14ac:dyDescent="0.25">
      <c r="A379" s="52"/>
      <c r="B379" s="52"/>
      <c r="C379" s="52"/>
      <c r="D379" s="52"/>
      <c r="E379" s="52">
        <v>18</v>
      </c>
      <c r="F379" s="55" t="s">
        <v>2144</v>
      </c>
      <c r="G379" s="53" t="s">
        <v>448</v>
      </c>
      <c r="H379" s="53">
        <v>5</v>
      </c>
      <c r="I379" s="53">
        <v>1</v>
      </c>
      <c r="J379" s="53" t="s">
        <v>205</v>
      </c>
      <c r="K379" s="53" t="s">
        <v>225</v>
      </c>
      <c r="L379" s="53" t="s">
        <v>245</v>
      </c>
      <c r="M379" s="53" t="s">
        <v>265</v>
      </c>
    </row>
    <row r="380" spans="1:13" ht="20.100000000000001" customHeight="1" x14ac:dyDescent="0.25">
      <c r="A380" s="52"/>
      <c r="B380" s="52"/>
      <c r="C380" s="52"/>
      <c r="D380" s="52"/>
      <c r="E380" s="52">
        <v>19</v>
      </c>
      <c r="F380" s="55" t="s">
        <v>2144</v>
      </c>
      <c r="G380" s="53" t="s">
        <v>449</v>
      </c>
      <c r="H380" s="53">
        <v>5</v>
      </c>
      <c r="I380" s="53">
        <v>1</v>
      </c>
      <c r="J380" s="53" t="s">
        <v>206</v>
      </c>
      <c r="K380" s="53" t="s">
        <v>226</v>
      </c>
      <c r="L380" s="53" t="s">
        <v>246</v>
      </c>
      <c r="M380" s="53" t="s">
        <v>266</v>
      </c>
    </row>
    <row r="381" spans="1:13" ht="20.100000000000001" customHeight="1" x14ac:dyDescent="0.25">
      <c r="A381" s="52"/>
      <c r="B381" s="52"/>
      <c r="C381" s="52"/>
      <c r="D381" s="52"/>
      <c r="E381" s="52">
        <v>20</v>
      </c>
      <c r="F381" s="55" t="s">
        <v>2145</v>
      </c>
      <c r="G381" s="53" t="s">
        <v>450</v>
      </c>
      <c r="H381" s="53">
        <v>5</v>
      </c>
      <c r="I381" s="53">
        <v>1</v>
      </c>
      <c r="J381" s="53" t="s">
        <v>207</v>
      </c>
      <c r="K381" s="53" t="s">
        <v>227</v>
      </c>
      <c r="L381" s="53" t="s">
        <v>247</v>
      </c>
      <c r="M381" s="53" t="s">
        <v>267</v>
      </c>
    </row>
    <row r="382" spans="1:13" ht="20.100000000000001" customHeight="1" x14ac:dyDescent="0.25">
      <c r="A382" s="52"/>
      <c r="B382" s="52"/>
      <c r="C382" s="52"/>
      <c r="D382" s="52"/>
      <c r="E382" s="52">
        <v>21</v>
      </c>
      <c r="F382" s="55" t="s">
        <v>2111</v>
      </c>
      <c r="G382" s="53" t="s">
        <v>451</v>
      </c>
      <c r="H382" s="53">
        <v>5</v>
      </c>
      <c r="I382" s="53">
        <v>1</v>
      </c>
      <c r="J382" s="53" t="s">
        <v>2054</v>
      </c>
      <c r="K382" s="53" t="s">
        <v>400</v>
      </c>
      <c r="L382" s="53" t="s">
        <v>2055</v>
      </c>
      <c r="M382" s="53" t="s">
        <v>2056</v>
      </c>
    </row>
    <row r="383" spans="1:13" ht="20.100000000000001" customHeight="1" x14ac:dyDescent="0.25">
      <c r="A383" s="52"/>
      <c r="B383" s="52"/>
      <c r="C383" s="52"/>
      <c r="D383" s="52"/>
      <c r="E383" s="52">
        <v>22</v>
      </c>
      <c r="F383" s="55" t="s">
        <v>2149</v>
      </c>
      <c r="G383" s="53" t="s">
        <v>452</v>
      </c>
      <c r="H383" s="53">
        <v>5</v>
      </c>
      <c r="I383" s="53">
        <v>1</v>
      </c>
      <c r="J383" s="53" t="s">
        <v>2057</v>
      </c>
      <c r="K383" s="53" t="s">
        <v>2058</v>
      </c>
      <c r="L383" s="53" t="s">
        <v>405</v>
      </c>
      <c r="M383" s="53" t="s">
        <v>2059</v>
      </c>
    </row>
    <row r="384" spans="1:13" ht="20.100000000000001" customHeight="1" x14ac:dyDescent="0.25">
      <c r="A384" s="52"/>
      <c r="B384" s="52"/>
      <c r="C384" s="52"/>
      <c r="D384" s="52"/>
      <c r="E384" s="52">
        <v>23</v>
      </c>
      <c r="F384" s="55" t="s">
        <v>2125</v>
      </c>
      <c r="G384" s="53" t="s">
        <v>453</v>
      </c>
      <c r="H384" s="53">
        <v>5</v>
      </c>
      <c r="I384" s="53">
        <v>1</v>
      </c>
      <c r="J384" s="53" t="s">
        <v>2060</v>
      </c>
      <c r="K384" s="53" t="s">
        <v>401</v>
      </c>
      <c r="L384" s="53" t="s">
        <v>2061</v>
      </c>
      <c r="M384" s="53" t="s">
        <v>2062</v>
      </c>
    </row>
    <row r="385" spans="1:13" ht="20.100000000000001" customHeight="1" x14ac:dyDescent="0.25">
      <c r="A385" s="52"/>
      <c r="B385" s="52"/>
      <c r="C385" s="52"/>
      <c r="D385" s="52"/>
      <c r="E385" s="52">
        <v>24</v>
      </c>
      <c r="F385" s="55" t="s">
        <v>2124</v>
      </c>
      <c r="G385" s="53" t="s">
        <v>454</v>
      </c>
      <c r="H385" s="53">
        <v>5</v>
      </c>
      <c r="I385" s="53">
        <v>1</v>
      </c>
      <c r="J385" s="53" t="s">
        <v>2063</v>
      </c>
      <c r="K385" s="53" t="s">
        <v>2064</v>
      </c>
      <c r="L385" s="53" t="s">
        <v>2065</v>
      </c>
      <c r="M385" s="53" t="s">
        <v>411</v>
      </c>
    </row>
    <row r="386" spans="1:13" ht="20.100000000000001" customHeight="1" x14ac:dyDescent="0.25">
      <c r="A386" s="52"/>
      <c r="B386" s="52"/>
      <c r="C386" s="52"/>
      <c r="D386" s="52"/>
      <c r="E386" s="52">
        <v>25</v>
      </c>
      <c r="F386" s="55" t="s">
        <v>2112</v>
      </c>
      <c r="G386" s="53" t="s">
        <v>455</v>
      </c>
      <c r="H386" s="53">
        <v>5</v>
      </c>
      <c r="I386" s="53">
        <v>1</v>
      </c>
      <c r="J386" s="53" t="s">
        <v>2066</v>
      </c>
      <c r="K386" s="53" t="s">
        <v>2067</v>
      </c>
      <c r="L386" s="53" t="s">
        <v>2068</v>
      </c>
      <c r="M386" s="53" t="s">
        <v>2069</v>
      </c>
    </row>
    <row r="387" spans="1:13" ht="20.100000000000001" customHeight="1" x14ac:dyDescent="0.25">
      <c r="A387" s="52"/>
      <c r="B387" s="52"/>
      <c r="C387" s="52"/>
      <c r="D387" s="52"/>
      <c r="E387" s="52">
        <v>26</v>
      </c>
      <c r="F387" s="55" t="s">
        <v>2113</v>
      </c>
      <c r="G387" s="53" t="s">
        <v>456</v>
      </c>
      <c r="H387" s="53">
        <v>5</v>
      </c>
      <c r="I387" s="53">
        <v>1</v>
      </c>
      <c r="J387" s="53" t="s">
        <v>2070</v>
      </c>
      <c r="K387" s="53" t="s">
        <v>402</v>
      </c>
      <c r="L387" s="53" t="s">
        <v>2071</v>
      </c>
      <c r="M387" s="53" t="s">
        <v>2072</v>
      </c>
    </row>
    <row r="388" spans="1:13" ht="20.100000000000001" customHeight="1" x14ac:dyDescent="0.25">
      <c r="A388" s="52"/>
      <c r="B388" s="52"/>
      <c r="C388" s="52"/>
      <c r="D388" s="52"/>
      <c r="E388" s="52">
        <v>27</v>
      </c>
      <c r="F388" s="55" t="s">
        <v>2126</v>
      </c>
      <c r="G388" s="53" t="s">
        <v>457</v>
      </c>
      <c r="H388" s="53">
        <v>5</v>
      </c>
      <c r="I388" s="53">
        <v>1</v>
      </c>
      <c r="J388" s="53" t="s">
        <v>396</v>
      </c>
      <c r="K388" s="53" t="s">
        <v>2073</v>
      </c>
      <c r="L388" s="53" t="s">
        <v>2074</v>
      </c>
      <c r="M388" s="53" t="s">
        <v>412</v>
      </c>
    </row>
    <row r="389" spans="1:13" ht="20.100000000000001" customHeight="1" x14ac:dyDescent="0.25">
      <c r="A389" s="52"/>
      <c r="B389" s="52"/>
      <c r="C389" s="52"/>
      <c r="D389" s="52"/>
      <c r="E389" s="52">
        <v>28</v>
      </c>
      <c r="F389" s="55" t="s">
        <v>2114</v>
      </c>
      <c r="G389" s="53" t="s">
        <v>458</v>
      </c>
      <c r="H389" s="53">
        <v>5</v>
      </c>
      <c r="I389" s="53">
        <v>1</v>
      </c>
      <c r="J389" s="53" t="s">
        <v>2075</v>
      </c>
      <c r="K389" s="53" t="s">
        <v>2076</v>
      </c>
      <c r="L389" s="53" t="s">
        <v>407</v>
      </c>
      <c r="M389" s="53" t="s">
        <v>2077</v>
      </c>
    </row>
    <row r="390" spans="1:13" ht="20.100000000000001" customHeight="1" x14ac:dyDescent="0.25">
      <c r="A390" s="52"/>
      <c r="B390" s="52"/>
      <c r="C390" s="52"/>
      <c r="D390" s="52"/>
      <c r="E390" s="52">
        <v>29</v>
      </c>
      <c r="F390" s="55" t="s">
        <v>2115</v>
      </c>
      <c r="G390" s="53" t="s">
        <v>459</v>
      </c>
      <c r="H390" s="53">
        <v>5</v>
      </c>
      <c r="I390" s="53">
        <v>1</v>
      </c>
      <c r="J390" s="53" t="s">
        <v>2078</v>
      </c>
      <c r="K390" s="53" t="s">
        <v>2079</v>
      </c>
      <c r="L390" s="53" t="s">
        <v>2080</v>
      </c>
      <c r="M390" s="53" t="s">
        <v>2081</v>
      </c>
    </row>
    <row r="391" spans="1:13" ht="20.100000000000001" customHeight="1" x14ac:dyDescent="0.25">
      <c r="A391" s="52"/>
      <c r="B391" s="52"/>
      <c r="C391" s="52"/>
      <c r="D391" s="52"/>
      <c r="E391" s="52">
        <v>30</v>
      </c>
      <c r="F391" s="55" t="s">
        <v>2116</v>
      </c>
      <c r="G391" s="53" t="s">
        <v>460</v>
      </c>
      <c r="H391" s="53">
        <v>5</v>
      </c>
      <c r="I391" s="53">
        <v>1</v>
      </c>
      <c r="J391" s="53" t="s">
        <v>2082</v>
      </c>
      <c r="K391" s="53" t="s">
        <v>2083</v>
      </c>
      <c r="L391" s="53" t="s">
        <v>2084</v>
      </c>
      <c r="M391" s="53" t="s">
        <v>2085</v>
      </c>
    </row>
    <row r="392" spans="1:13" ht="20.100000000000001" customHeight="1" x14ac:dyDescent="0.25">
      <c r="A392" s="52"/>
      <c r="B392" s="52"/>
      <c r="C392" s="52"/>
      <c r="D392" s="52"/>
      <c r="E392" s="52">
        <v>31</v>
      </c>
      <c r="F392" s="55" t="s">
        <v>2117</v>
      </c>
      <c r="G392" s="53" t="s">
        <v>439</v>
      </c>
      <c r="H392" s="53">
        <v>5</v>
      </c>
      <c r="I392" s="53">
        <v>1</v>
      </c>
      <c r="J392" s="53" t="s">
        <v>2086</v>
      </c>
      <c r="K392" s="53" t="s">
        <v>2087</v>
      </c>
      <c r="L392" s="53" t="s">
        <v>408</v>
      </c>
      <c r="M392" s="53" t="s">
        <v>413</v>
      </c>
    </row>
    <row r="393" spans="1:13" ht="20.100000000000001" customHeight="1" x14ac:dyDescent="0.25">
      <c r="A393" s="52"/>
      <c r="B393" s="52"/>
      <c r="C393" s="52"/>
      <c r="D393" s="52"/>
      <c r="E393" s="52">
        <v>32</v>
      </c>
      <c r="F393" s="55" t="s">
        <v>2118</v>
      </c>
      <c r="G393" s="53" t="s">
        <v>438</v>
      </c>
      <c r="H393" s="53">
        <v>5</v>
      </c>
      <c r="I393" s="53">
        <v>1</v>
      </c>
      <c r="J393" s="53" t="s">
        <v>397</v>
      </c>
      <c r="K393" s="53" t="s">
        <v>403</v>
      </c>
      <c r="L393" s="53" t="s">
        <v>2088</v>
      </c>
      <c r="M393" s="53" t="s">
        <v>2089</v>
      </c>
    </row>
    <row r="394" spans="1:13" ht="20.100000000000001" customHeight="1" x14ac:dyDescent="0.25">
      <c r="A394" s="52"/>
      <c r="B394" s="52"/>
      <c r="C394" s="52"/>
      <c r="D394" s="52"/>
      <c r="E394" s="52">
        <v>33</v>
      </c>
      <c r="F394" s="55" t="s">
        <v>2127</v>
      </c>
      <c r="G394" s="53" t="s">
        <v>437</v>
      </c>
      <c r="H394" s="53">
        <v>5</v>
      </c>
      <c r="I394" s="53">
        <v>1</v>
      </c>
      <c r="J394" s="53" t="s">
        <v>398</v>
      </c>
      <c r="K394" s="53" t="s">
        <v>404</v>
      </c>
      <c r="L394" s="53" t="s">
        <v>2090</v>
      </c>
      <c r="M394" s="53" t="s">
        <v>2091</v>
      </c>
    </row>
    <row r="395" spans="1:13" ht="20.100000000000001" customHeight="1" x14ac:dyDescent="0.25">
      <c r="A395" s="52"/>
      <c r="B395" s="52"/>
      <c r="C395" s="52"/>
      <c r="D395" s="52"/>
      <c r="E395" s="52">
        <v>34</v>
      </c>
      <c r="F395" s="55" t="s">
        <v>2119</v>
      </c>
      <c r="G395" s="53" t="s">
        <v>436</v>
      </c>
      <c r="H395" s="53">
        <v>5</v>
      </c>
      <c r="I395" s="53">
        <v>1</v>
      </c>
      <c r="J395" s="53" t="s">
        <v>399</v>
      </c>
      <c r="K395" s="53" t="s">
        <v>2092</v>
      </c>
      <c r="L395" s="53" t="s">
        <v>409</v>
      </c>
      <c r="M395" s="53" t="s">
        <v>2093</v>
      </c>
    </row>
    <row r="396" spans="1:13" ht="20.100000000000001" customHeight="1" x14ac:dyDescent="0.25">
      <c r="A396" s="52"/>
      <c r="B396" s="52"/>
      <c r="C396" s="52"/>
      <c r="D396" s="52"/>
      <c r="E396" s="52">
        <v>35</v>
      </c>
      <c r="F396" s="55" t="s">
        <v>2120</v>
      </c>
      <c r="G396" s="53" t="s">
        <v>435</v>
      </c>
      <c r="H396" s="53">
        <v>5</v>
      </c>
      <c r="I396" s="53">
        <v>1</v>
      </c>
      <c r="J396" s="53" t="s">
        <v>2094</v>
      </c>
      <c r="K396" s="53" t="s">
        <v>2095</v>
      </c>
      <c r="L396" s="53" t="s">
        <v>2096</v>
      </c>
      <c r="M396" s="53" t="s">
        <v>2097</v>
      </c>
    </row>
    <row r="397" spans="1:13" ht="20.100000000000001" customHeight="1" x14ac:dyDescent="0.25">
      <c r="A397" s="52"/>
      <c r="B397" s="52"/>
      <c r="C397" s="52"/>
      <c r="D397" s="52"/>
      <c r="E397" s="52">
        <v>36</v>
      </c>
      <c r="F397" s="55" t="s">
        <v>2121</v>
      </c>
      <c r="G397" s="53" t="s">
        <v>434</v>
      </c>
      <c r="H397" s="53">
        <v>5</v>
      </c>
      <c r="I397" s="53">
        <v>1</v>
      </c>
      <c r="J397" s="53" t="s">
        <v>2098</v>
      </c>
      <c r="K397" s="53" t="s">
        <v>2099</v>
      </c>
      <c r="L397" s="53" t="s">
        <v>2100</v>
      </c>
      <c r="M397" s="53" t="s">
        <v>2101</v>
      </c>
    </row>
    <row r="398" spans="1:13" ht="20.100000000000001" customHeight="1" x14ac:dyDescent="0.25">
      <c r="A398" s="52"/>
      <c r="B398" s="52"/>
      <c r="C398" s="52"/>
      <c r="D398" s="52"/>
      <c r="E398" s="52">
        <v>37</v>
      </c>
      <c r="F398" s="55" t="s">
        <v>2122</v>
      </c>
      <c r="G398" s="53" t="s">
        <v>433</v>
      </c>
      <c r="H398" s="53">
        <v>5</v>
      </c>
      <c r="I398" s="53">
        <v>1</v>
      </c>
      <c r="J398" s="53" t="s">
        <v>2102</v>
      </c>
      <c r="K398" s="53" t="s">
        <v>2103</v>
      </c>
      <c r="L398" s="53" t="s">
        <v>2104</v>
      </c>
      <c r="M398" s="53" t="s">
        <v>2105</v>
      </c>
    </row>
    <row r="399" spans="1:13" ht="20.100000000000001" customHeight="1" x14ac:dyDescent="0.25">
      <c r="A399" s="52"/>
      <c r="B399" s="52"/>
      <c r="C399" s="52"/>
      <c r="D399" s="52"/>
      <c r="E399" s="52">
        <v>38</v>
      </c>
      <c r="F399" s="55" t="s">
        <v>2123</v>
      </c>
      <c r="G399" s="53" t="s">
        <v>432</v>
      </c>
      <c r="H399" s="53">
        <v>5</v>
      </c>
      <c r="I399" s="53">
        <v>1</v>
      </c>
      <c r="J399" s="53" t="s">
        <v>555</v>
      </c>
      <c r="K399" s="53" t="s">
        <v>596</v>
      </c>
      <c r="L399" s="53" t="s">
        <v>633</v>
      </c>
      <c r="M399" s="53" t="s">
        <v>663</v>
      </c>
    </row>
    <row r="400" spans="1:13" ht="20.100000000000001" customHeight="1" x14ac:dyDescent="0.25">
      <c r="A400" s="52"/>
      <c r="B400" s="52"/>
      <c r="C400" s="52"/>
      <c r="D400" s="52"/>
      <c r="E400" s="52">
        <v>39</v>
      </c>
      <c r="F400" s="55" t="s">
        <v>2148</v>
      </c>
      <c r="G400" s="53" t="s">
        <v>431</v>
      </c>
      <c r="H400" s="53">
        <v>5</v>
      </c>
      <c r="I400" s="53">
        <v>1</v>
      </c>
      <c r="J400" s="53" t="s">
        <v>556</v>
      </c>
      <c r="K400" s="53" t="s">
        <v>595</v>
      </c>
      <c r="L400" s="53" t="s">
        <v>634</v>
      </c>
      <c r="M400" s="53" t="s">
        <v>2106</v>
      </c>
    </row>
    <row r="401" spans="1:13" ht="20.100000000000001" customHeight="1" x14ac:dyDescent="0.25">
      <c r="A401" s="52"/>
      <c r="B401" s="52"/>
      <c r="C401" s="52"/>
      <c r="D401" s="52"/>
      <c r="E401" s="52">
        <v>40</v>
      </c>
      <c r="F401" s="55" t="s">
        <v>2128</v>
      </c>
      <c r="G401" s="53" t="s">
        <v>430</v>
      </c>
      <c r="H401" s="53">
        <v>5</v>
      </c>
      <c r="I401" s="53">
        <v>1</v>
      </c>
      <c r="J401" s="53" t="s">
        <v>557</v>
      </c>
      <c r="K401" s="53" t="s">
        <v>2107</v>
      </c>
      <c r="L401" s="53" t="s">
        <v>635</v>
      </c>
      <c r="M401" s="53" t="s">
        <v>661</v>
      </c>
    </row>
    <row r="402" spans="1:13" ht="20.100000000000001" customHeight="1" x14ac:dyDescent="0.25">
      <c r="A402" s="12"/>
      <c r="B402" s="12"/>
      <c r="C402" s="12">
        <v>3000</v>
      </c>
      <c r="D402" s="12" t="s">
        <v>2150</v>
      </c>
      <c r="E402" s="12">
        <v>1</v>
      </c>
      <c r="F402" s="12" t="s">
        <v>2152</v>
      </c>
      <c r="G402" s="12" t="s">
        <v>742</v>
      </c>
      <c r="H402" s="12">
        <v>5</v>
      </c>
      <c r="I402" s="12">
        <v>1</v>
      </c>
      <c r="J402" s="12" t="s">
        <v>542</v>
      </c>
      <c r="K402" s="12" t="s">
        <v>717</v>
      </c>
      <c r="L402" s="12" t="s">
        <v>718</v>
      </c>
      <c r="M402" s="12" t="s">
        <v>674</v>
      </c>
    </row>
    <row r="403" spans="1:13" ht="20.100000000000001" customHeight="1" x14ac:dyDescent="0.25">
      <c r="A403" s="12"/>
      <c r="B403" s="12"/>
      <c r="C403" s="12"/>
      <c r="D403" s="12" t="s">
        <v>2151</v>
      </c>
      <c r="E403" s="12">
        <v>2</v>
      </c>
      <c r="F403" s="12" t="s">
        <v>2202</v>
      </c>
      <c r="G403" s="12" t="s">
        <v>743</v>
      </c>
      <c r="H403" s="12">
        <v>5</v>
      </c>
      <c r="I403" s="12">
        <v>1</v>
      </c>
      <c r="J403" s="12" t="s">
        <v>543</v>
      </c>
      <c r="K403" s="12" t="s">
        <v>575</v>
      </c>
      <c r="L403" s="12" t="s">
        <v>609</v>
      </c>
      <c r="M403" s="12" t="s">
        <v>719</v>
      </c>
    </row>
    <row r="404" spans="1:13" ht="20.100000000000001" customHeight="1" x14ac:dyDescent="0.25">
      <c r="A404" s="12"/>
      <c r="B404" s="12"/>
      <c r="C404" s="12"/>
      <c r="D404" s="12" t="s">
        <v>16</v>
      </c>
      <c r="E404" s="12">
        <v>3</v>
      </c>
      <c r="F404" s="12" t="s">
        <v>2153</v>
      </c>
      <c r="G404" s="12" t="s">
        <v>744</v>
      </c>
      <c r="H404" s="12">
        <v>5</v>
      </c>
      <c r="I404" s="12">
        <v>1</v>
      </c>
      <c r="J404" s="12" t="s">
        <v>544</v>
      </c>
      <c r="K404" s="12" t="s">
        <v>576</v>
      </c>
      <c r="L404" s="12" t="s">
        <v>720</v>
      </c>
      <c r="M404" s="12" t="s">
        <v>721</v>
      </c>
    </row>
    <row r="405" spans="1:13" ht="20.100000000000001" customHeight="1" x14ac:dyDescent="0.25">
      <c r="A405" s="12"/>
      <c r="B405" s="12"/>
      <c r="C405" s="12"/>
      <c r="D405" s="12"/>
      <c r="E405" s="12">
        <v>4</v>
      </c>
      <c r="F405" s="56" t="s">
        <v>2159</v>
      </c>
      <c r="G405" s="12" t="s">
        <v>745</v>
      </c>
      <c r="H405" s="12">
        <v>5</v>
      </c>
      <c r="I405" s="12">
        <v>1</v>
      </c>
      <c r="J405" s="12" t="s">
        <v>722</v>
      </c>
      <c r="K405" s="12" t="s">
        <v>608</v>
      </c>
      <c r="L405" s="12" t="s">
        <v>610</v>
      </c>
      <c r="M405" s="12" t="s">
        <v>673</v>
      </c>
    </row>
    <row r="406" spans="1:13" ht="20.100000000000001" customHeight="1" x14ac:dyDescent="0.25">
      <c r="A406" s="12"/>
      <c r="B406" s="12"/>
      <c r="C406" s="12"/>
      <c r="D406" s="12"/>
      <c r="E406" s="12">
        <v>5</v>
      </c>
      <c r="F406" s="12" t="s">
        <v>2154</v>
      </c>
      <c r="G406" s="12" t="s">
        <v>746</v>
      </c>
      <c r="H406" s="12">
        <v>5</v>
      </c>
      <c r="I406" s="12">
        <v>1</v>
      </c>
      <c r="J406" s="12" t="s">
        <v>723</v>
      </c>
      <c r="K406" s="12" t="s">
        <v>607</v>
      </c>
      <c r="L406" s="12" t="s">
        <v>611</v>
      </c>
      <c r="M406" s="12" t="s">
        <v>672</v>
      </c>
    </row>
    <row r="407" spans="1:13" ht="20.100000000000001" customHeight="1" x14ac:dyDescent="0.25">
      <c r="A407" s="12"/>
      <c r="B407" s="12"/>
      <c r="C407" s="12"/>
      <c r="D407" s="12"/>
      <c r="E407" s="12">
        <v>6</v>
      </c>
      <c r="F407" s="56" t="s">
        <v>2158</v>
      </c>
      <c r="G407" s="12" t="s">
        <v>747</v>
      </c>
      <c r="H407" s="12">
        <v>5</v>
      </c>
      <c r="I407" s="12">
        <v>1</v>
      </c>
      <c r="J407" s="12" t="s">
        <v>724</v>
      </c>
      <c r="K407" s="12" t="s">
        <v>606</v>
      </c>
      <c r="L407" s="12" t="s">
        <v>612</v>
      </c>
      <c r="M407" s="12" t="s">
        <v>725</v>
      </c>
    </row>
    <row r="408" spans="1:13" ht="20.100000000000001" customHeight="1" x14ac:dyDescent="0.25">
      <c r="A408" s="12"/>
      <c r="B408" s="12"/>
      <c r="C408" s="12"/>
      <c r="D408" s="12"/>
      <c r="E408" s="12">
        <v>7</v>
      </c>
      <c r="F408" s="56" t="s">
        <v>2155</v>
      </c>
      <c r="G408" s="12" t="s">
        <v>748</v>
      </c>
      <c r="H408" s="12">
        <v>5</v>
      </c>
      <c r="I408" s="12">
        <v>1</v>
      </c>
      <c r="J408" s="12" t="s">
        <v>726</v>
      </c>
      <c r="K408" s="12" t="s">
        <v>605</v>
      </c>
      <c r="L408" s="12" t="s">
        <v>727</v>
      </c>
      <c r="M408" s="12" t="s">
        <v>728</v>
      </c>
    </row>
    <row r="409" spans="1:13" ht="20.100000000000001" customHeight="1" x14ac:dyDescent="0.25">
      <c r="A409" s="12"/>
      <c r="B409" s="12"/>
      <c r="C409" s="12"/>
      <c r="D409" s="12"/>
      <c r="E409" s="12">
        <v>8</v>
      </c>
      <c r="F409" s="56" t="s">
        <v>2157</v>
      </c>
      <c r="G409" s="12" t="s">
        <v>749</v>
      </c>
      <c r="H409" s="12">
        <v>5</v>
      </c>
      <c r="I409" s="12">
        <v>1</v>
      </c>
      <c r="J409" s="12" t="s">
        <v>545</v>
      </c>
      <c r="K409" s="12" t="s">
        <v>729</v>
      </c>
      <c r="L409" s="12" t="s">
        <v>613</v>
      </c>
      <c r="M409" s="12" t="s">
        <v>730</v>
      </c>
    </row>
    <row r="410" spans="1:13" ht="20.100000000000001" customHeight="1" x14ac:dyDescent="0.25">
      <c r="A410" s="12"/>
      <c r="B410" s="12"/>
      <c r="C410" s="12"/>
      <c r="D410" s="12"/>
      <c r="E410" s="12">
        <v>9</v>
      </c>
      <c r="F410" s="56" t="s">
        <v>2156</v>
      </c>
      <c r="G410" s="12" t="s">
        <v>750</v>
      </c>
      <c r="H410" s="12">
        <v>5</v>
      </c>
      <c r="I410" s="12">
        <v>1</v>
      </c>
      <c r="J410" s="12" t="s">
        <v>546</v>
      </c>
      <c r="K410" s="12" t="s">
        <v>731</v>
      </c>
      <c r="L410" s="12" t="s">
        <v>614</v>
      </c>
      <c r="M410" s="12" t="s">
        <v>732</v>
      </c>
    </row>
    <row r="411" spans="1:13" ht="20.100000000000001" customHeight="1" x14ac:dyDescent="0.25">
      <c r="A411" s="12"/>
      <c r="B411" s="12"/>
      <c r="C411" s="12"/>
      <c r="D411" s="12"/>
      <c r="E411" s="12">
        <v>10</v>
      </c>
      <c r="F411" s="56" t="s">
        <v>2166</v>
      </c>
      <c r="G411" s="12" t="s">
        <v>468</v>
      </c>
      <c r="H411" s="12">
        <v>5</v>
      </c>
      <c r="I411" s="12">
        <v>1</v>
      </c>
      <c r="J411" s="12" t="s">
        <v>547</v>
      </c>
      <c r="K411" s="12" t="s">
        <v>604</v>
      </c>
      <c r="L411" s="12" t="s">
        <v>615</v>
      </c>
      <c r="M411" s="12" t="s">
        <v>671</v>
      </c>
    </row>
    <row r="412" spans="1:13" ht="20.100000000000001" customHeight="1" x14ac:dyDescent="0.25">
      <c r="A412" s="12"/>
      <c r="B412" s="12"/>
      <c r="C412" s="12"/>
      <c r="D412" s="12"/>
      <c r="E412" s="12">
        <v>11</v>
      </c>
      <c r="F412" s="56" t="s">
        <v>2167</v>
      </c>
      <c r="G412" s="12" t="s">
        <v>467</v>
      </c>
      <c r="H412" s="12">
        <v>5</v>
      </c>
      <c r="I412" s="12">
        <v>1</v>
      </c>
      <c r="J412" s="12" t="s">
        <v>548</v>
      </c>
      <c r="K412" s="12" t="s">
        <v>603</v>
      </c>
      <c r="L412" s="12" t="s">
        <v>733</v>
      </c>
      <c r="M412" s="12" t="s">
        <v>670</v>
      </c>
    </row>
    <row r="413" spans="1:13" ht="20.100000000000001" customHeight="1" x14ac:dyDescent="0.25">
      <c r="A413" s="12"/>
      <c r="B413" s="12"/>
      <c r="C413" s="12"/>
      <c r="D413" s="12"/>
      <c r="E413" s="12">
        <v>12</v>
      </c>
      <c r="F413" s="56" t="s">
        <v>2168</v>
      </c>
      <c r="G413" s="12" t="s">
        <v>466</v>
      </c>
      <c r="H413" s="12">
        <v>5</v>
      </c>
      <c r="I413" s="12">
        <v>1</v>
      </c>
      <c r="J413" s="12" t="s">
        <v>549</v>
      </c>
      <c r="K413" s="12" t="s">
        <v>602</v>
      </c>
      <c r="L413" s="12" t="s">
        <v>616</v>
      </c>
      <c r="M413" s="12" t="s">
        <v>669</v>
      </c>
    </row>
    <row r="414" spans="1:13" ht="20.100000000000001" customHeight="1" x14ac:dyDescent="0.25">
      <c r="A414" s="12"/>
      <c r="B414" s="12"/>
      <c r="C414" s="12"/>
      <c r="D414" s="12"/>
      <c r="E414" s="12">
        <v>13</v>
      </c>
      <c r="F414" s="56" t="s">
        <v>2160</v>
      </c>
      <c r="G414" s="12" t="s">
        <v>465</v>
      </c>
      <c r="H414" s="12">
        <v>5</v>
      </c>
      <c r="I414" s="12">
        <v>1</v>
      </c>
      <c r="J414" s="12" t="s">
        <v>734</v>
      </c>
      <c r="K414" s="12" t="s">
        <v>735</v>
      </c>
      <c r="L414" s="12" t="s">
        <v>617</v>
      </c>
      <c r="M414" s="12" t="s">
        <v>736</v>
      </c>
    </row>
    <row r="415" spans="1:13" ht="20.100000000000001" customHeight="1" x14ac:dyDescent="0.25">
      <c r="A415" s="12"/>
      <c r="B415" s="12"/>
      <c r="C415" s="12"/>
      <c r="D415" s="12"/>
      <c r="E415" s="12">
        <v>14</v>
      </c>
      <c r="F415" s="56" t="s">
        <v>2161</v>
      </c>
      <c r="G415" s="12" t="s">
        <v>464</v>
      </c>
      <c r="H415" s="12">
        <v>5</v>
      </c>
      <c r="I415" s="12">
        <v>1</v>
      </c>
      <c r="J415" s="12" t="s">
        <v>550</v>
      </c>
      <c r="K415" s="12" t="s">
        <v>601</v>
      </c>
      <c r="L415" s="12" t="s">
        <v>618</v>
      </c>
      <c r="M415" s="12" t="s">
        <v>737</v>
      </c>
    </row>
    <row r="416" spans="1:13" ht="20.100000000000001" customHeight="1" x14ac:dyDescent="0.25">
      <c r="A416" s="12"/>
      <c r="B416" s="12"/>
      <c r="C416" s="12"/>
      <c r="D416" s="12"/>
      <c r="E416" s="12">
        <v>15</v>
      </c>
      <c r="F416" s="56" t="s">
        <v>2162</v>
      </c>
      <c r="G416" s="12" t="s">
        <v>463</v>
      </c>
      <c r="H416" s="12">
        <v>5</v>
      </c>
      <c r="I416" s="12">
        <v>1</v>
      </c>
      <c r="J416" s="12" t="s">
        <v>551</v>
      </c>
      <c r="K416" s="12" t="s">
        <v>738</v>
      </c>
      <c r="L416" s="12" t="s">
        <v>619</v>
      </c>
      <c r="M416" s="12" t="s">
        <v>739</v>
      </c>
    </row>
    <row r="417" spans="1:13" ht="20.100000000000001" customHeight="1" x14ac:dyDescent="0.25">
      <c r="A417" s="12"/>
      <c r="B417" s="12"/>
      <c r="C417" s="12"/>
      <c r="D417" s="12"/>
      <c r="E417" s="12">
        <v>16</v>
      </c>
      <c r="F417" s="56" t="s">
        <v>2169</v>
      </c>
      <c r="G417" s="12" t="s">
        <v>462</v>
      </c>
      <c r="H417" s="12">
        <v>5</v>
      </c>
      <c r="I417" s="12">
        <v>1</v>
      </c>
      <c r="J417" s="12" t="s">
        <v>552</v>
      </c>
      <c r="K417" s="12" t="s">
        <v>600</v>
      </c>
      <c r="L417" s="12" t="s">
        <v>620</v>
      </c>
      <c r="M417" s="12" t="s">
        <v>668</v>
      </c>
    </row>
    <row r="418" spans="1:13" ht="20.100000000000001" customHeight="1" x14ac:dyDescent="0.25">
      <c r="A418" s="12"/>
      <c r="B418" s="12"/>
      <c r="C418" s="12"/>
      <c r="D418" s="12"/>
      <c r="E418" s="12">
        <v>17</v>
      </c>
      <c r="F418" s="56" t="s">
        <v>2163</v>
      </c>
      <c r="G418" s="12" t="s">
        <v>461</v>
      </c>
      <c r="H418" s="12">
        <v>5</v>
      </c>
      <c r="I418" s="12">
        <v>1</v>
      </c>
      <c r="J418" s="12" t="s">
        <v>553</v>
      </c>
      <c r="K418" s="12" t="s">
        <v>599</v>
      </c>
      <c r="L418" s="12" t="s">
        <v>621</v>
      </c>
      <c r="M418" s="12" t="s">
        <v>667</v>
      </c>
    </row>
    <row r="419" spans="1:13" ht="20.100000000000001" customHeight="1" x14ac:dyDescent="0.25">
      <c r="A419" s="12"/>
      <c r="B419" s="12"/>
      <c r="C419" s="12"/>
      <c r="D419" s="12"/>
      <c r="E419" s="12">
        <v>18</v>
      </c>
      <c r="F419" s="56" t="s">
        <v>2164</v>
      </c>
      <c r="G419" s="12" t="s">
        <v>469</v>
      </c>
      <c r="H419" s="12">
        <v>5</v>
      </c>
      <c r="I419" s="12">
        <v>1</v>
      </c>
      <c r="J419" s="12" t="s">
        <v>554</v>
      </c>
      <c r="K419" s="12" t="s">
        <v>598</v>
      </c>
      <c r="L419" s="12" t="s">
        <v>630</v>
      </c>
      <c r="M419" s="12" t="s">
        <v>666</v>
      </c>
    </row>
    <row r="420" spans="1:13" ht="20.100000000000001" customHeight="1" x14ac:dyDescent="0.25">
      <c r="A420" s="12"/>
      <c r="B420" s="12"/>
      <c r="C420" s="12"/>
      <c r="D420" s="12"/>
      <c r="E420" s="12">
        <v>19</v>
      </c>
      <c r="F420" s="56" t="s">
        <v>2170</v>
      </c>
      <c r="G420" s="12" t="s">
        <v>470</v>
      </c>
      <c r="H420" s="12">
        <v>5</v>
      </c>
      <c r="I420" s="12">
        <v>1</v>
      </c>
      <c r="J420" s="12" t="s">
        <v>715</v>
      </c>
      <c r="K420" s="12" t="s">
        <v>716</v>
      </c>
      <c r="L420" s="12" t="s">
        <v>631</v>
      </c>
      <c r="M420" s="12" t="s">
        <v>665</v>
      </c>
    </row>
    <row r="421" spans="1:13" ht="20.100000000000001" customHeight="1" x14ac:dyDescent="0.25">
      <c r="A421" s="12"/>
      <c r="B421" s="12"/>
      <c r="C421" s="12"/>
      <c r="D421" s="12"/>
      <c r="E421" s="12">
        <v>20</v>
      </c>
      <c r="F421" s="56" t="s">
        <v>2165</v>
      </c>
      <c r="G421" s="12" t="s">
        <v>471</v>
      </c>
      <c r="H421" s="12">
        <v>5</v>
      </c>
      <c r="I421" s="12">
        <v>1</v>
      </c>
      <c r="J421" s="12" t="s">
        <v>740</v>
      </c>
      <c r="K421" s="12" t="s">
        <v>597</v>
      </c>
      <c r="L421" s="12" t="s">
        <v>632</v>
      </c>
      <c r="M421" s="12" t="s">
        <v>664</v>
      </c>
    </row>
    <row r="422" spans="1:13" ht="20.100000000000001" customHeight="1" x14ac:dyDescent="0.25">
      <c r="A422" s="12"/>
      <c r="B422" s="12"/>
      <c r="C422" s="12"/>
      <c r="D422" s="12"/>
      <c r="E422" s="12">
        <v>21</v>
      </c>
      <c r="F422" s="56" t="s">
        <v>2288</v>
      </c>
      <c r="G422" s="12" t="s">
        <v>472</v>
      </c>
      <c r="H422" s="12">
        <v>5</v>
      </c>
      <c r="I422" s="12">
        <v>1</v>
      </c>
      <c r="J422" s="12" t="s">
        <v>555</v>
      </c>
      <c r="K422" s="12" t="s">
        <v>596</v>
      </c>
      <c r="L422" s="12" t="s">
        <v>633</v>
      </c>
      <c r="M422" s="12" t="s">
        <v>663</v>
      </c>
    </row>
    <row r="423" spans="1:13" ht="20.100000000000001" customHeight="1" x14ac:dyDescent="0.25">
      <c r="A423" s="12"/>
      <c r="B423" s="12"/>
      <c r="C423" s="12"/>
      <c r="D423" s="12"/>
      <c r="E423" s="12">
        <v>22</v>
      </c>
      <c r="F423" s="56" t="s">
        <v>2289</v>
      </c>
      <c r="G423" s="12" t="s">
        <v>473</v>
      </c>
      <c r="H423" s="12">
        <v>5</v>
      </c>
      <c r="I423" s="12">
        <v>1</v>
      </c>
      <c r="J423" s="12" t="s">
        <v>556</v>
      </c>
      <c r="K423" s="12" t="s">
        <v>595</v>
      </c>
      <c r="L423" s="12" t="s">
        <v>634</v>
      </c>
      <c r="M423" s="12" t="s">
        <v>662</v>
      </c>
    </row>
    <row r="424" spans="1:13" ht="20.100000000000001" customHeight="1" x14ac:dyDescent="0.25">
      <c r="A424" s="12"/>
      <c r="B424" s="12"/>
      <c r="C424" s="12"/>
      <c r="D424" s="12"/>
      <c r="E424" s="12">
        <v>23</v>
      </c>
      <c r="F424" s="56" t="s">
        <v>2290</v>
      </c>
      <c r="G424" s="12" t="s">
        <v>474</v>
      </c>
      <c r="H424" s="12">
        <v>5</v>
      </c>
      <c r="I424" s="12">
        <v>1</v>
      </c>
      <c r="J424" s="12" t="s">
        <v>557</v>
      </c>
      <c r="K424" s="12" t="s">
        <v>594</v>
      </c>
      <c r="L424" s="12" t="s">
        <v>635</v>
      </c>
      <c r="M424" s="12" t="s">
        <v>661</v>
      </c>
    </row>
    <row r="425" spans="1:13" ht="20.100000000000001" customHeight="1" x14ac:dyDescent="0.25">
      <c r="A425" s="12"/>
      <c r="B425" s="12"/>
      <c r="C425" s="12"/>
      <c r="D425" s="12"/>
      <c r="E425" s="12">
        <v>24</v>
      </c>
      <c r="F425" s="56" t="s">
        <v>2291</v>
      </c>
      <c r="G425" s="12" t="s">
        <v>475</v>
      </c>
      <c r="H425" s="12">
        <v>5</v>
      </c>
      <c r="I425" s="12">
        <v>1</v>
      </c>
      <c r="J425" s="12" t="s">
        <v>558</v>
      </c>
      <c r="K425" s="12" t="s">
        <v>593</v>
      </c>
      <c r="L425" s="12" t="s">
        <v>636</v>
      </c>
      <c r="M425" s="12" t="s">
        <v>660</v>
      </c>
    </row>
    <row r="426" spans="1:13" ht="20.100000000000001" customHeight="1" x14ac:dyDescent="0.25">
      <c r="A426" s="12"/>
      <c r="B426" s="12"/>
      <c r="C426" s="12"/>
      <c r="D426" s="12"/>
      <c r="E426" s="12">
        <v>25</v>
      </c>
      <c r="F426" s="56" t="s">
        <v>2275</v>
      </c>
      <c r="G426" s="12" t="s">
        <v>476</v>
      </c>
      <c r="H426" s="12">
        <v>5</v>
      </c>
      <c r="I426" s="12">
        <v>1</v>
      </c>
      <c r="J426" s="12" t="s">
        <v>559</v>
      </c>
      <c r="K426" s="12" t="s">
        <v>592</v>
      </c>
      <c r="L426" s="12" t="s">
        <v>637</v>
      </c>
      <c r="M426" s="12" t="s">
        <v>659</v>
      </c>
    </row>
    <row r="427" spans="1:13" ht="20.100000000000001" customHeight="1" x14ac:dyDescent="0.25">
      <c r="A427" s="12"/>
      <c r="B427" s="12"/>
      <c r="C427" s="12"/>
      <c r="D427" s="12"/>
      <c r="E427" s="12">
        <v>26</v>
      </c>
      <c r="F427" s="56" t="s">
        <v>2276</v>
      </c>
      <c r="G427" s="12" t="s">
        <v>477</v>
      </c>
      <c r="H427" s="12">
        <v>5</v>
      </c>
      <c r="I427" s="12">
        <v>1</v>
      </c>
      <c r="J427" s="12" t="s">
        <v>560</v>
      </c>
      <c r="K427" s="12" t="s">
        <v>591</v>
      </c>
      <c r="L427" s="12" t="s">
        <v>638</v>
      </c>
      <c r="M427" s="12" t="s">
        <v>658</v>
      </c>
    </row>
    <row r="428" spans="1:13" ht="20.100000000000001" customHeight="1" x14ac:dyDescent="0.25">
      <c r="A428" s="12"/>
      <c r="B428" s="12"/>
      <c r="C428" s="12"/>
      <c r="D428" s="12"/>
      <c r="E428" s="12">
        <v>27</v>
      </c>
      <c r="F428" s="56" t="s">
        <v>2292</v>
      </c>
      <c r="G428" s="12" t="s">
        <v>478</v>
      </c>
      <c r="H428" s="12">
        <v>5</v>
      </c>
      <c r="I428" s="12">
        <v>1</v>
      </c>
      <c r="J428" s="12" t="s">
        <v>561</v>
      </c>
      <c r="K428" s="12" t="s">
        <v>590</v>
      </c>
      <c r="L428" s="12" t="s">
        <v>639</v>
      </c>
      <c r="M428" s="12" t="s">
        <v>657</v>
      </c>
    </row>
    <row r="429" spans="1:13" ht="20.100000000000001" customHeight="1" x14ac:dyDescent="0.25">
      <c r="A429" s="12"/>
      <c r="B429" s="12"/>
      <c r="C429" s="12"/>
      <c r="D429" s="12"/>
      <c r="E429" s="12">
        <v>28</v>
      </c>
      <c r="F429" s="56" t="s">
        <v>2277</v>
      </c>
      <c r="G429" s="12" t="s">
        <v>479</v>
      </c>
      <c r="H429" s="12">
        <v>5</v>
      </c>
      <c r="I429" s="12">
        <v>1</v>
      </c>
      <c r="J429" s="12" t="s">
        <v>562</v>
      </c>
      <c r="K429" s="12" t="s">
        <v>589</v>
      </c>
      <c r="L429" s="12" t="s">
        <v>640</v>
      </c>
      <c r="M429" s="12" t="s">
        <v>656</v>
      </c>
    </row>
    <row r="430" spans="1:13" ht="20.100000000000001" customHeight="1" x14ac:dyDescent="0.25">
      <c r="A430" s="12"/>
      <c r="B430" s="12"/>
      <c r="C430" s="12"/>
      <c r="D430" s="12"/>
      <c r="E430" s="12">
        <v>29</v>
      </c>
      <c r="F430" s="56" t="s">
        <v>2293</v>
      </c>
      <c r="G430" s="12" t="s">
        <v>480</v>
      </c>
      <c r="H430" s="12">
        <v>5</v>
      </c>
      <c r="I430" s="12">
        <v>1</v>
      </c>
      <c r="J430" s="12" t="s">
        <v>563</v>
      </c>
      <c r="K430" s="12" t="s">
        <v>588</v>
      </c>
      <c r="L430" s="12" t="s">
        <v>641</v>
      </c>
      <c r="M430" s="12" t="s">
        <v>655</v>
      </c>
    </row>
    <row r="431" spans="1:13" ht="20.100000000000001" customHeight="1" x14ac:dyDescent="0.25">
      <c r="A431" s="12"/>
      <c r="B431" s="12"/>
      <c r="C431" s="12"/>
      <c r="D431" s="12"/>
      <c r="E431" s="12">
        <v>30</v>
      </c>
      <c r="F431" s="56" t="s">
        <v>2278</v>
      </c>
      <c r="G431" s="12" t="s">
        <v>481</v>
      </c>
      <c r="H431" s="12">
        <v>5</v>
      </c>
      <c r="I431" s="12">
        <v>1</v>
      </c>
      <c r="J431" s="12" t="s">
        <v>564</v>
      </c>
      <c r="K431" s="12" t="s">
        <v>587</v>
      </c>
      <c r="L431" s="12" t="s">
        <v>642</v>
      </c>
      <c r="M431" s="12" t="s">
        <v>654</v>
      </c>
    </row>
    <row r="432" spans="1:13" ht="20.100000000000001" customHeight="1" x14ac:dyDescent="0.25">
      <c r="A432" s="12"/>
      <c r="B432" s="12"/>
      <c r="C432" s="12"/>
      <c r="D432" s="12"/>
      <c r="E432" s="12">
        <v>31</v>
      </c>
      <c r="F432" s="56" t="s">
        <v>2279</v>
      </c>
      <c r="G432" s="12" t="s">
        <v>482</v>
      </c>
      <c r="H432" s="12">
        <v>5</v>
      </c>
      <c r="I432" s="12">
        <v>1</v>
      </c>
      <c r="J432" s="12" t="s">
        <v>565</v>
      </c>
      <c r="K432" s="12" t="s">
        <v>586</v>
      </c>
      <c r="L432" s="12" t="s">
        <v>643</v>
      </c>
      <c r="M432" s="12" t="s">
        <v>653</v>
      </c>
    </row>
    <row r="433" spans="1:13" ht="20.100000000000001" customHeight="1" x14ac:dyDescent="0.25">
      <c r="A433" s="12"/>
      <c r="B433" s="12"/>
      <c r="C433" s="12"/>
      <c r="D433" s="12"/>
      <c r="E433" s="12">
        <v>32</v>
      </c>
      <c r="F433" s="56" t="s">
        <v>2280</v>
      </c>
      <c r="G433" s="12" t="s">
        <v>483</v>
      </c>
      <c r="H433" s="12">
        <v>5</v>
      </c>
      <c r="I433" s="12">
        <v>1</v>
      </c>
      <c r="J433" s="12" t="s">
        <v>566</v>
      </c>
      <c r="K433" s="12" t="s">
        <v>585</v>
      </c>
      <c r="L433" s="12" t="s">
        <v>644</v>
      </c>
      <c r="M433" s="12" t="s">
        <v>652</v>
      </c>
    </row>
    <row r="434" spans="1:13" ht="20.100000000000001" customHeight="1" x14ac:dyDescent="0.25">
      <c r="A434" s="12"/>
      <c r="B434" s="12"/>
      <c r="C434" s="12"/>
      <c r="D434" s="12"/>
      <c r="E434" s="12">
        <v>33</v>
      </c>
      <c r="F434" s="56" t="s">
        <v>2281</v>
      </c>
      <c r="G434" s="12" t="s">
        <v>484</v>
      </c>
      <c r="H434" s="12">
        <v>5</v>
      </c>
      <c r="I434" s="12">
        <v>1</v>
      </c>
      <c r="J434" s="12" t="s">
        <v>567</v>
      </c>
      <c r="K434" s="12" t="s">
        <v>584</v>
      </c>
      <c r="L434" s="12" t="s">
        <v>629</v>
      </c>
      <c r="M434" s="12" t="s">
        <v>651</v>
      </c>
    </row>
    <row r="435" spans="1:13" ht="20.100000000000001" customHeight="1" x14ac:dyDescent="0.25">
      <c r="A435" s="12"/>
      <c r="B435" s="12"/>
      <c r="C435" s="12"/>
      <c r="D435" s="12"/>
      <c r="E435" s="12">
        <v>34</v>
      </c>
      <c r="F435" s="56" t="s">
        <v>2282</v>
      </c>
      <c r="G435" s="12" t="s">
        <v>485</v>
      </c>
      <c r="H435" s="12">
        <v>5</v>
      </c>
      <c r="I435" s="12">
        <v>1</v>
      </c>
      <c r="J435" s="12" t="s">
        <v>568</v>
      </c>
      <c r="K435" s="12" t="s">
        <v>583</v>
      </c>
      <c r="L435" s="12" t="s">
        <v>628</v>
      </c>
      <c r="M435" s="12" t="s">
        <v>650</v>
      </c>
    </row>
    <row r="436" spans="1:13" ht="20.100000000000001" customHeight="1" x14ac:dyDescent="0.25">
      <c r="A436" s="12"/>
      <c r="B436" s="12"/>
      <c r="C436" s="12"/>
      <c r="D436" s="12"/>
      <c r="E436" s="12">
        <v>35</v>
      </c>
      <c r="F436" s="56" t="s">
        <v>2294</v>
      </c>
      <c r="G436" s="12" t="s">
        <v>486</v>
      </c>
      <c r="H436" s="12">
        <v>5</v>
      </c>
      <c r="I436" s="12">
        <v>1</v>
      </c>
      <c r="J436" s="12" t="s">
        <v>569</v>
      </c>
      <c r="K436" s="12" t="s">
        <v>582</v>
      </c>
      <c r="L436" s="12" t="s">
        <v>627</v>
      </c>
      <c r="M436" s="12" t="s">
        <v>649</v>
      </c>
    </row>
    <row r="437" spans="1:13" ht="20.100000000000001" customHeight="1" x14ac:dyDescent="0.25">
      <c r="A437" s="12"/>
      <c r="B437" s="12"/>
      <c r="C437" s="12"/>
      <c r="D437" s="12"/>
      <c r="E437" s="12">
        <v>36</v>
      </c>
      <c r="F437" s="56" t="s">
        <v>2283</v>
      </c>
      <c r="G437" s="12" t="s">
        <v>487</v>
      </c>
      <c r="H437" s="12">
        <v>5</v>
      </c>
      <c r="I437" s="12">
        <v>1</v>
      </c>
      <c r="J437" s="12" t="s">
        <v>570</v>
      </c>
      <c r="K437" s="12" t="s">
        <v>581</v>
      </c>
      <c r="L437" s="12" t="s">
        <v>626</v>
      </c>
      <c r="M437" s="12" t="s">
        <v>648</v>
      </c>
    </row>
    <row r="438" spans="1:13" ht="20.100000000000001" customHeight="1" x14ac:dyDescent="0.25">
      <c r="A438" s="12"/>
      <c r="B438" s="12"/>
      <c r="C438" s="12"/>
      <c r="D438" s="12"/>
      <c r="E438" s="12">
        <v>37</v>
      </c>
      <c r="F438" s="56" t="s">
        <v>2284</v>
      </c>
      <c r="G438" s="12" t="s">
        <v>488</v>
      </c>
      <c r="H438" s="12">
        <v>5</v>
      </c>
      <c r="I438" s="12">
        <v>1</v>
      </c>
      <c r="J438" s="12" t="s">
        <v>571</v>
      </c>
      <c r="K438" s="12" t="s">
        <v>580</v>
      </c>
      <c r="L438" s="12" t="s">
        <v>625</v>
      </c>
      <c r="M438" s="12" t="s">
        <v>647</v>
      </c>
    </row>
    <row r="439" spans="1:13" ht="20.100000000000001" customHeight="1" x14ac:dyDescent="0.25">
      <c r="A439" s="12"/>
      <c r="B439" s="12"/>
      <c r="C439" s="12"/>
      <c r="D439" s="12"/>
      <c r="E439" s="12">
        <v>38</v>
      </c>
      <c r="F439" s="56" t="s">
        <v>2285</v>
      </c>
      <c r="G439" s="12" t="s">
        <v>489</v>
      </c>
      <c r="H439" s="12">
        <v>5</v>
      </c>
      <c r="I439" s="12">
        <v>1</v>
      </c>
      <c r="J439" s="12" t="s">
        <v>572</v>
      </c>
      <c r="K439" s="12" t="s">
        <v>579</v>
      </c>
      <c r="L439" s="12" t="s">
        <v>624</v>
      </c>
      <c r="M439" s="12" t="s">
        <v>646</v>
      </c>
    </row>
    <row r="440" spans="1:13" ht="20.100000000000001" customHeight="1" x14ac:dyDescent="0.25">
      <c r="A440" s="12"/>
      <c r="B440" s="12"/>
      <c r="C440" s="12"/>
      <c r="D440" s="12"/>
      <c r="E440" s="12">
        <v>39</v>
      </c>
      <c r="F440" s="56" t="s">
        <v>2286</v>
      </c>
      <c r="G440" s="12" t="s">
        <v>490</v>
      </c>
      <c r="H440" s="12">
        <v>5</v>
      </c>
      <c r="I440" s="12">
        <v>1</v>
      </c>
      <c r="J440" s="12" t="s">
        <v>573</v>
      </c>
      <c r="K440" s="12" t="s">
        <v>578</v>
      </c>
      <c r="L440" s="12" t="s">
        <v>623</v>
      </c>
      <c r="M440" s="12" t="s">
        <v>645</v>
      </c>
    </row>
    <row r="441" spans="1:13" ht="20.100000000000001" customHeight="1" x14ac:dyDescent="0.25">
      <c r="A441" s="12"/>
      <c r="B441" s="12"/>
      <c r="C441" s="12"/>
      <c r="D441" s="12"/>
      <c r="E441" s="12">
        <v>40</v>
      </c>
      <c r="F441" s="56" t="s">
        <v>2287</v>
      </c>
      <c r="G441" s="12" t="s">
        <v>491</v>
      </c>
      <c r="H441" s="12">
        <v>5</v>
      </c>
      <c r="I441" s="12">
        <v>1</v>
      </c>
      <c r="J441" s="12" t="s">
        <v>574</v>
      </c>
      <c r="K441" s="12" t="s">
        <v>577</v>
      </c>
      <c r="L441" s="12" t="s">
        <v>622</v>
      </c>
      <c r="M441" s="12" t="s">
        <v>741</v>
      </c>
    </row>
    <row r="442" spans="1:13" ht="20.100000000000001" customHeight="1" x14ac:dyDescent="0.25">
      <c r="A442" s="14"/>
      <c r="B442" s="14"/>
      <c r="C442" s="14">
        <v>4000</v>
      </c>
      <c r="D442" s="14" t="s">
        <v>1985</v>
      </c>
      <c r="E442" s="14">
        <v>1</v>
      </c>
      <c r="F442" s="15" t="s">
        <v>1983</v>
      </c>
      <c r="G442" s="14" t="s">
        <v>751</v>
      </c>
      <c r="H442" s="14">
        <v>5</v>
      </c>
      <c r="I442" s="14">
        <v>1</v>
      </c>
      <c r="J442" s="15" t="s">
        <v>760</v>
      </c>
      <c r="K442" s="15" t="s">
        <v>800</v>
      </c>
      <c r="L442" s="15" t="s">
        <v>840</v>
      </c>
      <c r="M442" s="15" t="s">
        <v>880</v>
      </c>
    </row>
    <row r="443" spans="1:13" ht="20.100000000000001" customHeight="1" x14ac:dyDescent="0.25">
      <c r="A443" s="14"/>
      <c r="B443" s="14"/>
      <c r="C443" s="14"/>
      <c r="D443" s="14" t="s">
        <v>2027</v>
      </c>
      <c r="E443" s="14">
        <v>2</v>
      </c>
      <c r="F443" s="15" t="s">
        <v>1984</v>
      </c>
      <c r="G443" s="14" t="s">
        <v>752</v>
      </c>
      <c r="H443" s="14">
        <v>5</v>
      </c>
      <c r="I443" s="14">
        <v>1</v>
      </c>
      <c r="J443" s="15" t="s">
        <v>761</v>
      </c>
      <c r="K443" s="15" t="s">
        <v>801</v>
      </c>
      <c r="L443" s="15" t="s">
        <v>841</v>
      </c>
      <c r="M443" s="15" t="s">
        <v>881</v>
      </c>
    </row>
    <row r="444" spans="1:13" ht="20.100000000000001" customHeight="1" x14ac:dyDescent="0.25">
      <c r="A444" s="14"/>
      <c r="B444" s="14"/>
      <c r="C444" s="14"/>
      <c r="D444" s="14" t="s">
        <v>16</v>
      </c>
      <c r="E444" s="14">
        <v>3</v>
      </c>
      <c r="F444" s="15" t="s">
        <v>1986</v>
      </c>
      <c r="G444" s="14" t="s">
        <v>753</v>
      </c>
      <c r="H444" s="14">
        <v>5</v>
      </c>
      <c r="I444" s="14">
        <v>1</v>
      </c>
      <c r="J444" s="15" t="s">
        <v>762</v>
      </c>
      <c r="K444" s="15" t="s">
        <v>802</v>
      </c>
      <c r="L444" s="15" t="s">
        <v>842</v>
      </c>
      <c r="M444" s="15" t="s">
        <v>882</v>
      </c>
    </row>
    <row r="445" spans="1:13" ht="20.100000000000001" customHeight="1" x14ac:dyDescent="0.25">
      <c r="A445" s="14"/>
      <c r="B445" s="14"/>
      <c r="C445" s="14"/>
      <c r="D445" s="14"/>
      <c r="E445" s="14">
        <v>4</v>
      </c>
      <c r="F445" s="15" t="s">
        <v>1987</v>
      </c>
      <c r="G445" s="14" t="s">
        <v>754</v>
      </c>
      <c r="H445" s="14">
        <v>5</v>
      </c>
      <c r="I445" s="14">
        <v>1</v>
      </c>
      <c r="J445" s="15" t="s">
        <v>763</v>
      </c>
      <c r="K445" s="15" t="s">
        <v>803</v>
      </c>
      <c r="L445" s="15" t="s">
        <v>843</v>
      </c>
      <c r="M445" s="15" t="s">
        <v>883</v>
      </c>
    </row>
    <row r="446" spans="1:13" ht="20.100000000000001" customHeight="1" x14ac:dyDescent="0.25">
      <c r="A446" s="14"/>
      <c r="B446" s="14"/>
      <c r="C446" s="14"/>
      <c r="D446" s="14"/>
      <c r="E446" s="14">
        <v>5</v>
      </c>
      <c r="F446" s="15" t="s">
        <v>1988</v>
      </c>
      <c r="G446" s="14" t="s">
        <v>755</v>
      </c>
      <c r="H446" s="14">
        <v>5</v>
      </c>
      <c r="I446" s="14">
        <v>1</v>
      </c>
      <c r="J446" s="15" t="s">
        <v>764</v>
      </c>
      <c r="K446" s="15" t="s">
        <v>804</v>
      </c>
      <c r="L446" s="15" t="s">
        <v>844</v>
      </c>
      <c r="M446" s="15" t="s">
        <v>884</v>
      </c>
    </row>
    <row r="447" spans="1:13" ht="20.100000000000001" customHeight="1" x14ac:dyDescent="0.25">
      <c r="A447" s="14"/>
      <c r="B447" s="14"/>
      <c r="C447" s="14"/>
      <c r="D447" s="14"/>
      <c r="E447" s="14">
        <v>6</v>
      </c>
      <c r="F447" s="15" t="s">
        <v>1989</v>
      </c>
      <c r="G447" s="14" t="s">
        <v>756</v>
      </c>
      <c r="H447" s="14">
        <v>5</v>
      </c>
      <c r="I447" s="14">
        <v>1</v>
      </c>
      <c r="J447" s="15" t="s">
        <v>765</v>
      </c>
      <c r="K447" s="15" t="s">
        <v>805</v>
      </c>
      <c r="L447" s="15" t="s">
        <v>845</v>
      </c>
      <c r="M447" s="15" t="s">
        <v>885</v>
      </c>
    </row>
    <row r="448" spans="1:13" ht="20.100000000000001" customHeight="1" x14ac:dyDescent="0.25">
      <c r="A448" s="14"/>
      <c r="B448" s="14"/>
      <c r="C448" s="14"/>
      <c r="D448" s="14"/>
      <c r="E448" s="14">
        <v>7</v>
      </c>
      <c r="F448" s="15" t="s">
        <v>1990</v>
      </c>
      <c r="G448" s="14" t="s">
        <v>757</v>
      </c>
      <c r="H448" s="14">
        <v>5</v>
      </c>
      <c r="I448" s="14">
        <v>1</v>
      </c>
      <c r="J448" s="15" t="s">
        <v>766</v>
      </c>
      <c r="K448" s="15" t="s">
        <v>806</v>
      </c>
      <c r="L448" s="15" t="s">
        <v>846</v>
      </c>
      <c r="M448" s="15" t="s">
        <v>886</v>
      </c>
    </row>
    <row r="449" spans="1:13" ht="20.100000000000001" customHeight="1" x14ac:dyDescent="0.25">
      <c r="A449" s="14"/>
      <c r="B449" s="14"/>
      <c r="C449" s="14"/>
      <c r="D449" s="14"/>
      <c r="E449" s="14">
        <v>8</v>
      </c>
      <c r="F449" s="15" t="s">
        <v>1991</v>
      </c>
      <c r="G449" s="14" t="s">
        <v>758</v>
      </c>
      <c r="H449" s="14">
        <v>5</v>
      </c>
      <c r="I449" s="14">
        <v>1</v>
      </c>
      <c r="J449" s="15" t="s">
        <v>767</v>
      </c>
      <c r="K449" s="15" t="s">
        <v>807</v>
      </c>
      <c r="L449" s="15" t="s">
        <v>847</v>
      </c>
      <c r="M449" s="15" t="s">
        <v>887</v>
      </c>
    </row>
    <row r="450" spans="1:13" ht="20.100000000000001" customHeight="1" x14ac:dyDescent="0.25">
      <c r="A450" s="14"/>
      <c r="B450" s="14"/>
      <c r="C450" s="14"/>
      <c r="D450" s="14"/>
      <c r="E450" s="14">
        <v>9</v>
      </c>
      <c r="F450" s="15" t="s">
        <v>1992</v>
      </c>
      <c r="G450" s="14" t="s">
        <v>759</v>
      </c>
      <c r="H450" s="14">
        <v>5</v>
      </c>
      <c r="I450" s="14">
        <v>1</v>
      </c>
      <c r="J450" s="15" t="s">
        <v>768</v>
      </c>
      <c r="K450" s="15" t="s">
        <v>808</v>
      </c>
      <c r="L450" s="15" t="s">
        <v>848</v>
      </c>
      <c r="M450" s="15" t="s">
        <v>888</v>
      </c>
    </row>
    <row r="451" spans="1:13" ht="20.100000000000001" customHeight="1" x14ac:dyDescent="0.25">
      <c r="A451" s="14"/>
      <c r="B451" s="14"/>
      <c r="C451" s="14"/>
      <c r="D451" s="14"/>
      <c r="E451" s="14">
        <v>10</v>
      </c>
      <c r="F451" s="15" t="s">
        <v>1993</v>
      </c>
      <c r="G451" s="14" t="s">
        <v>684</v>
      </c>
      <c r="H451" s="14">
        <v>5</v>
      </c>
      <c r="I451" s="14">
        <v>1</v>
      </c>
      <c r="J451" s="15" t="s">
        <v>769</v>
      </c>
      <c r="K451" s="15" t="s">
        <v>809</v>
      </c>
      <c r="L451" s="15" t="s">
        <v>849</v>
      </c>
      <c r="M451" s="15" t="s">
        <v>889</v>
      </c>
    </row>
    <row r="452" spans="1:13" ht="20.100000000000001" customHeight="1" x14ac:dyDescent="0.25">
      <c r="A452" s="14"/>
      <c r="B452" s="14"/>
      <c r="C452" s="14"/>
      <c r="D452" s="14"/>
      <c r="E452" s="14">
        <v>11</v>
      </c>
      <c r="F452" s="16" t="s">
        <v>1994</v>
      </c>
      <c r="G452" s="14" t="s">
        <v>685</v>
      </c>
      <c r="H452" s="14">
        <v>5</v>
      </c>
      <c r="I452" s="14">
        <v>1</v>
      </c>
      <c r="J452" s="15" t="s">
        <v>770</v>
      </c>
      <c r="K452" s="15" t="s">
        <v>810</v>
      </c>
      <c r="L452" s="15" t="s">
        <v>850</v>
      </c>
      <c r="M452" s="15" t="s">
        <v>890</v>
      </c>
    </row>
    <row r="453" spans="1:13" ht="20.100000000000001" customHeight="1" x14ac:dyDescent="0.25">
      <c r="A453" s="14"/>
      <c r="B453" s="14"/>
      <c r="C453" s="14"/>
      <c r="D453" s="14"/>
      <c r="E453" s="14">
        <v>12</v>
      </c>
      <c r="F453" s="16" t="s">
        <v>1995</v>
      </c>
      <c r="G453" s="14" t="s">
        <v>686</v>
      </c>
      <c r="H453" s="14">
        <v>5</v>
      </c>
      <c r="I453" s="14">
        <v>1</v>
      </c>
      <c r="J453" s="15" t="s">
        <v>771</v>
      </c>
      <c r="K453" s="15" t="s">
        <v>811</v>
      </c>
      <c r="L453" s="15" t="s">
        <v>851</v>
      </c>
      <c r="M453" s="15" t="s">
        <v>891</v>
      </c>
    </row>
    <row r="454" spans="1:13" ht="20.100000000000001" customHeight="1" x14ac:dyDescent="0.25">
      <c r="A454" s="14"/>
      <c r="B454" s="14"/>
      <c r="C454" s="14"/>
      <c r="D454" s="14"/>
      <c r="E454" s="14">
        <v>13</v>
      </c>
      <c r="F454" s="16" t="s">
        <v>2000</v>
      </c>
      <c r="G454" s="14" t="s">
        <v>687</v>
      </c>
      <c r="H454" s="14">
        <v>5</v>
      </c>
      <c r="I454" s="14">
        <v>1</v>
      </c>
      <c r="J454" s="15" t="s">
        <v>772</v>
      </c>
      <c r="K454" s="15" t="s">
        <v>812</v>
      </c>
      <c r="L454" s="15" t="s">
        <v>852</v>
      </c>
      <c r="M454" s="15" t="s">
        <v>892</v>
      </c>
    </row>
    <row r="455" spans="1:13" ht="20.100000000000001" customHeight="1" x14ac:dyDescent="0.25">
      <c r="A455" s="16"/>
      <c r="B455" s="16"/>
      <c r="C455" s="14"/>
      <c r="D455" s="14"/>
      <c r="E455" s="14">
        <v>14</v>
      </c>
      <c r="F455" s="16" t="s">
        <v>1996</v>
      </c>
      <c r="G455" s="14" t="s">
        <v>688</v>
      </c>
      <c r="H455" s="14">
        <v>5</v>
      </c>
      <c r="I455" s="14">
        <v>1</v>
      </c>
      <c r="J455" s="15" t="s">
        <v>773</v>
      </c>
      <c r="K455" s="15" t="s">
        <v>813</v>
      </c>
      <c r="L455" s="15" t="s">
        <v>853</v>
      </c>
      <c r="M455" s="15" t="s">
        <v>893</v>
      </c>
    </row>
    <row r="456" spans="1:13" ht="20.100000000000001" customHeight="1" x14ac:dyDescent="0.25">
      <c r="A456" s="16"/>
      <c r="B456" s="16"/>
      <c r="C456" s="14"/>
      <c r="D456" s="14"/>
      <c r="E456" s="14">
        <v>15</v>
      </c>
      <c r="F456" s="16" t="s">
        <v>2001</v>
      </c>
      <c r="G456" s="14" t="s">
        <v>689</v>
      </c>
      <c r="H456" s="14">
        <v>5</v>
      </c>
      <c r="I456" s="14">
        <v>1</v>
      </c>
      <c r="J456" s="15" t="s">
        <v>774</v>
      </c>
      <c r="K456" s="15" t="s">
        <v>814</v>
      </c>
      <c r="L456" s="15" t="s">
        <v>854</v>
      </c>
      <c r="M456" s="15" t="s">
        <v>894</v>
      </c>
    </row>
    <row r="457" spans="1:13" ht="20.100000000000001" customHeight="1" x14ac:dyDescent="0.25">
      <c r="A457" s="16"/>
      <c r="B457" s="16"/>
      <c r="C457" s="14"/>
      <c r="D457" s="14"/>
      <c r="E457" s="14">
        <v>16</v>
      </c>
      <c r="F457" s="16" t="s">
        <v>2002</v>
      </c>
      <c r="G457" s="14" t="s">
        <v>690</v>
      </c>
      <c r="H457" s="14">
        <v>5</v>
      </c>
      <c r="I457" s="14">
        <v>1</v>
      </c>
      <c r="J457" s="15" t="s">
        <v>775</v>
      </c>
      <c r="K457" s="15" t="s">
        <v>815</v>
      </c>
      <c r="L457" s="15" t="s">
        <v>855</v>
      </c>
      <c r="M457" s="15" t="s">
        <v>895</v>
      </c>
    </row>
    <row r="458" spans="1:13" ht="20.100000000000001" customHeight="1" x14ac:dyDescent="0.25">
      <c r="A458" s="16"/>
      <c r="B458" s="16"/>
      <c r="C458" s="14"/>
      <c r="D458" s="14"/>
      <c r="E458" s="14">
        <v>17</v>
      </c>
      <c r="F458" s="16" t="s">
        <v>2003</v>
      </c>
      <c r="G458" s="14" t="s">
        <v>691</v>
      </c>
      <c r="H458" s="14">
        <v>5</v>
      </c>
      <c r="I458" s="14">
        <v>1</v>
      </c>
      <c r="J458" s="15" t="s">
        <v>776</v>
      </c>
      <c r="K458" s="15" t="s">
        <v>816</v>
      </c>
      <c r="L458" s="15" t="s">
        <v>856</v>
      </c>
      <c r="M458" s="15" t="s">
        <v>896</v>
      </c>
    </row>
    <row r="459" spans="1:13" ht="20.100000000000001" customHeight="1" x14ac:dyDescent="0.25">
      <c r="A459" s="16"/>
      <c r="B459" s="16"/>
      <c r="C459" s="14"/>
      <c r="D459" s="14"/>
      <c r="E459" s="14">
        <v>18</v>
      </c>
      <c r="F459" s="16" t="s">
        <v>2004</v>
      </c>
      <c r="G459" s="14" t="s">
        <v>692</v>
      </c>
      <c r="H459" s="14">
        <v>5</v>
      </c>
      <c r="I459" s="14">
        <v>1</v>
      </c>
      <c r="J459" s="15" t="s">
        <v>777</v>
      </c>
      <c r="K459" s="15" t="s">
        <v>817</v>
      </c>
      <c r="L459" s="15" t="s">
        <v>857</v>
      </c>
      <c r="M459" s="15" t="s">
        <v>897</v>
      </c>
    </row>
    <row r="460" spans="1:13" ht="20.100000000000001" customHeight="1" x14ac:dyDescent="0.25">
      <c r="A460" s="16"/>
      <c r="B460" s="16"/>
      <c r="C460" s="14"/>
      <c r="D460" s="14"/>
      <c r="E460" s="14">
        <v>19</v>
      </c>
      <c r="F460" s="16" t="s">
        <v>2005</v>
      </c>
      <c r="G460" s="14" t="s">
        <v>693</v>
      </c>
      <c r="H460" s="14">
        <v>5</v>
      </c>
      <c r="I460" s="14">
        <v>1</v>
      </c>
      <c r="J460" s="15" t="s">
        <v>778</v>
      </c>
      <c r="K460" s="15" t="s">
        <v>818</v>
      </c>
      <c r="L460" s="15" t="s">
        <v>858</v>
      </c>
      <c r="M460" s="15" t="s">
        <v>898</v>
      </c>
    </row>
    <row r="461" spans="1:13" ht="20.100000000000001" customHeight="1" x14ac:dyDescent="0.25">
      <c r="A461" s="16"/>
      <c r="B461" s="16"/>
      <c r="C461" s="14"/>
      <c r="D461" s="14"/>
      <c r="E461" s="14">
        <v>20</v>
      </c>
      <c r="F461" s="16" t="s">
        <v>2006</v>
      </c>
      <c r="G461" s="14" t="s">
        <v>694</v>
      </c>
      <c r="H461" s="14">
        <v>5</v>
      </c>
      <c r="I461" s="14">
        <v>1</v>
      </c>
      <c r="J461" s="15" t="s">
        <v>779</v>
      </c>
      <c r="K461" s="15" t="s">
        <v>819</v>
      </c>
      <c r="L461" s="15" t="s">
        <v>859</v>
      </c>
      <c r="M461" s="15" t="s">
        <v>899</v>
      </c>
    </row>
    <row r="462" spans="1:13" ht="20.100000000000001" customHeight="1" x14ac:dyDescent="0.25">
      <c r="A462" s="16"/>
      <c r="B462" s="16"/>
      <c r="C462" s="14"/>
      <c r="D462" s="14"/>
      <c r="E462" s="14">
        <v>21</v>
      </c>
      <c r="F462" s="16" t="s">
        <v>2007</v>
      </c>
      <c r="G462" s="14" t="s">
        <v>695</v>
      </c>
      <c r="H462" s="14">
        <v>5</v>
      </c>
      <c r="I462" s="14">
        <v>1</v>
      </c>
      <c r="J462" s="15" t="s">
        <v>780</v>
      </c>
      <c r="K462" s="15" t="s">
        <v>820</v>
      </c>
      <c r="L462" s="15" t="s">
        <v>860</v>
      </c>
      <c r="M462" s="15" t="s">
        <v>900</v>
      </c>
    </row>
    <row r="463" spans="1:13" ht="20.100000000000001" customHeight="1" x14ac:dyDescent="0.25">
      <c r="A463" s="16"/>
      <c r="B463" s="16"/>
      <c r="C463" s="14"/>
      <c r="D463" s="14"/>
      <c r="E463" s="14">
        <v>22</v>
      </c>
      <c r="F463" s="16" t="s">
        <v>2008</v>
      </c>
      <c r="G463" s="14" t="s">
        <v>696</v>
      </c>
      <c r="H463" s="14">
        <v>5</v>
      </c>
      <c r="I463" s="14">
        <v>1</v>
      </c>
      <c r="J463" s="15" t="s">
        <v>781</v>
      </c>
      <c r="K463" s="15" t="s">
        <v>821</v>
      </c>
      <c r="L463" s="15" t="s">
        <v>861</v>
      </c>
      <c r="M463" s="15" t="s">
        <v>901</v>
      </c>
    </row>
    <row r="464" spans="1:13" ht="20.100000000000001" customHeight="1" x14ac:dyDescent="0.25">
      <c r="A464" s="16"/>
      <c r="B464" s="16"/>
      <c r="C464" s="14"/>
      <c r="D464" s="14"/>
      <c r="E464" s="14">
        <v>23</v>
      </c>
      <c r="F464" s="16" t="s">
        <v>2009</v>
      </c>
      <c r="G464" s="14" t="s">
        <v>697</v>
      </c>
      <c r="H464" s="14">
        <v>5</v>
      </c>
      <c r="I464" s="14">
        <v>1</v>
      </c>
      <c r="J464" s="15" t="s">
        <v>782</v>
      </c>
      <c r="K464" s="15" t="s">
        <v>822</v>
      </c>
      <c r="L464" s="15" t="s">
        <v>862</v>
      </c>
      <c r="M464" s="15" t="s">
        <v>902</v>
      </c>
    </row>
    <row r="465" spans="1:13" ht="20.100000000000001" customHeight="1" x14ac:dyDescent="0.25">
      <c r="A465" s="16"/>
      <c r="B465" s="16"/>
      <c r="C465" s="16"/>
      <c r="D465" s="16"/>
      <c r="E465" s="14">
        <v>24</v>
      </c>
      <c r="F465" s="16" t="s">
        <v>2010</v>
      </c>
      <c r="G465" s="14" t="s">
        <v>698</v>
      </c>
      <c r="H465" s="14">
        <v>5</v>
      </c>
      <c r="I465" s="14">
        <v>1</v>
      </c>
      <c r="J465" s="15" t="s">
        <v>783</v>
      </c>
      <c r="K465" s="15" t="s">
        <v>823</v>
      </c>
      <c r="L465" s="15" t="s">
        <v>863</v>
      </c>
      <c r="M465" s="15" t="s">
        <v>903</v>
      </c>
    </row>
    <row r="466" spans="1:13" ht="20.100000000000001" customHeight="1" x14ac:dyDescent="0.25">
      <c r="A466" s="16"/>
      <c r="B466" s="16"/>
      <c r="C466" s="16"/>
      <c r="D466" s="16"/>
      <c r="E466" s="14">
        <v>25</v>
      </c>
      <c r="F466" s="16" t="s">
        <v>2011</v>
      </c>
      <c r="G466" s="14" t="s">
        <v>699</v>
      </c>
      <c r="H466" s="14">
        <v>5</v>
      </c>
      <c r="I466" s="14">
        <v>1</v>
      </c>
      <c r="J466" s="15" t="s">
        <v>784</v>
      </c>
      <c r="K466" s="15" t="s">
        <v>824</v>
      </c>
      <c r="L466" s="15" t="s">
        <v>864</v>
      </c>
      <c r="M466" s="15" t="s">
        <v>904</v>
      </c>
    </row>
    <row r="467" spans="1:13" ht="20.100000000000001" customHeight="1" x14ac:dyDescent="0.25">
      <c r="A467" s="16"/>
      <c r="B467" s="16"/>
      <c r="C467" s="16"/>
      <c r="D467" s="16"/>
      <c r="E467" s="14">
        <v>26</v>
      </c>
      <c r="F467" s="16" t="s">
        <v>2012</v>
      </c>
      <c r="G467" s="14" t="s">
        <v>700</v>
      </c>
      <c r="H467" s="14">
        <v>5</v>
      </c>
      <c r="I467" s="14">
        <v>1</v>
      </c>
      <c r="J467" s="15" t="s">
        <v>785</v>
      </c>
      <c r="K467" s="15" t="s">
        <v>825</v>
      </c>
      <c r="L467" s="15" t="s">
        <v>865</v>
      </c>
      <c r="M467" s="15" t="s">
        <v>905</v>
      </c>
    </row>
    <row r="468" spans="1:13" ht="20.100000000000001" customHeight="1" x14ac:dyDescent="0.25">
      <c r="A468" s="16"/>
      <c r="B468" s="16"/>
      <c r="C468" s="16"/>
      <c r="D468" s="16"/>
      <c r="E468" s="14">
        <v>27</v>
      </c>
      <c r="F468" s="16" t="s">
        <v>2014</v>
      </c>
      <c r="G468" s="14" t="s">
        <v>701</v>
      </c>
      <c r="H468" s="14">
        <v>5</v>
      </c>
      <c r="I468" s="14">
        <v>1</v>
      </c>
      <c r="J468" s="15" t="s">
        <v>786</v>
      </c>
      <c r="K468" s="15" t="s">
        <v>826</v>
      </c>
      <c r="L468" s="15" t="s">
        <v>866</v>
      </c>
      <c r="M468" s="15" t="s">
        <v>906</v>
      </c>
    </row>
    <row r="469" spans="1:13" ht="20.100000000000001" customHeight="1" x14ac:dyDescent="0.25">
      <c r="A469" s="16"/>
      <c r="B469" s="16"/>
      <c r="C469" s="16"/>
      <c r="D469" s="16"/>
      <c r="E469" s="14">
        <v>28</v>
      </c>
      <c r="F469" s="16" t="s">
        <v>2013</v>
      </c>
      <c r="G469" s="14" t="s">
        <v>702</v>
      </c>
      <c r="H469" s="14">
        <v>5</v>
      </c>
      <c r="I469" s="14">
        <v>1</v>
      </c>
      <c r="J469" s="15" t="s">
        <v>787</v>
      </c>
      <c r="K469" s="15" t="s">
        <v>827</v>
      </c>
      <c r="L469" s="15" t="s">
        <v>867</v>
      </c>
      <c r="M469" s="15" t="s">
        <v>907</v>
      </c>
    </row>
    <row r="470" spans="1:13" ht="20.100000000000001" customHeight="1" x14ac:dyDescent="0.25">
      <c r="A470" s="16"/>
      <c r="B470" s="16"/>
      <c r="C470" s="16"/>
      <c r="D470" s="16"/>
      <c r="E470" s="14">
        <v>29</v>
      </c>
      <c r="F470" s="16" t="s">
        <v>2015</v>
      </c>
      <c r="G470" s="14" t="s">
        <v>703</v>
      </c>
      <c r="H470" s="14">
        <v>5</v>
      </c>
      <c r="I470" s="14">
        <v>1</v>
      </c>
      <c r="J470" s="15" t="s">
        <v>788</v>
      </c>
      <c r="K470" s="15" t="s">
        <v>828</v>
      </c>
      <c r="L470" s="15" t="s">
        <v>868</v>
      </c>
      <c r="M470" s="15" t="s">
        <v>908</v>
      </c>
    </row>
    <row r="471" spans="1:13" ht="20.100000000000001" customHeight="1" x14ac:dyDescent="0.25">
      <c r="A471" s="16"/>
      <c r="B471" s="16"/>
      <c r="C471" s="16"/>
      <c r="D471" s="16"/>
      <c r="E471" s="14">
        <v>30</v>
      </c>
      <c r="F471" s="16" t="s">
        <v>2016</v>
      </c>
      <c r="G471" s="14" t="s">
        <v>704</v>
      </c>
      <c r="H471" s="14">
        <v>5</v>
      </c>
      <c r="I471" s="14">
        <v>1</v>
      </c>
      <c r="J471" s="15" t="s">
        <v>789</v>
      </c>
      <c r="K471" s="15" t="s">
        <v>829</v>
      </c>
      <c r="L471" s="15" t="s">
        <v>869</v>
      </c>
      <c r="M471" s="15" t="s">
        <v>909</v>
      </c>
    </row>
    <row r="472" spans="1:13" ht="20.100000000000001" customHeight="1" x14ac:dyDescent="0.25">
      <c r="A472" s="16"/>
      <c r="B472" s="16"/>
      <c r="C472" s="16"/>
      <c r="D472" s="16"/>
      <c r="E472" s="14">
        <v>31</v>
      </c>
      <c r="F472" s="16" t="s">
        <v>2017</v>
      </c>
      <c r="G472" s="14" t="s">
        <v>705</v>
      </c>
      <c r="H472" s="14">
        <v>5</v>
      </c>
      <c r="I472" s="14">
        <v>1</v>
      </c>
      <c r="J472" s="15" t="s">
        <v>790</v>
      </c>
      <c r="K472" s="15" t="s">
        <v>830</v>
      </c>
      <c r="L472" s="15" t="s">
        <v>870</v>
      </c>
      <c r="M472" s="15" t="s">
        <v>910</v>
      </c>
    </row>
    <row r="473" spans="1:13" ht="20.100000000000001" customHeight="1" x14ac:dyDescent="0.25">
      <c r="A473" s="16"/>
      <c r="B473" s="16"/>
      <c r="C473" s="16"/>
      <c r="D473" s="16"/>
      <c r="E473" s="14">
        <v>32</v>
      </c>
      <c r="F473" s="16" t="s">
        <v>2018</v>
      </c>
      <c r="G473" s="14" t="s">
        <v>706</v>
      </c>
      <c r="H473" s="14">
        <v>5</v>
      </c>
      <c r="I473" s="14">
        <v>1</v>
      </c>
      <c r="J473" s="15" t="s">
        <v>791</v>
      </c>
      <c r="K473" s="15" t="s">
        <v>831</v>
      </c>
      <c r="L473" s="15" t="s">
        <v>871</v>
      </c>
      <c r="M473" s="15" t="s">
        <v>911</v>
      </c>
    </row>
    <row r="474" spans="1:13" ht="20.100000000000001" customHeight="1" x14ac:dyDescent="0.25">
      <c r="A474" s="16"/>
      <c r="B474" s="16"/>
      <c r="C474" s="16"/>
      <c r="D474" s="16"/>
      <c r="E474" s="14">
        <v>33</v>
      </c>
      <c r="F474" s="16" t="s">
        <v>2028</v>
      </c>
      <c r="G474" s="14" t="s">
        <v>707</v>
      </c>
      <c r="H474" s="14">
        <v>5</v>
      </c>
      <c r="I474" s="14">
        <v>1</v>
      </c>
      <c r="J474" s="15" t="s">
        <v>792</v>
      </c>
      <c r="K474" s="15" t="s">
        <v>832</v>
      </c>
      <c r="L474" s="15" t="s">
        <v>872</v>
      </c>
      <c r="M474" s="15" t="s">
        <v>912</v>
      </c>
    </row>
    <row r="475" spans="1:13" ht="20.100000000000001" customHeight="1" x14ac:dyDescent="0.25">
      <c r="A475" s="16"/>
      <c r="B475" s="16"/>
      <c r="C475" s="16"/>
      <c r="D475" s="16"/>
      <c r="E475" s="14">
        <v>34</v>
      </c>
      <c r="F475" s="16" t="s">
        <v>2019</v>
      </c>
      <c r="G475" s="14" t="s">
        <v>708</v>
      </c>
      <c r="H475" s="14">
        <v>5</v>
      </c>
      <c r="I475" s="14">
        <v>1</v>
      </c>
      <c r="J475" s="15" t="s">
        <v>793</v>
      </c>
      <c r="K475" s="15" t="s">
        <v>833</v>
      </c>
      <c r="L475" s="15" t="s">
        <v>873</v>
      </c>
      <c r="M475" s="15" t="s">
        <v>913</v>
      </c>
    </row>
    <row r="476" spans="1:13" ht="20.100000000000001" customHeight="1" x14ac:dyDescent="0.25">
      <c r="A476" s="16"/>
      <c r="B476" s="16"/>
      <c r="C476" s="16"/>
      <c r="D476" s="16"/>
      <c r="E476" s="14">
        <v>35</v>
      </c>
      <c r="F476" s="16" t="s">
        <v>2020</v>
      </c>
      <c r="G476" s="14" t="s">
        <v>709</v>
      </c>
      <c r="H476" s="14">
        <v>5</v>
      </c>
      <c r="I476" s="14">
        <v>1</v>
      </c>
      <c r="J476" s="15" t="s">
        <v>794</v>
      </c>
      <c r="K476" s="15" t="s">
        <v>834</v>
      </c>
      <c r="L476" s="15" t="s">
        <v>874</v>
      </c>
      <c r="M476" s="15" t="s">
        <v>914</v>
      </c>
    </row>
    <row r="477" spans="1:13" ht="20.100000000000001" customHeight="1" x14ac:dyDescent="0.25">
      <c r="A477" s="16"/>
      <c r="B477" s="16"/>
      <c r="C477" s="16"/>
      <c r="D477" s="16"/>
      <c r="E477" s="14">
        <v>36</v>
      </c>
      <c r="F477" s="16" t="s">
        <v>2021</v>
      </c>
      <c r="G477" s="14" t="s">
        <v>710</v>
      </c>
      <c r="H477" s="14">
        <v>5</v>
      </c>
      <c r="I477" s="14">
        <v>1</v>
      </c>
      <c r="J477" s="15" t="s">
        <v>795</v>
      </c>
      <c r="K477" s="15" t="s">
        <v>835</v>
      </c>
      <c r="L477" s="15" t="s">
        <v>875</v>
      </c>
      <c r="M477" s="15" t="s">
        <v>1080</v>
      </c>
    </row>
    <row r="478" spans="1:13" ht="20.100000000000001" customHeight="1" x14ac:dyDescent="0.25">
      <c r="A478" s="16"/>
      <c r="B478" s="16"/>
      <c r="C478" s="16"/>
      <c r="D478" s="16"/>
      <c r="E478" s="14">
        <v>37</v>
      </c>
      <c r="F478" s="16" t="s">
        <v>2022</v>
      </c>
      <c r="G478" s="14" t="s">
        <v>711</v>
      </c>
      <c r="H478" s="14">
        <v>5</v>
      </c>
      <c r="I478" s="14">
        <v>1</v>
      </c>
      <c r="J478" s="15" t="s">
        <v>796</v>
      </c>
      <c r="K478" s="15" t="s">
        <v>836</v>
      </c>
      <c r="L478" s="15" t="s">
        <v>876</v>
      </c>
      <c r="M478" s="15" t="s">
        <v>915</v>
      </c>
    </row>
    <row r="479" spans="1:13" ht="20.100000000000001" customHeight="1" x14ac:dyDescent="0.25">
      <c r="A479" s="16"/>
      <c r="B479" s="16"/>
      <c r="C479" s="16"/>
      <c r="D479" s="16"/>
      <c r="E479" s="14">
        <v>38</v>
      </c>
      <c r="F479" s="16" t="s">
        <v>2023</v>
      </c>
      <c r="G479" s="14" t="s">
        <v>712</v>
      </c>
      <c r="H479" s="14">
        <v>5</v>
      </c>
      <c r="I479" s="14">
        <v>1</v>
      </c>
      <c r="J479" s="15" t="s">
        <v>797</v>
      </c>
      <c r="K479" s="15" t="s">
        <v>837</v>
      </c>
      <c r="L479" s="15" t="s">
        <v>877</v>
      </c>
      <c r="M479" s="15" t="s">
        <v>916</v>
      </c>
    </row>
    <row r="480" spans="1:13" ht="20.100000000000001" customHeight="1" x14ac:dyDescent="0.25">
      <c r="A480" s="16"/>
      <c r="B480" s="16"/>
      <c r="C480" s="16"/>
      <c r="D480" s="16"/>
      <c r="E480" s="14">
        <v>39</v>
      </c>
      <c r="F480" s="16" t="s">
        <v>2024</v>
      </c>
      <c r="G480" s="14" t="s">
        <v>713</v>
      </c>
      <c r="H480" s="14">
        <v>5</v>
      </c>
      <c r="I480" s="14">
        <v>1</v>
      </c>
      <c r="J480" s="15" t="s">
        <v>798</v>
      </c>
      <c r="K480" s="15" t="s">
        <v>838</v>
      </c>
      <c r="L480" s="15" t="s">
        <v>878</v>
      </c>
      <c r="M480" s="15" t="s">
        <v>917</v>
      </c>
    </row>
    <row r="481" spans="1:13" ht="20.100000000000001" customHeight="1" x14ac:dyDescent="0.25">
      <c r="A481" s="16"/>
      <c r="B481" s="16"/>
      <c r="C481" s="16"/>
      <c r="D481" s="16"/>
      <c r="E481" s="14">
        <v>40</v>
      </c>
      <c r="F481" s="16" t="s">
        <v>2025</v>
      </c>
      <c r="G481" s="14" t="s">
        <v>714</v>
      </c>
      <c r="H481" s="14">
        <v>5</v>
      </c>
      <c r="I481" s="14">
        <v>1</v>
      </c>
      <c r="J481" s="15" t="s">
        <v>799</v>
      </c>
      <c r="K481" s="15" t="s">
        <v>839</v>
      </c>
      <c r="L481" s="15" t="s">
        <v>879</v>
      </c>
      <c r="M481" s="15" t="s">
        <v>918</v>
      </c>
    </row>
    <row r="482" spans="1:13" ht="20.100000000000001" customHeight="1" x14ac:dyDescent="0.25">
      <c r="A482" s="57"/>
      <c r="B482" s="57"/>
      <c r="C482" s="58">
        <v>5000</v>
      </c>
      <c r="D482" s="58" t="s">
        <v>2253</v>
      </c>
      <c r="E482" s="58">
        <v>1</v>
      </c>
      <c r="F482" s="59" t="s">
        <v>2254</v>
      </c>
      <c r="G482" s="58" t="s">
        <v>1032</v>
      </c>
      <c r="H482" s="58">
        <v>5</v>
      </c>
      <c r="I482" s="58">
        <v>1</v>
      </c>
      <c r="J482" s="58" t="s">
        <v>1081</v>
      </c>
      <c r="K482" s="58" t="s">
        <v>1100</v>
      </c>
      <c r="L482" s="58" t="s">
        <v>1119</v>
      </c>
      <c r="M482" s="58" t="s">
        <v>1138</v>
      </c>
    </row>
    <row r="483" spans="1:13" ht="20.100000000000001" customHeight="1" x14ac:dyDescent="0.25">
      <c r="A483" s="57"/>
      <c r="B483" s="57"/>
      <c r="C483" s="58"/>
      <c r="D483" s="58" t="s">
        <v>2027</v>
      </c>
      <c r="E483" s="58">
        <v>2</v>
      </c>
      <c r="F483" s="59" t="s">
        <v>2255</v>
      </c>
      <c r="G483" s="58" t="s">
        <v>1033</v>
      </c>
      <c r="H483" s="58">
        <v>5</v>
      </c>
      <c r="I483" s="58">
        <v>1</v>
      </c>
      <c r="J483" s="58" t="s">
        <v>1082</v>
      </c>
      <c r="K483" s="58" t="s">
        <v>1101</v>
      </c>
      <c r="L483" s="58" t="s">
        <v>1120</v>
      </c>
      <c r="M483" s="58" t="s">
        <v>1139</v>
      </c>
    </row>
    <row r="484" spans="1:13" ht="20.100000000000001" customHeight="1" x14ac:dyDescent="0.25">
      <c r="A484" s="57"/>
      <c r="B484" s="57"/>
      <c r="C484" s="58"/>
      <c r="D484" s="58" t="s">
        <v>16</v>
      </c>
      <c r="E484" s="58">
        <v>3</v>
      </c>
      <c r="F484" s="59" t="s">
        <v>2256</v>
      </c>
      <c r="G484" s="58" t="s">
        <v>1034</v>
      </c>
      <c r="H484" s="58">
        <v>5</v>
      </c>
      <c r="I484" s="58">
        <v>1</v>
      </c>
      <c r="J484" s="58" t="s">
        <v>1083</v>
      </c>
      <c r="K484" s="58" t="s">
        <v>1102</v>
      </c>
      <c r="L484" s="58" t="s">
        <v>1121</v>
      </c>
      <c r="M484" s="58" t="s">
        <v>1140</v>
      </c>
    </row>
    <row r="485" spans="1:13" ht="20.100000000000001" customHeight="1" x14ac:dyDescent="0.25">
      <c r="A485" s="57"/>
      <c r="B485" s="57"/>
      <c r="C485" s="58"/>
      <c r="D485" s="58"/>
      <c r="E485" s="58">
        <v>4</v>
      </c>
      <c r="F485" s="59" t="s">
        <v>2257</v>
      </c>
      <c r="G485" s="58" t="s">
        <v>1035</v>
      </c>
      <c r="H485" s="58">
        <v>5</v>
      </c>
      <c r="I485" s="58">
        <v>1</v>
      </c>
      <c r="J485" s="58" t="s">
        <v>1084</v>
      </c>
      <c r="K485" s="58" t="s">
        <v>1103</v>
      </c>
      <c r="L485" s="58" t="s">
        <v>1122</v>
      </c>
      <c r="M485" s="58" t="s">
        <v>1141</v>
      </c>
    </row>
    <row r="486" spans="1:13" ht="20.100000000000001" customHeight="1" x14ac:dyDescent="0.25">
      <c r="A486" s="57"/>
      <c r="B486" s="57"/>
      <c r="C486" s="58"/>
      <c r="D486" s="58"/>
      <c r="E486" s="58">
        <v>5</v>
      </c>
      <c r="F486" s="59" t="s">
        <v>2258</v>
      </c>
      <c r="G486" s="58" t="s">
        <v>1036</v>
      </c>
      <c r="H486" s="58">
        <v>5</v>
      </c>
      <c r="I486" s="58">
        <v>1</v>
      </c>
      <c r="J486" s="58" t="s">
        <v>1085</v>
      </c>
      <c r="K486" s="58" t="s">
        <v>1104</v>
      </c>
      <c r="L486" s="58" t="s">
        <v>1123</v>
      </c>
      <c r="M486" s="58" t="s">
        <v>1142</v>
      </c>
    </row>
    <row r="487" spans="1:13" ht="20.100000000000001" customHeight="1" x14ac:dyDescent="0.25">
      <c r="A487" s="57"/>
      <c r="B487" s="57"/>
      <c r="C487" s="58"/>
      <c r="D487" s="58"/>
      <c r="E487" s="58">
        <v>6</v>
      </c>
      <c r="F487" s="59" t="s">
        <v>2259</v>
      </c>
      <c r="G487" s="58" t="s">
        <v>1037</v>
      </c>
      <c r="H487" s="58">
        <v>5</v>
      </c>
      <c r="I487" s="58">
        <v>1</v>
      </c>
      <c r="J487" s="58" t="s">
        <v>1086</v>
      </c>
      <c r="K487" s="58" t="s">
        <v>1105</v>
      </c>
      <c r="L487" s="58" t="s">
        <v>1124</v>
      </c>
      <c r="M487" s="58" t="s">
        <v>1143</v>
      </c>
    </row>
    <row r="488" spans="1:13" ht="20.100000000000001" customHeight="1" x14ac:dyDescent="0.25">
      <c r="A488" s="57"/>
      <c r="B488" s="57"/>
      <c r="C488" s="58"/>
      <c r="D488" s="58"/>
      <c r="E488" s="58">
        <v>7</v>
      </c>
      <c r="F488" s="57" t="s">
        <v>2260</v>
      </c>
      <c r="G488" s="58" t="s">
        <v>1038</v>
      </c>
      <c r="H488" s="58">
        <v>5</v>
      </c>
      <c r="I488" s="58">
        <v>1</v>
      </c>
      <c r="J488" s="58" t="s">
        <v>1087</v>
      </c>
      <c r="K488" s="58" t="s">
        <v>1106</v>
      </c>
      <c r="L488" s="58" t="s">
        <v>1125</v>
      </c>
      <c r="M488" s="58" t="s">
        <v>1144</v>
      </c>
    </row>
    <row r="489" spans="1:13" ht="20.100000000000001" customHeight="1" x14ac:dyDescent="0.25">
      <c r="A489" s="57"/>
      <c r="B489" s="57"/>
      <c r="C489" s="58"/>
      <c r="D489" s="58"/>
      <c r="E489" s="58">
        <v>8</v>
      </c>
      <c r="F489" s="57" t="s">
        <v>2261</v>
      </c>
      <c r="G489" s="58" t="s">
        <v>1039</v>
      </c>
      <c r="H489" s="58">
        <v>5</v>
      </c>
      <c r="I489" s="58">
        <v>1</v>
      </c>
      <c r="J489" s="58" t="s">
        <v>1088</v>
      </c>
      <c r="K489" s="58" t="s">
        <v>1107</v>
      </c>
      <c r="L489" s="58" t="s">
        <v>1126</v>
      </c>
      <c r="M489" s="58" t="s">
        <v>1145</v>
      </c>
    </row>
    <row r="490" spans="1:13" ht="20.100000000000001" customHeight="1" x14ac:dyDescent="0.25">
      <c r="A490" s="57"/>
      <c r="B490" s="57"/>
      <c r="C490" s="58"/>
      <c r="D490" s="58"/>
      <c r="E490" s="58">
        <v>9</v>
      </c>
      <c r="F490" s="57" t="s">
        <v>2262</v>
      </c>
      <c r="G490" s="58" t="s">
        <v>1040</v>
      </c>
      <c r="H490" s="58">
        <v>5</v>
      </c>
      <c r="I490" s="58">
        <v>1</v>
      </c>
      <c r="J490" s="58" t="s">
        <v>1089</v>
      </c>
      <c r="K490" s="58" t="s">
        <v>1108</v>
      </c>
      <c r="L490" s="58" t="s">
        <v>1127</v>
      </c>
      <c r="M490" s="58" t="s">
        <v>1146</v>
      </c>
    </row>
    <row r="491" spans="1:13" ht="20.100000000000001" customHeight="1" x14ac:dyDescent="0.25">
      <c r="A491" s="57"/>
      <c r="B491" s="57"/>
      <c r="C491" s="58"/>
      <c r="D491" s="58"/>
      <c r="E491" s="58">
        <v>10</v>
      </c>
      <c r="F491" s="57" t="s">
        <v>2263</v>
      </c>
      <c r="G491" s="58" t="s">
        <v>1041</v>
      </c>
      <c r="H491" s="58">
        <v>5</v>
      </c>
      <c r="I491" s="58">
        <v>1</v>
      </c>
      <c r="J491" s="58" t="s">
        <v>1090</v>
      </c>
      <c r="K491" s="58" t="s">
        <v>1109</v>
      </c>
      <c r="L491" s="58" t="s">
        <v>1128</v>
      </c>
      <c r="M491" s="58" t="s">
        <v>1147</v>
      </c>
    </row>
    <row r="492" spans="1:13" ht="20.100000000000001" customHeight="1" x14ac:dyDescent="0.25">
      <c r="A492" s="57"/>
      <c r="B492" s="57"/>
      <c r="C492" s="58"/>
      <c r="D492" s="58"/>
      <c r="E492" s="58">
        <v>11</v>
      </c>
      <c r="F492" s="57" t="s">
        <v>2264</v>
      </c>
      <c r="G492" s="58" t="s">
        <v>1042</v>
      </c>
      <c r="H492" s="58">
        <v>5</v>
      </c>
      <c r="I492" s="58">
        <v>1</v>
      </c>
      <c r="J492" s="58" t="s">
        <v>1091</v>
      </c>
      <c r="K492" s="58" t="s">
        <v>1110</v>
      </c>
      <c r="L492" s="58" t="s">
        <v>1129</v>
      </c>
      <c r="M492" s="58" t="s">
        <v>1148</v>
      </c>
    </row>
    <row r="493" spans="1:13" ht="20.100000000000001" customHeight="1" x14ac:dyDescent="0.25">
      <c r="A493" s="57"/>
      <c r="B493" s="57"/>
      <c r="C493" s="58"/>
      <c r="D493" s="58"/>
      <c r="E493" s="58">
        <v>12</v>
      </c>
      <c r="F493" s="57" t="s">
        <v>2265</v>
      </c>
      <c r="G493" s="58" t="s">
        <v>1043</v>
      </c>
      <c r="H493" s="58">
        <v>5</v>
      </c>
      <c r="I493" s="58">
        <v>1</v>
      </c>
      <c r="J493" s="58" t="s">
        <v>1092</v>
      </c>
      <c r="K493" s="58" t="s">
        <v>1111</v>
      </c>
      <c r="L493" s="58" t="s">
        <v>1130</v>
      </c>
      <c r="M493" s="58" t="s">
        <v>1149</v>
      </c>
    </row>
    <row r="494" spans="1:13" ht="20.100000000000001" customHeight="1" x14ac:dyDescent="0.25">
      <c r="A494" s="57"/>
      <c r="B494" s="57"/>
      <c r="C494" s="58"/>
      <c r="D494" s="58"/>
      <c r="E494" s="58">
        <v>13</v>
      </c>
      <c r="F494" s="57" t="s">
        <v>2266</v>
      </c>
      <c r="G494" s="58" t="s">
        <v>1044</v>
      </c>
      <c r="H494" s="58">
        <v>5</v>
      </c>
      <c r="I494" s="58">
        <v>1</v>
      </c>
      <c r="J494" s="58" t="s">
        <v>1093</v>
      </c>
      <c r="K494" s="58" t="s">
        <v>1112</v>
      </c>
      <c r="L494" s="58" t="s">
        <v>1131</v>
      </c>
      <c r="M494" s="58" t="s">
        <v>1150</v>
      </c>
    </row>
    <row r="495" spans="1:13" ht="20.100000000000001" customHeight="1" x14ac:dyDescent="0.25">
      <c r="A495" s="57"/>
      <c r="B495" s="57"/>
      <c r="C495" s="58"/>
      <c r="D495" s="58"/>
      <c r="E495" s="58">
        <v>14</v>
      </c>
      <c r="F495" s="57" t="s">
        <v>2267</v>
      </c>
      <c r="G495" s="58" t="s">
        <v>1045</v>
      </c>
      <c r="H495" s="58">
        <v>5</v>
      </c>
      <c r="I495" s="58">
        <v>1</v>
      </c>
      <c r="J495" s="58" t="s">
        <v>1094</v>
      </c>
      <c r="K495" s="58" t="s">
        <v>1113</v>
      </c>
      <c r="L495" s="58" t="s">
        <v>1132</v>
      </c>
      <c r="M495" s="58" t="s">
        <v>1151</v>
      </c>
    </row>
    <row r="496" spans="1:13" ht="20.100000000000001" customHeight="1" x14ac:dyDescent="0.25">
      <c r="A496" s="57"/>
      <c r="B496" s="57"/>
      <c r="C496" s="58"/>
      <c r="D496" s="58"/>
      <c r="E496" s="58">
        <v>15</v>
      </c>
      <c r="F496" s="57" t="s">
        <v>2268</v>
      </c>
      <c r="G496" s="58" t="s">
        <v>1046</v>
      </c>
      <c r="H496" s="58">
        <v>5</v>
      </c>
      <c r="I496" s="58">
        <v>1</v>
      </c>
      <c r="J496" s="58" t="s">
        <v>1095</v>
      </c>
      <c r="K496" s="58" t="s">
        <v>1114</v>
      </c>
      <c r="L496" s="58" t="s">
        <v>1133</v>
      </c>
      <c r="M496" s="58" t="s">
        <v>1152</v>
      </c>
    </row>
    <row r="497" spans="1:13" ht="20.100000000000001" customHeight="1" x14ac:dyDescent="0.25">
      <c r="A497" s="57"/>
      <c r="B497" s="57"/>
      <c r="C497" s="58"/>
      <c r="D497" s="58"/>
      <c r="E497" s="58">
        <v>16</v>
      </c>
      <c r="F497" s="57" t="s">
        <v>2269</v>
      </c>
      <c r="G497" s="58" t="s">
        <v>1047</v>
      </c>
      <c r="H497" s="58">
        <v>5</v>
      </c>
      <c r="I497" s="58">
        <v>1</v>
      </c>
      <c r="J497" s="58" t="s">
        <v>1096</v>
      </c>
      <c r="K497" s="58" t="s">
        <v>1115</v>
      </c>
      <c r="L497" s="58" t="s">
        <v>1134</v>
      </c>
      <c r="M497" s="58" t="s">
        <v>1153</v>
      </c>
    </row>
    <row r="498" spans="1:13" ht="20.100000000000001" customHeight="1" x14ac:dyDescent="0.25">
      <c r="A498" s="57"/>
      <c r="B498" s="57"/>
      <c r="C498" s="58"/>
      <c r="D498" s="58"/>
      <c r="E498" s="58">
        <v>17</v>
      </c>
      <c r="F498" s="57" t="s">
        <v>2270</v>
      </c>
      <c r="G498" s="58" t="s">
        <v>1048</v>
      </c>
      <c r="H498" s="58">
        <v>5</v>
      </c>
      <c r="I498" s="58">
        <v>1</v>
      </c>
      <c r="J498" s="58" t="s">
        <v>1097</v>
      </c>
      <c r="K498" s="58" t="s">
        <v>1116</v>
      </c>
      <c r="L498" s="58" t="s">
        <v>1135</v>
      </c>
      <c r="M498" s="58" t="s">
        <v>1154</v>
      </c>
    </row>
    <row r="499" spans="1:13" ht="20.100000000000001" customHeight="1" x14ac:dyDescent="0.25">
      <c r="A499" s="57"/>
      <c r="B499" s="57"/>
      <c r="C499" s="58"/>
      <c r="D499" s="58"/>
      <c r="E499" s="58">
        <v>18</v>
      </c>
      <c r="F499" s="59" t="s">
        <v>2271</v>
      </c>
      <c r="G499" s="58" t="s">
        <v>1049</v>
      </c>
      <c r="H499" s="58">
        <v>5</v>
      </c>
      <c r="I499" s="58">
        <v>1</v>
      </c>
      <c r="J499" s="58" t="s">
        <v>1098</v>
      </c>
      <c r="K499" s="58" t="s">
        <v>1117</v>
      </c>
      <c r="L499" s="58" t="s">
        <v>1136</v>
      </c>
      <c r="M499" s="58" t="s">
        <v>1155</v>
      </c>
    </row>
    <row r="500" spans="1:13" ht="20.100000000000001" customHeight="1" x14ac:dyDescent="0.25">
      <c r="A500" s="57"/>
      <c r="B500" s="57"/>
      <c r="C500" s="58"/>
      <c r="D500" s="58"/>
      <c r="E500" s="58">
        <v>19</v>
      </c>
      <c r="F500" s="57" t="s">
        <v>2272</v>
      </c>
      <c r="G500" s="58" t="s">
        <v>1050</v>
      </c>
      <c r="H500" s="58">
        <v>5</v>
      </c>
      <c r="I500" s="58">
        <v>1</v>
      </c>
      <c r="J500" s="58" t="s">
        <v>1099</v>
      </c>
      <c r="K500" s="58" t="s">
        <v>1118</v>
      </c>
      <c r="L500" s="58" t="s">
        <v>1137</v>
      </c>
      <c r="M500" s="58" t="s">
        <v>1156</v>
      </c>
    </row>
    <row r="501" spans="1:13" ht="20.100000000000001" customHeight="1" x14ac:dyDescent="0.25">
      <c r="A501" s="57"/>
      <c r="B501" s="57"/>
      <c r="C501" s="58"/>
      <c r="D501" s="58"/>
      <c r="E501" s="58">
        <v>20</v>
      </c>
      <c r="F501" s="57" t="s">
        <v>2273</v>
      </c>
      <c r="G501" s="58" t="s">
        <v>1051</v>
      </c>
      <c r="H501" s="58">
        <v>5</v>
      </c>
      <c r="I501" s="58">
        <v>1</v>
      </c>
      <c r="J501" s="58" t="s">
        <v>1208</v>
      </c>
      <c r="K501" s="58" t="s">
        <v>1190</v>
      </c>
      <c r="L501" s="58" t="s">
        <v>1172</v>
      </c>
      <c r="M501" s="58" t="s">
        <v>1157</v>
      </c>
    </row>
    <row r="502" spans="1:13" ht="20.100000000000001" customHeight="1" x14ac:dyDescent="0.25">
      <c r="A502" s="57"/>
      <c r="B502" s="57"/>
      <c r="C502" s="58"/>
      <c r="D502" s="58"/>
      <c r="E502" s="58">
        <v>21</v>
      </c>
      <c r="F502" s="57" t="s">
        <v>2361</v>
      </c>
      <c r="G502" s="58" t="s">
        <v>1052</v>
      </c>
      <c r="H502" s="58">
        <v>5</v>
      </c>
      <c r="I502" s="58">
        <v>1</v>
      </c>
      <c r="J502" s="58" t="s">
        <v>2226</v>
      </c>
      <c r="K502" s="58" t="s">
        <v>2227</v>
      </c>
      <c r="L502" s="61" t="s">
        <v>2228</v>
      </c>
      <c r="M502" s="58" t="s">
        <v>2229</v>
      </c>
    </row>
    <row r="503" spans="1:13" ht="20.100000000000001" customHeight="1" x14ac:dyDescent="0.25">
      <c r="A503" s="57"/>
      <c r="B503" s="57"/>
      <c r="C503" s="58"/>
      <c r="D503" s="58"/>
      <c r="E503" s="58">
        <v>22</v>
      </c>
      <c r="F503" s="57" t="s">
        <v>2362</v>
      </c>
      <c r="G503" s="58" t="s">
        <v>1053</v>
      </c>
      <c r="H503" s="58">
        <v>5</v>
      </c>
      <c r="I503" s="58">
        <v>1</v>
      </c>
      <c r="J503" s="58" t="s">
        <v>1209</v>
      </c>
      <c r="K503" s="58" t="s">
        <v>1191</v>
      </c>
      <c r="L503" s="58" t="s">
        <v>1173</v>
      </c>
      <c r="M503" s="58" t="s">
        <v>1158</v>
      </c>
    </row>
    <row r="504" spans="1:13" ht="20.100000000000001" customHeight="1" x14ac:dyDescent="0.25">
      <c r="A504" s="57"/>
      <c r="B504" s="57"/>
      <c r="C504" s="58"/>
      <c r="D504" s="58"/>
      <c r="E504" s="58">
        <v>23</v>
      </c>
      <c r="F504" s="57" t="s">
        <v>2363</v>
      </c>
      <c r="G504" s="58" t="s">
        <v>1226</v>
      </c>
      <c r="H504" s="58">
        <v>5</v>
      </c>
      <c r="I504" s="58">
        <v>1</v>
      </c>
      <c r="J504" s="58" t="s">
        <v>1872</v>
      </c>
      <c r="K504" s="58" t="s">
        <v>1192</v>
      </c>
      <c r="L504" s="58" t="s">
        <v>1174</v>
      </c>
      <c r="M504" s="61" t="s">
        <v>2232</v>
      </c>
    </row>
    <row r="505" spans="1:13" ht="20.100000000000001" customHeight="1" x14ac:dyDescent="0.25">
      <c r="A505" s="57"/>
      <c r="B505" s="57"/>
      <c r="C505" s="57"/>
      <c r="D505" s="57"/>
      <c r="E505" s="58">
        <v>24</v>
      </c>
      <c r="F505" s="57" t="s">
        <v>2364</v>
      </c>
      <c r="G505" s="58" t="s">
        <v>1054</v>
      </c>
      <c r="H505" s="58">
        <v>5</v>
      </c>
      <c r="I505" s="58">
        <v>1</v>
      </c>
      <c r="J505" s="58" t="s">
        <v>1210</v>
      </c>
      <c r="K505" s="58" t="s">
        <v>1193</v>
      </c>
      <c r="L505" s="58" t="s">
        <v>1175</v>
      </c>
      <c r="M505" s="58" t="s">
        <v>1159</v>
      </c>
    </row>
    <row r="506" spans="1:13" ht="20.100000000000001" customHeight="1" x14ac:dyDescent="0.25">
      <c r="A506" s="57"/>
      <c r="B506" s="57"/>
      <c r="C506" s="57"/>
      <c r="D506" s="57"/>
      <c r="E506" s="58">
        <v>25</v>
      </c>
      <c r="F506" s="57" t="s">
        <v>2365</v>
      </c>
      <c r="G506" s="58" t="s">
        <v>1055</v>
      </c>
      <c r="H506" s="58">
        <v>5</v>
      </c>
      <c r="I506" s="58">
        <v>1</v>
      </c>
      <c r="J506" s="58" t="s">
        <v>1211</v>
      </c>
      <c r="K506" s="58" t="s">
        <v>1194</v>
      </c>
      <c r="L506" s="58" t="s">
        <v>1176</v>
      </c>
      <c r="M506" s="58" t="s">
        <v>1160</v>
      </c>
    </row>
    <row r="507" spans="1:13" ht="20.100000000000001" customHeight="1" x14ac:dyDescent="0.25">
      <c r="A507" s="57"/>
      <c r="B507" s="57"/>
      <c r="C507" s="57"/>
      <c r="D507" s="57"/>
      <c r="E507" s="58">
        <v>26</v>
      </c>
      <c r="F507" s="57" t="s">
        <v>2366</v>
      </c>
      <c r="G507" s="58" t="s">
        <v>1056</v>
      </c>
      <c r="H507" s="58">
        <v>5</v>
      </c>
      <c r="I507" s="58">
        <v>1</v>
      </c>
      <c r="J507" s="58" t="s">
        <v>1212</v>
      </c>
      <c r="K507" s="58" t="s">
        <v>1195</v>
      </c>
      <c r="L507" s="58" t="s">
        <v>1177</v>
      </c>
      <c r="M507" s="58" t="s">
        <v>1161</v>
      </c>
    </row>
    <row r="508" spans="1:13" ht="20.100000000000001" customHeight="1" x14ac:dyDescent="0.25">
      <c r="A508" s="57"/>
      <c r="B508" s="57"/>
      <c r="C508" s="57"/>
      <c r="D508" s="57"/>
      <c r="E508" s="58">
        <v>27</v>
      </c>
      <c r="F508" s="57" t="s">
        <v>2367</v>
      </c>
      <c r="G508" s="58" t="s">
        <v>1057</v>
      </c>
      <c r="H508" s="58">
        <v>5</v>
      </c>
      <c r="I508" s="58">
        <v>1</v>
      </c>
      <c r="J508" s="58" t="s">
        <v>1213</v>
      </c>
      <c r="K508" s="58" t="s">
        <v>1196</v>
      </c>
      <c r="L508" s="58" t="s">
        <v>1178</v>
      </c>
      <c r="M508" s="58" t="s">
        <v>2236</v>
      </c>
    </row>
    <row r="509" spans="1:13" ht="20.100000000000001" customHeight="1" x14ac:dyDescent="0.25">
      <c r="A509" s="57"/>
      <c r="B509" s="57"/>
      <c r="C509" s="57"/>
      <c r="D509" s="57"/>
      <c r="E509" s="58">
        <v>28</v>
      </c>
      <c r="F509" s="57" t="s">
        <v>2368</v>
      </c>
      <c r="G509" s="58" t="s">
        <v>1058</v>
      </c>
      <c r="H509" s="58">
        <v>5</v>
      </c>
      <c r="I509" s="58">
        <v>1</v>
      </c>
      <c r="J509" s="58" t="s">
        <v>1214</v>
      </c>
      <c r="K509" s="58" t="s">
        <v>1197</v>
      </c>
      <c r="L509" s="58" t="s">
        <v>1179</v>
      </c>
      <c r="M509" s="58" t="s">
        <v>1162</v>
      </c>
    </row>
    <row r="510" spans="1:13" ht="20.100000000000001" customHeight="1" x14ac:dyDescent="0.25">
      <c r="A510" s="57"/>
      <c r="B510" s="57"/>
      <c r="C510" s="57"/>
      <c r="D510" s="57"/>
      <c r="E510" s="58">
        <v>29</v>
      </c>
      <c r="F510" s="57" t="s">
        <v>2369</v>
      </c>
      <c r="G510" s="58" t="s">
        <v>1059</v>
      </c>
      <c r="H510" s="58">
        <v>5</v>
      </c>
      <c r="I510" s="58">
        <v>1</v>
      </c>
      <c r="J510" s="58" t="s">
        <v>1215</v>
      </c>
      <c r="K510" s="58" t="s">
        <v>1198</v>
      </c>
      <c r="L510" s="58" t="s">
        <v>1180</v>
      </c>
      <c r="M510" s="58" t="s">
        <v>2239</v>
      </c>
    </row>
    <row r="511" spans="1:13" ht="20.100000000000001" customHeight="1" x14ac:dyDescent="0.25">
      <c r="A511" s="57"/>
      <c r="B511" s="57"/>
      <c r="C511" s="57"/>
      <c r="D511" s="57"/>
      <c r="E511" s="58">
        <v>30</v>
      </c>
      <c r="F511" s="57" t="s">
        <v>2370</v>
      </c>
      <c r="G511" s="58" t="s">
        <v>1060</v>
      </c>
      <c r="H511" s="58">
        <v>5</v>
      </c>
      <c r="I511" s="58">
        <v>1</v>
      </c>
      <c r="J511" s="58" t="s">
        <v>1216</v>
      </c>
      <c r="K511" s="58" t="s">
        <v>1199</v>
      </c>
      <c r="L511" s="58" t="s">
        <v>1181</v>
      </c>
      <c r="M511" s="58" t="s">
        <v>1163</v>
      </c>
    </row>
    <row r="512" spans="1:13" ht="20.100000000000001" customHeight="1" x14ac:dyDescent="0.25">
      <c r="A512" s="57"/>
      <c r="B512" s="57"/>
      <c r="C512" s="57"/>
      <c r="D512" s="57"/>
      <c r="E512" s="58">
        <v>31</v>
      </c>
      <c r="F512" s="57" t="s">
        <v>2371</v>
      </c>
      <c r="G512" s="58" t="s">
        <v>1061</v>
      </c>
      <c r="H512" s="58">
        <v>5</v>
      </c>
      <c r="I512" s="58">
        <v>1</v>
      </c>
      <c r="J512" s="58" t="s">
        <v>1873</v>
      </c>
      <c r="K512" s="58" t="s">
        <v>1200</v>
      </c>
      <c r="L512" s="58" t="s">
        <v>1182</v>
      </c>
      <c r="M512" s="58" t="s">
        <v>1164</v>
      </c>
    </row>
    <row r="513" spans="1:13" ht="20.100000000000001" customHeight="1" x14ac:dyDescent="0.25">
      <c r="A513" s="57"/>
      <c r="B513" s="57"/>
      <c r="C513" s="57"/>
      <c r="D513" s="57"/>
      <c r="E513" s="58">
        <v>32</v>
      </c>
      <c r="F513" s="57" t="s">
        <v>2372</v>
      </c>
      <c r="G513" s="58" t="s">
        <v>1062</v>
      </c>
      <c r="H513" s="58">
        <v>5</v>
      </c>
      <c r="I513" s="58">
        <v>1</v>
      </c>
      <c r="J513" s="58" t="s">
        <v>1217</v>
      </c>
      <c r="K513" s="58" t="s">
        <v>2243</v>
      </c>
      <c r="L513" s="58" t="s">
        <v>1869</v>
      </c>
      <c r="M513" s="58" t="s">
        <v>1165</v>
      </c>
    </row>
    <row r="514" spans="1:13" ht="20.100000000000001" customHeight="1" x14ac:dyDescent="0.25">
      <c r="A514" s="57"/>
      <c r="B514" s="57"/>
      <c r="C514" s="57"/>
      <c r="D514" s="57"/>
      <c r="E514" s="58">
        <v>33</v>
      </c>
      <c r="F514" s="57" t="s">
        <v>2373</v>
      </c>
      <c r="G514" s="58" t="s">
        <v>1063</v>
      </c>
      <c r="H514" s="58">
        <v>5</v>
      </c>
      <c r="I514" s="58">
        <v>1</v>
      </c>
      <c r="J514" s="58" t="s">
        <v>1218</v>
      </c>
      <c r="K514" s="58" t="s">
        <v>1201</v>
      </c>
      <c r="L514" s="58" t="s">
        <v>1183</v>
      </c>
      <c r="M514" s="58" t="s">
        <v>1166</v>
      </c>
    </row>
    <row r="515" spans="1:13" ht="20.100000000000001" customHeight="1" x14ac:dyDescent="0.25">
      <c r="A515" s="57"/>
      <c r="B515" s="57"/>
      <c r="C515" s="57"/>
      <c r="D515" s="57"/>
      <c r="E515" s="58">
        <v>34</v>
      </c>
      <c r="F515" s="57" t="s">
        <v>2274</v>
      </c>
      <c r="G515" s="58" t="s">
        <v>1064</v>
      </c>
      <c r="H515" s="58">
        <v>5</v>
      </c>
      <c r="I515" s="58">
        <v>1</v>
      </c>
      <c r="J515" s="58" t="s">
        <v>1219</v>
      </c>
      <c r="K515" s="58" t="s">
        <v>1202</v>
      </c>
      <c r="L515" s="58" t="s">
        <v>1184</v>
      </c>
      <c r="M515" s="58" t="s">
        <v>1167</v>
      </c>
    </row>
    <row r="516" spans="1:13" ht="20.100000000000001" customHeight="1" x14ac:dyDescent="0.25">
      <c r="A516" s="57"/>
      <c r="B516" s="57"/>
      <c r="C516" s="57"/>
      <c r="D516" s="57"/>
      <c r="E516" s="58">
        <v>35</v>
      </c>
      <c r="F516" s="57" t="s">
        <v>2355</v>
      </c>
      <c r="G516" s="58" t="s">
        <v>1065</v>
      </c>
      <c r="H516" s="58">
        <v>5</v>
      </c>
      <c r="I516" s="58">
        <v>1</v>
      </c>
      <c r="J516" s="58" t="s">
        <v>1220</v>
      </c>
      <c r="K516" s="58" t="s">
        <v>1203</v>
      </c>
      <c r="L516" s="58" t="s">
        <v>1185</v>
      </c>
      <c r="M516" s="58" t="s">
        <v>1168</v>
      </c>
    </row>
    <row r="517" spans="1:13" ht="20.100000000000001" customHeight="1" x14ac:dyDescent="0.25">
      <c r="A517" s="57"/>
      <c r="B517" s="57"/>
      <c r="C517" s="57"/>
      <c r="D517" s="57"/>
      <c r="E517" s="58">
        <v>36</v>
      </c>
      <c r="F517" s="57" t="s">
        <v>2356</v>
      </c>
      <c r="G517" s="58" t="s">
        <v>1066</v>
      </c>
      <c r="H517" s="58">
        <v>5</v>
      </c>
      <c r="I517" s="58">
        <v>1</v>
      </c>
      <c r="J517" s="58" t="s">
        <v>1221</v>
      </c>
      <c r="K517" s="58" t="s">
        <v>1204</v>
      </c>
      <c r="L517" s="58" t="s">
        <v>1186</v>
      </c>
      <c r="M517" s="58" t="s">
        <v>1169</v>
      </c>
    </row>
    <row r="518" spans="1:13" ht="20.100000000000001" customHeight="1" x14ac:dyDescent="0.25">
      <c r="A518" s="57"/>
      <c r="B518" s="57"/>
      <c r="C518" s="57"/>
      <c r="D518" s="57"/>
      <c r="E518" s="58">
        <v>37</v>
      </c>
      <c r="F518" s="57" t="s">
        <v>2357</v>
      </c>
      <c r="G518" s="58" t="s">
        <v>1067</v>
      </c>
      <c r="H518" s="58">
        <v>5</v>
      </c>
      <c r="I518" s="58">
        <v>1</v>
      </c>
      <c r="J518" s="58" t="s">
        <v>1222</v>
      </c>
      <c r="K518" s="58" t="s">
        <v>1205</v>
      </c>
      <c r="L518" s="58" t="s">
        <v>1187</v>
      </c>
      <c r="M518" s="58" t="s">
        <v>1170</v>
      </c>
    </row>
    <row r="519" spans="1:13" ht="20.100000000000001" customHeight="1" x14ac:dyDescent="0.25">
      <c r="A519" s="57"/>
      <c r="B519" s="57"/>
      <c r="C519" s="57"/>
      <c r="D519" s="57"/>
      <c r="E519" s="58">
        <v>38</v>
      </c>
      <c r="F519" s="57" t="s">
        <v>2358</v>
      </c>
      <c r="G519" s="58" t="s">
        <v>1068</v>
      </c>
      <c r="H519" s="58">
        <v>5</v>
      </c>
      <c r="I519" s="58">
        <v>1</v>
      </c>
      <c r="J519" s="58" t="s">
        <v>1223</v>
      </c>
      <c r="K519" s="58" t="s">
        <v>1206</v>
      </c>
      <c r="L519" s="58" t="s">
        <v>1188</v>
      </c>
      <c r="M519" s="58" t="s">
        <v>1171</v>
      </c>
    </row>
    <row r="520" spans="1:13" ht="20.100000000000001" customHeight="1" x14ac:dyDescent="0.25">
      <c r="A520" s="57"/>
      <c r="B520" s="57"/>
      <c r="C520" s="57"/>
      <c r="D520" s="57"/>
      <c r="E520" s="58">
        <v>39</v>
      </c>
      <c r="F520" s="57" t="s">
        <v>2359</v>
      </c>
      <c r="G520" s="58" t="s">
        <v>1069</v>
      </c>
      <c r="H520" s="58">
        <v>5</v>
      </c>
      <c r="I520" s="58">
        <v>1</v>
      </c>
      <c r="J520" s="58" t="s">
        <v>1874</v>
      </c>
      <c r="K520" s="58" t="s">
        <v>1871</v>
      </c>
      <c r="L520" s="58" t="s">
        <v>1870</v>
      </c>
      <c r="M520" s="58" t="s">
        <v>1867</v>
      </c>
    </row>
    <row r="521" spans="1:13" ht="20.100000000000001" customHeight="1" x14ac:dyDescent="0.25">
      <c r="A521" s="57"/>
      <c r="B521" s="57"/>
      <c r="C521" s="57"/>
      <c r="D521" s="57"/>
      <c r="E521" s="58">
        <v>40</v>
      </c>
      <c r="F521" s="57" t="s">
        <v>2360</v>
      </c>
      <c r="G521" s="58" t="s">
        <v>1070</v>
      </c>
      <c r="H521" s="58">
        <v>5</v>
      </c>
      <c r="I521" s="58">
        <v>1</v>
      </c>
      <c r="J521" s="58" t="s">
        <v>1224</v>
      </c>
      <c r="K521" s="58" t="s">
        <v>1207</v>
      </c>
      <c r="L521" s="58" t="s">
        <v>1189</v>
      </c>
      <c r="M521" s="58" t="s">
        <v>1868</v>
      </c>
    </row>
    <row r="522" spans="1:13" ht="20.100000000000001" customHeight="1" x14ac:dyDescent="0.25">
      <c r="A522" s="57"/>
      <c r="B522" s="57"/>
      <c r="C522" s="57"/>
      <c r="D522" s="57"/>
      <c r="E522" s="58"/>
      <c r="F522" s="57"/>
      <c r="G522" s="58"/>
      <c r="H522" s="58"/>
      <c r="I522" s="58"/>
      <c r="J522" s="58"/>
      <c r="K522" s="58"/>
      <c r="L522" s="58"/>
      <c r="M522" s="58"/>
    </row>
    <row r="523" spans="1:13" ht="20.100000000000001" customHeight="1" x14ac:dyDescent="0.25">
      <c r="A523" s="62"/>
      <c r="B523" s="62"/>
      <c r="C523" s="62">
        <v>6000</v>
      </c>
      <c r="D523" s="62" t="s">
        <v>2641</v>
      </c>
      <c r="E523" s="62">
        <v>1</v>
      </c>
      <c r="F523" s="63" t="s">
        <v>2578</v>
      </c>
      <c r="G523" s="62" t="s">
        <v>2378</v>
      </c>
      <c r="H523" s="62">
        <v>5</v>
      </c>
      <c r="I523" s="62">
        <v>1</v>
      </c>
      <c r="J523" s="63" t="s">
        <v>2418</v>
      </c>
      <c r="K523" s="63" t="s">
        <v>2419</v>
      </c>
      <c r="L523" s="63" t="s">
        <v>2420</v>
      </c>
      <c r="M523" s="63" t="s">
        <v>2421</v>
      </c>
    </row>
    <row r="524" spans="1:13" ht="20.100000000000001" customHeight="1" x14ac:dyDescent="0.25">
      <c r="A524" s="62"/>
      <c r="B524" s="62"/>
      <c r="C524" s="62"/>
      <c r="D524" s="62" t="s">
        <v>2027</v>
      </c>
      <c r="E524" s="62">
        <v>2</v>
      </c>
      <c r="F524" s="63" t="s">
        <v>2579</v>
      </c>
      <c r="G524" s="62" t="s">
        <v>2379</v>
      </c>
      <c r="H524" s="62">
        <v>5</v>
      </c>
      <c r="I524" s="62">
        <v>1</v>
      </c>
      <c r="J524" s="63" t="s">
        <v>2422</v>
      </c>
      <c r="K524" s="63" t="s">
        <v>2423</v>
      </c>
      <c r="L524" s="63" t="s">
        <v>2424</v>
      </c>
      <c r="M524" s="63" t="s">
        <v>2425</v>
      </c>
    </row>
    <row r="525" spans="1:13" ht="20.100000000000001" customHeight="1" x14ac:dyDescent="0.25">
      <c r="A525" s="62"/>
      <c r="B525" s="62"/>
      <c r="C525" s="62"/>
      <c r="D525" s="62" t="s">
        <v>16</v>
      </c>
      <c r="E525" s="62">
        <v>3</v>
      </c>
      <c r="F525" s="63" t="s">
        <v>2642</v>
      </c>
      <c r="G525" s="62" t="s">
        <v>2380</v>
      </c>
      <c r="H525" s="62">
        <v>5</v>
      </c>
      <c r="I525" s="62">
        <v>1</v>
      </c>
      <c r="J525" s="63" t="s">
        <v>2426</v>
      </c>
      <c r="K525" s="63" t="s">
        <v>2427</v>
      </c>
      <c r="L525" s="63" t="s">
        <v>2428</v>
      </c>
      <c r="M525" s="63" t="s">
        <v>2429</v>
      </c>
    </row>
    <row r="526" spans="1:13" ht="20.100000000000001" customHeight="1" x14ac:dyDescent="0.25">
      <c r="A526" s="62"/>
      <c r="B526" s="62"/>
      <c r="C526" s="62"/>
      <c r="D526" s="62"/>
      <c r="E526" s="62">
        <v>4</v>
      </c>
      <c r="F526" s="64" t="s">
        <v>2650</v>
      </c>
      <c r="G526" s="62" t="s">
        <v>2381</v>
      </c>
      <c r="H526" s="62">
        <v>5</v>
      </c>
      <c r="I526" s="62">
        <v>1</v>
      </c>
      <c r="J526" s="63" t="s">
        <v>2430</v>
      </c>
      <c r="K526" s="63" t="s">
        <v>2431</v>
      </c>
      <c r="L526" s="63" t="s">
        <v>2432</v>
      </c>
      <c r="M526" s="63" t="s">
        <v>2433</v>
      </c>
    </row>
    <row r="527" spans="1:13" ht="20.100000000000001" customHeight="1" x14ac:dyDescent="0.25">
      <c r="A527" s="62"/>
      <c r="B527" s="62"/>
      <c r="C527" s="62"/>
      <c r="D527" s="62"/>
      <c r="E527" s="62">
        <v>5</v>
      </c>
      <c r="F527" s="63" t="s">
        <v>2618</v>
      </c>
      <c r="G527" s="62" t="s">
        <v>2382</v>
      </c>
      <c r="H527" s="62">
        <v>5</v>
      </c>
      <c r="I527" s="62">
        <v>1</v>
      </c>
      <c r="J527" s="63" t="s">
        <v>2434</v>
      </c>
      <c r="K527" s="63" t="s">
        <v>2435</v>
      </c>
      <c r="L527" s="63" t="s">
        <v>2436</v>
      </c>
      <c r="M527" s="63" t="s">
        <v>2437</v>
      </c>
    </row>
    <row r="528" spans="1:13" ht="20.100000000000001" customHeight="1" x14ac:dyDescent="0.25">
      <c r="A528" s="62"/>
      <c r="B528" s="62"/>
      <c r="C528" s="62"/>
      <c r="D528" s="62"/>
      <c r="E528" s="62">
        <v>6</v>
      </c>
      <c r="F528" s="63" t="s">
        <v>2619</v>
      </c>
      <c r="G528" s="62" t="s">
        <v>2383</v>
      </c>
      <c r="H528" s="62">
        <v>5</v>
      </c>
      <c r="I528" s="62">
        <v>1</v>
      </c>
      <c r="J528" s="63" t="s">
        <v>2438</v>
      </c>
      <c r="K528" s="63" t="s">
        <v>2439</v>
      </c>
      <c r="L528" s="63" t="s">
        <v>2440</v>
      </c>
      <c r="M528" s="63" t="s">
        <v>2441</v>
      </c>
    </row>
    <row r="529" spans="1:13" ht="20.100000000000001" customHeight="1" x14ac:dyDescent="0.25">
      <c r="A529" s="62"/>
      <c r="B529" s="62"/>
      <c r="C529" s="62"/>
      <c r="D529" s="62"/>
      <c r="E529" s="62">
        <v>7</v>
      </c>
      <c r="F529" s="63" t="s">
        <v>2620</v>
      </c>
      <c r="G529" s="62" t="s">
        <v>2384</v>
      </c>
      <c r="H529" s="62">
        <v>5</v>
      </c>
      <c r="I529" s="62">
        <v>1</v>
      </c>
      <c r="J529" s="63" t="s">
        <v>2442</v>
      </c>
      <c r="K529" s="63" t="s">
        <v>2443</v>
      </c>
      <c r="L529" s="63" t="s">
        <v>2444</v>
      </c>
      <c r="M529" s="63" t="s">
        <v>2445</v>
      </c>
    </row>
    <row r="530" spans="1:13" ht="20.100000000000001" customHeight="1" x14ac:dyDescent="0.25">
      <c r="A530" s="62"/>
      <c r="B530" s="62"/>
      <c r="C530" s="62"/>
      <c r="D530" s="62"/>
      <c r="E530" s="62">
        <v>8</v>
      </c>
      <c r="F530" s="63" t="s">
        <v>2621</v>
      </c>
      <c r="G530" s="62" t="s">
        <v>2385</v>
      </c>
      <c r="H530" s="62">
        <v>5</v>
      </c>
      <c r="I530" s="62">
        <v>1</v>
      </c>
      <c r="J530" s="63" t="s">
        <v>2446</v>
      </c>
      <c r="K530" s="63" t="s">
        <v>2447</v>
      </c>
      <c r="L530" s="63" t="s">
        <v>2448</v>
      </c>
      <c r="M530" s="63" t="s">
        <v>2449</v>
      </c>
    </row>
    <row r="531" spans="1:13" ht="20.100000000000001" customHeight="1" x14ac:dyDescent="0.25">
      <c r="A531" s="62"/>
      <c r="B531" s="62"/>
      <c r="C531" s="62"/>
      <c r="D531" s="62"/>
      <c r="E531" s="62">
        <v>9</v>
      </c>
      <c r="F531" s="63" t="s">
        <v>2622</v>
      </c>
      <c r="G531" s="62" t="s">
        <v>2386</v>
      </c>
      <c r="H531" s="62">
        <v>5</v>
      </c>
      <c r="I531" s="62">
        <v>1</v>
      </c>
      <c r="J531" s="63" t="s">
        <v>2450</v>
      </c>
      <c r="K531" s="63" t="s">
        <v>2451</v>
      </c>
      <c r="L531" s="63" t="s">
        <v>2452</v>
      </c>
      <c r="M531" s="63" t="s">
        <v>2453</v>
      </c>
    </row>
    <row r="532" spans="1:13" ht="20.100000000000001" customHeight="1" x14ac:dyDescent="0.25">
      <c r="A532" s="62"/>
      <c r="B532" s="62"/>
      <c r="C532" s="62"/>
      <c r="D532" s="62"/>
      <c r="E532" s="62">
        <v>10</v>
      </c>
      <c r="F532" s="63" t="s">
        <v>2643</v>
      </c>
      <c r="G532" s="62" t="s">
        <v>2387</v>
      </c>
      <c r="H532" s="62">
        <v>5</v>
      </c>
      <c r="I532" s="62">
        <v>1</v>
      </c>
      <c r="J532" s="63" t="s">
        <v>2454</v>
      </c>
      <c r="K532" s="63" t="s">
        <v>2455</v>
      </c>
      <c r="L532" s="63" t="s">
        <v>2456</v>
      </c>
      <c r="M532" s="63" t="s">
        <v>2457</v>
      </c>
    </row>
    <row r="533" spans="1:13" ht="20.100000000000001" customHeight="1" x14ac:dyDescent="0.25">
      <c r="A533" s="62"/>
      <c r="B533" s="62"/>
      <c r="C533" s="62"/>
      <c r="D533" s="62"/>
      <c r="E533" s="62">
        <v>11</v>
      </c>
      <c r="F533" s="64" t="s">
        <v>2651</v>
      </c>
      <c r="G533" s="62" t="s">
        <v>2388</v>
      </c>
      <c r="H533" s="62">
        <v>5</v>
      </c>
      <c r="I533" s="62">
        <v>1</v>
      </c>
      <c r="J533" s="63" t="s">
        <v>2458</v>
      </c>
      <c r="K533" s="63" t="s">
        <v>2459</v>
      </c>
      <c r="L533" s="63" t="s">
        <v>2460</v>
      </c>
      <c r="M533" s="63" t="s">
        <v>2461</v>
      </c>
    </row>
    <row r="534" spans="1:13" ht="20.100000000000001" customHeight="1" x14ac:dyDescent="0.25">
      <c r="A534" s="62"/>
      <c r="B534" s="62"/>
      <c r="C534" s="62"/>
      <c r="D534" s="62"/>
      <c r="E534" s="62">
        <v>12</v>
      </c>
      <c r="F534" s="64" t="s">
        <v>2644</v>
      </c>
      <c r="G534" s="62" t="s">
        <v>2389</v>
      </c>
      <c r="H534" s="62">
        <v>5</v>
      </c>
      <c r="I534" s="62">
        <v>1</v>
      </c>
      <c r="J534" s="63" t="s">
        <v>2462</v>
      </c>
      <c r="K534" s="63" t="s">
        <v>2463</v>
      </c>
      <c r="L534" s="63" t="s">
        <v>2464</v>
      </c>
      <c r="M534" s="63" t="s">
        <v>2465</v>
      </c>
    </row>
    <row r="535" spans="1:13" ht="20.100000000000001" customHeight="1" x14ac:dyDescent="0.25">
      <c r="A535" s="62"/>
      <c r="B535" s="62"/>
      <c r="C535" s="62"/>
      <c r="D535" s="62"/>
      <c r="E535" s="62">
        <v>13</v>
      </c>
      <c r="F535" s="64" t="s">
        <v>2623</v>
      </c>
      <c r="G535" s="62" t="s">
        <v>2390</v>
      </c>
      <c r="H535" s="62">
        <v>5</v>
      </c>
      <c r="I535" s="62">
        <v>1</v>
      </c>
      <c r="J535" s="63" t="s">
        <v>2466</v>
      </c>
      <c r="K535" s="63" t="s">
        <v>2467</v>
      </c>
      <c r="L535" s="63" t="s">
        <v>2468</v>
      </c>
      <c r="M535" s="63" t="s">
        <v>2469</v>
      </c>
    </row>
    <row r="536" spans="1:13" ht="20.100000000000001" customHeight="1" x14ac:dyDescent="0.25">
      <c r="A536" s="62"/>
      <c r="B536" s="64"/>
      <c r="C536" s="62"/>
      <c r="D536" s="62"/>
      <c r="E536" s="62">
        <v>14</v>
      </c>
      <c r="F536" s="64" t="s">
        <v>2624</v>
      </c>
      <c r="G536" s="62" t="s">
        <v>2391</v>
      </c>
      <c r="H536" s="62">
        <v>5</v>
      </c>
      <c r="I536" s="62">
        <v>1</v>
      </c>
      <c r="J536" s="63" t="s">
        <v>2470</v>
      </c>
      <c r="K536" s="63" t="s">
        <v>2471</v>
      </c>
      <c r="L536" s="63" t="s">
        <v>2472</v>
      </c>
      <c r="M536" s="63" t="s">
        <v>2473</v>
      </c>
    </row>
    <row r="537" spans="1:13" ht="20.100000000000001" customHeight="1" x14ac:dyDescent="0.25">
      <c r="A537" s="62"/>
      <c r="B537" s="64"/>
      <c r="C537" s="62"/>
      <c r="D537" s="62"/>
      <c r="E537" s="62">
        <v>15</v>
      </c>
      <c r="F537" s="64" t="s">
        <v>2645</v>
      </c>
      <c r="G537" s="62" t="s">
        <v>2392</v>
      </c>
      <c r="H537" s="62">
        <v>5</v>
      </c>
      <c r="I537" s="62">
        <v>1</v>
      </c>
      <c r="J537" s="63" t="s">
        <v>2474</v>
      </c>
      <c r="K537" s="63" t="s">
        <v>2475</v>
      </c>
      <c r="L537" s="63" t="s">
        <v>2476</v>
      </c>
      <c r="M537" s="63" t="s">
        <v>2477</v>
      </c>
    </row>
    <row r="538" spans="1:13" ht="20.100000000000001" customHeight="1" x14ac:dyDescent="0.25">
      <c r="A538" s="62"/>
      <c r="B538" s="64"/>
      <c r="C538" s="62"/>
      <c r="D538" s="62"/>
      <c r="E538" s="62">
        <v>16</v>
      </c>
      <c r="F538" s="64" t="s">
        <v>2625</v>
      </c>
      <c r="G538" s="62" t="s">
        <v>2393</v>
      </c>
      <c r="H538" s="62">
        <v>5</v>
      </c>
      <c r="I538" s="62">
        <v>1</v>
      </c>
      <c r="J538" s="63" t="s">
        <v>2478</v>
      </c>
      <c r="K538" s="63" t="s">
        <v>2479</v>
      </c>
      <c r="L538" s="63" t="s">
        <v>2480</v>
      </c>
      <c r="M538" s="63" t="s">
        <v>2481</v>
      </c>
    </row>
    <row r="539" spans="1:13" ht="20.100000000000001" customHeight="1" x14ac:dyDescent="0.25">
      <c r="A539" s="62"/>
      <c r="B539" s="64"/>
      <c r="C539" s="62"/>
      <c r="D539" s="62"/>
      <c r="E539" s="62">
        <v>17</v>
      </c>
      <c r="F539" s="64" t="s">
        <v>2626</v>
      </c>
      <c r="G539" s="62" t="s">
        <v>2394</v>
      </c>
      <c r="H539" s="62">
        <v>5</v>
      </c>
      <c r="I539" s="62">
        <v>1</v>
      </c>
      <c r="J539" s="63" t="s">
        <v>2482</v>
      </c>
      <c r="K539" s="63" t="s">
        <v>2483</v>
      </c>
      <c r="L539" s="63" t="s">
        <v>2484</v>
      </c>
      <c r="M539" s="63" t="s">
        <v>2485</v>
      </c>
    </row>
    <row r="540" spans="1:13" ht="20.100000000000001" customHeight="1" x14ac:dyDescent="0.25">
      <c r="A540" s="62"/>
      <c r="B540" s="64"/>
      <c r="C540" s="62"/>
      <c r="D540" s="62"/>
      <c r="E540" s="62">
        <v>18</v>
      </c>
      <c r="F540" s="64" t="s">
        <v>2627</v>
      </c>
      <c r="G540" s="62" t="s">
        <v>2395</v>
      </c>
      <c r="H540" s="62">
        <v>5</v>
      </c>
      <c r="I540" s="62">
        <v>1</v>
      </c>
      <c r="J540" s="63" t="s">
        <v>2486</v>
      </c>
      <c r="K540" s="63" t="s">
        <v>2487</v>
      </c>
      <c r="L540" s="63" t="s">
        <v>2488</v>
      </c>
      <c r="M540" s="63" t="s">
        <v>2489</v>
      </c>
    </row>
    <row r="541" spans="1:13" ht="20.100000000000001" customHeight="1" x14ac:dyDescent="0.25">
      <c r="A541" s="62"/>
      <c r="B541" s="64"/>
      <c r="C541" s="62"/>
      <c r="D541" s="62"/>
      <c r="E541" s="62">
        <v>19</v>
      </c>
      <c r="F541" s="64" t="s">
        <v>2628</v>
      </c>
      <c r="G541" s="62" t="s">
        <v>2396</v>
      </c>
      <c r="H541" s="62">
        <v>5</v>
      </c>
      <c r="I541" s="62">
        <v>1</v>
      </c>
      <c r="J541" s="63" t="s">
        <v>2490</v>
      </c>
      <c r="K541" s="63" t="s">
        <v>2491</v>
      </c>
      <c r="L541" s="63" t="s">
        <v>2492</v>
      </c>
      <c r="M541" s="63" t="s">
        <v>2493</v>
      </c>
    </row>
    <row r="542" spans="1:13" ht="20.100000000000001" customHeight="1" x14ac:dyDescent="0.25">
      <c r="A542" s="62"/>
      <c r="B542" s="64"/>
      <c r="C542" s="62"/>
      <c r="D542" s="62"/>
      <c r="E542" s="62">
        <v>20</v>
      </c>
      <c r="F542" s="64" t="s">
        <v>2629</v>
      </c>
      <c r="G542" s="62" t="s">
        <v>2397</v>
      </c>
      <c r="H542" s="62">
        <v>5</v>
      </c>
      <c r="I542" s="62">
        <v>1</v>
      </c>
      <c r="J542" s="63" t="s">
        <v>2494</v>
      </c>
      <c r="K542" s="63" t="s">
        <v>2495</v>
      </c>
      <c r="L542" s="63" t="s">
        <v>2496</v>
      </c>
      <c r="M542" s="63" t="s">
        <v>2497</v>
      </c>
    </row>
    <row r="543" spans="1:13" ht="20.100000000000001" customHeight="1" x14ac:dyDescent="0.25">
      <c r="A543" s="62"/>
      <c r="B543" s="64"/>
      <c r="C543" s="62"/>
      <c r="D543" s="62"/>
      <c r="E543" s="62">
        <v>21</v>
      </c>
      <c r="F543" s="64" t="s">
        <v>2646</v>
      </c>
      <c r="G543" s="62" t="s">
        <v>2398</v>
      </c>
      <c r="H543" s="62">
        <v>5</v>
      </c>
      <c r="I543" s="62">
        <v>1</v>
      </c>
      <c r="J543" s="63" t="s">
        <v>2498</v>
      </c>
      <c r="K543" s="63" t="s">
        <v>2499</v>
      </c>
      <c r="L543" s="63" t="s">
        <v>2500</v>
      </c>
      <c r="M543" s="63" t="s">
        <v>2501</v>
      </c>
    </row>
    <row r="544" spans="1:13" ht="20.100000000000001" customHeight="1" x14ac:dyDescent="0.25">
      <c r="A544" s="62"/>
      <c r="B544" s="64"/>
      <c r="C544" s="62"/>
      <c r="D544" s="62"/>
      <c r="E544" s="62">
        <v>22</v>
      </c>
      <c r="F544" s="64" t="s">
        <v>2630</v>
      </c>
      <c r="G544" s="62" t="s">
        <v>2399</v>
      </c>
      <c r="H544" s="62">
        <v>5</v>
      </c>
      <c r="I544" s="62">
        <v>1</v>
      </c>
      <c r="J544" s="63" t="s">
        <v>2502</v>
      </c>
      <c r="K544" s="63" t="s">
        <v>2503</v>
      </c>
      <c r="L544" s="63" t="s">
        <v>2504</v>
      </c>
      <c r="M544" s="63" t="s">
        <v>2505</v>
      </c>
    </row>
    <row r="545" spans="1:18" ht="20.100000000000001" customHeight="1" x14ac:dyDescent="0.25">
      <c r="A545" s="62"/>
      <c r="B545" s="64"/>
      <c r="C545" s="62"/>
      <c r="D545" s="62"/>
      <c r="E545" s="62">
        <v>23</v>
      </c>
      <c r="F545" s="64" t="s">
        <v>2652</v>
      </c>
      <c r="G545" s="62" t="s">
        <v>2400</v>
      </c>
      <c r="H545" s="62">
        <v>5</v>
      </c>
      <c r="I545" s="62">
        <v>1</v>
      </c>
      <c r="J545" s="63" t="s">
        <v>2506</v>
      </c>
      <c r="K545" s="63" t="s">
        <v>2507</v>
      </c>
      <c r="L545" s="63" t="s">
        <v>2508</v>
      </c>
      <c r="M545" s="63" t="s">
        <v>2509</v>
      </c>
    </row>
    <row r="546" spans="1:18" ht="20.100000000000001" customHeight="1" x14ac:dyDescent="0.25">
      <c r="A546" s="62"/>
      <c r="B546" s="64"/>
      <c r="C546" s="64"/>
      <c r="D546" s="64"/>
      <c r="E546" s="62">
        <v>24</v>
      </c>
      <c r="F546" s="64" t="s">
        <v>2631</v>
      </c>
      <c r="G546" s="62" t="s">
        <v>2401</v>
      </c>
      <c r="H546" s="62">
        <v>5</v>
      </c>
      <c r="I546" s="62">
        <v>1</v>
      </c>
      <c r="J546" s="63" t="s">
        <v>2510</v>
      </c>
      <c r="K546" s="63" t="s">
        <v>2511</v>
      </c>
      <c r="L546" s="63" t="s">
        <v>2512</v>
      </c>
      <c r="M546" s="63" t="s">
        <v>2513</v>
      </c>
    </row>
    <row r="547" spans="1:18" ht="20.100000000000001" customHeight="1" x14ac:dyDescent="0.25">
      <c r="A547" s="62"/>
      <c r="B547" s="64"/>
      <c r="C547" s="64"/>
      <c r="D547" s="64"/>
      <c r="E547" s="62">
        <v>25</v>
      </c>
      <c r="F547" s="64" t="s">
        <v>2653</v>
      </c>
      <c r="G547" s="62" t="s">
        <v>2402</v>
      </c>
      <c r="H547" s="62">
        <v>5</v>
      </c>
      <c r="I547" s="62">
        <v>1</v>
      </c>
      <c r="J547" s="63" t="s">
        <v>2514</v>
      </c>
      <c r="K547" s="63" t="s">
        <v>2515</v>
      </c>
      <c r="L547" s="63" t="s">
        <v>2516</v>
      </c>
      <c r="M547" s="63" t="s">
        <v>2517</v>
      </c>
    </row>
    <row r="548" spans="1:18" ht="20.100000000000001" customHeight="1" x14ac:dyDescent="0.25">
      <c r="A548" s="62"/>
      <c r="B548" s="64"/>
      <c r="C548" s="64"/>
      <c r="D548" s="64"/>
      <c r="E548" s="62">
        <v>26</v>
      </c>
      <c r="F548" s="64" t="s">
        <v>2647</v>
      </c>
      <c r="G548" s="62" t="s">
        <v>2403</v>
      </c>
      <c r="H548" s="62">
        <v>5</v>
      </c>
      <c r="I548" s="62">
        <v>1</v>
      </c>
      <c r="J548" s="63" t="s">
        <v>2518</v>
      </c>
      <c r="K548" s="63" t="s">
        <v>2519</v>
      </c>
      <c r="L548" s="63" t="s">
        <v>2520</v>
      </c>
      <c r="M548" s="63" t="s">
        <v>2521</v>
      </c>
    </row>
    <row r="549" spans="1:18" ht="20.100000000000001" customHeight="1" x14ac:dyDescent="0.25">
      <c r="A549" s="62"/>
      <c r="B549" s="64"/>
      <c r="C549" s="64"/>
      <c r="D549" s="64"/>
      <c r="E549" s="62">
        <v>27</v>
      </c>
      <c r="F549" s="64" t="s">
        <v>2632</v>
      </c>
      <c r="G549" s="62" t="s">
        <v>2404</v>
      </c>
      <c r="H549" s="62">
        <v>5</v>
      </c>
      <c r="I549" s="62">
        <v>1</v>
      </c>
      <c r="J549" s="63" t="s">
        <v>2522</v>
      </c>
      <c r="K549" s="63" t="s">
        <v>2523</v>
      </c>
      <c r="L549" s="63" t="s">
        <v>2524</v>
      </c>
      <c r="M549" s="63" t="s">
        <v>2525</v>
      </c>
    </row>
    <row r="550" spans="1:18" ht="20.100000000000001" customHeight="1" x14ac:dyDescent="0.25">
      <c r="A550" s="62"/>
      <c r="B550" s="64"/>
      <c r="C550" s="64"/>
      <c r="D550" s="64"/>
      <c r="E550" s="62">
        <v>28</v>
      </c>
      <c r="F550" s="64" t="s">
        <v>2633</v>
      </c>
      <c r="G550" s="62" t="s">
        <v>2405</v>
      </c>
      <c r="H550" s="62">
        <v>5</v>
      </c>
      <c r="I550" s="62">
        <v>1</v>
      </c>
      <c r="J550" s="63" t="s">
        <v>2526</v>
      </c>
      <c r="K550" s="63" t="s">
        <v>2527</v>
      </c>
      <c r="L550" s="63" t="s">
        <v>2528</v>
      </c>
      <c r="M550" s="63" t="s">
        <v>2529</v>
      </c>
    </row>
    <row r="551" spans="1:18" ht="20.100000000000001" customHeight="1" x14ac:dyDescent="0.25">
      <c r="A551" s="62"/>
      <c r="B551" s="64"/>
      <c r="C551" s="64"/>
      <c r="D551" s="64"/>
      <c r="E551" s="62">
        <v>29</v>
      </c>
      <c r="F551" s="64" t="s">
        <v>2648</v>
      </c>
      <c r="G551" s="62" t="s">
        <v>2406</v>
      </c>
      <c r="H551" s="62">
        <v>5</v>
      </c>
      <c r="I551" s="62">
        <v>1</v>
      </c>
      <c r="J551" s="63" t="s">
        <v>2530</v>
      </c>
      <c r="K551" s="63" t="s">
        <v>2531</v>
      </c>
      <c r="L551" s="63" t="s">
        <v>2532</v>
      </c>
      <c r="M551" s="63" t="s">
        <v>2533</v>
      </c>
    </row>
    <row r="552" spans="1:18" ht="20.100000000000001" customHeight="1" x14ac:dyDescent="0.25">
      <c r="A552" s="62"/>
      <c r="B552" s="64"/>
      <c r="C552" s="64"/>
      <c r="D552" s="64"/>
      <c r="E552" s="62">
        <v>30</v>
      </c>
      <c r="F552" s="64" t="s">
        <v>2634</v>
      </c>
      <c r="G552" s="62" t="s">
        <v>2407</v>
      </c>
      <c r="H552" s="62">
        <v>5</v>
      </c>
      <c r="I552" s="62">
        <v>1</v>
      </c>
      <c r="J552" s="63" t="s">
        <v>2534</v>
      </c>
      <c r="K552" s="63" t="s">
        <v>2535</v>
      </c>
      <c r="L552" s="63" t="s">
        <v>2536</v>
      </c>
      <c r="M552" s="63" t="s">
        <v>2537</v>
      </c>
    </row>
    <row r="553" spans="1:18" s="43" customFormat="1" ht="15" customHeight="1" x14ac:dyDescent="0.25">
      <c r="A553" s="62"/>
      <c r="B553" s="64"/>
      <c r="C553" s="64"/>
      <c r="D553" s="64"/>
      <c r="E553" s="62">
        <v>31</v>
      </c>
      <c r="F553" s="64" t="s">
        <v>2635</v>
      </c>
      <c r="G553" s="62" t="s">
        <v>2408</v>
      </c>
      <c r="H553" s="62">
        <v>5</v>
      </c>
      <c r="I553" s="62">
        <v>1</v>
      </c>
      <c r="J553" s="63" t="s">
        <v>2538</v>
      </c>
      <c r="K553" s="63" t="s">
        <v>2539</v>
      </c>
      <c r="L553" s="63" t="s">
        <v>2540</v>
      </c>
      <c r="M553" s="63" t="s">
        <v>2541</v>
      </c>
      <c r="N553" s="46" t="str">
        <f t="shared" ref="N553:N562" si="17">CONCATENATE("A. ",(J322))</f>
        <v>A. A. My Uncle Percy is married to a Welsh woman.</v>
      </c>
      <c r="O553" s="1"/>
      <c r="P553" s="1"/>
      <c r="Q553" s="1"/>
      <c r="R553" s="1"/>
    </row>
    <row r="554" spans="1:18" s="43" customFormat="1" ht="15" customHeight="1" x14ac:dyDescent="0.25">
      <c r="A554" s="62"/>
      <c r="B554" s="64"/>
      <c r="C554" s="64"/>
      <c r="D554" s="64"/>
      <c r="E554" s="62">
        <v>32</v>
      </c>
      <c r="F554" s="64" t="s">
        <v>2636</v>
      </c>
      <c r="G554" s="62" t="s">
        <v>2409</v>
      </c>
      <c r="H554" s="62">
        <v>5</v>
      </c>
      <c r="I554" s="62">
        <v>1</v>
      </c>
      <c r="J554" s="63" t="s">
        <v>2542</v>
      </c>
      <c r="K554" s="63" t="s">
        <v>2543</v>
      </c>
      <c r="L554" s="63" t="s">
        <v>2544</v>
      </c>
      <c r="M554" s="63" t="s">
        <v>2545</v>
      </c>
      <c r="N554" s="46" t="str">
        <f t="shared" si="17"/>
        <v>A. A. The authorities kept the disease under control</v>
      </c>
      <c r="O554" s="1"/>
      <c r="P554" s="1"/>
      <c r="Q554" s="1"/>
      <c r="R554" s="1"/>
    </row>
    <row r="555" spans="1:18" s="43" customFormat="1" ht="15" customHeight="1" x14ac:dyDescent="0.25">
      <c r="A555" s="62"/>
      <c r="B555" s="64"/>
      <c r="C555" s="64"/>
      <c r="D555" s="64"/>
      <c r="E555" s="62">
        <v>33</v>
      </c>
      <c r="F555" s="64" t="s">
        <v>2637</v>
      </c>
      <c r="G555" s="62" t="s">
        <v>2410</v>
      </c>
      <c r="H555" s="62">
        <v>5</v>
      </c>
      <c r="I555" s="62">
        <v>1</v>
      </c>
      <c r="J555" s="63" t="s">
        <v>2546</v>
      </c>
      <c r="K555" s="63" t="s">
        <v>2547</v>
      </c>
      <c r="L555" s="63" t="s">
        <v>2548</v>
      </c>
      <c r="M555" s="63" t="s">
        <v>2549</v>
      </c>
      <c r="N555" s="46" t="str">
        <f t="shared" si="17"/>
        <v>A. A. Mrs. Peters made an offer of $500 for the grandfather clock</v>
      </c>
      <c r="O555" s="1"/>
      <c r="P555" s="1"/>
      <c r="Q555" s="1"/>
      <c r="R555" s="1"/>
    </row>
    <row r="556" spans="1:18" s="43" customFormat="1" ht="15" customHeight="1" x14ac:dyDescent="0.25">
      <c r="A556" s="62"/>
      <c r="B556" s="64"/>
      <c r="C556" s="64"/>
      <c r="D556" s="64"/>
      <c r="E556" s="62">
        <v>34</v>
      </c>
      <c r="F556" s="64" t="s">
        <v>2638</v>
      </c>
      <c r="G556" s="62" t="s">
        <v>2411</v>
      </c>
      <c r="H556" s="62">
        <v>5</v>
      </c>
      <c r="I556" s="62">
        <v>1</v>
      </c>
      <c r="J556" s="63" t="s">
        <v>2550</v>
      </c>
      <c r="K556" s="63" t="s">
        <v>2551</v>
      </c>
      <c r="L556" s="63" t="s">
        <v>2552</v>
      </c>
      <c r="M556" s="63" t="s">
        <v>2553</v>
      </c>
      <c r="N556" s="46" t="str">
        <f t="shared" si="17"/>
        <v>A. A. A visa is always necessary when you travel</v>
      </c>
      <c r="O556" s="1"/>
      <c r="P556" s="1"/>
      <c r="Q556" s="1"/>
      <c r="R556" s="1"/>
    </row>
    <row r="557" spans="1:18" s="43" customFormat="1" ht="15" customHeight="1" x14ac:dyDescent="0.25">
      <c r="A557" s="62"/>
      <c r="B557" s="64"/>
      <c r="C557" s="64"/>
      <c r="D557" s="64"/>
      <c r="E557" s="62">
        <v>35</v>
      </c>
      <c r="F557" s="64" t="s">
        <v>2649</v>
      </c>
      <c r="G557" s="62" t="s">
        <v>2412</v>
      </c>
      <c r="H557" s="62">
        <v>5</v>
      </c>
      <c r="I557" s="62">
        <v>1</v>
      </c>
      <c r="J557" s="63" t="s">
        <v>2554</v>
      </c>
      <c r="K557" s="63" t="s">
        <v>2555</v>
      </c>
      <c r="L557" s="63" t="s">
        <v>2556</v>
      </c>
      <c r="M557" s="63" t="s">
        <v>2557</v>
      </c>
      <c r="N557" s="46" t="str">
        <f t="shared" si="17"/>
        <v>A. A. The meeting has been postponed.</v>
      </c>
      <c r="O557" s="1"/>
      <c r="P557" s="1"/>
      <c r="Q557" s="1"/>
      <c r="R557" s="1"/>
    </row>
    <row r="558" spans="1:18" s="43" customFormat="1" ht="15" customHeight="1" x14ac:dyDescent="0.25">
      <c r="A558" s="62"/>
      <c r="B558" s="64"/>
      <c r="C558" s="64"/>
      <c r="D558" s="64"/>
      <c r="E558" s="62">
        <v>36</v>
      </c>
      <c r="F558" s="64" t="s">
        <v>2654</v>
      </c>
      <c r="G558" s="62" t="s">
        <v>2413</v>
      </c>
      <c r="H558" s="62">
        <v>5</v>
      </c>
      <c r="I558" s="62">
        <v>1</v>
      </c>
      <c r="J558" s="63" t="s">
        <v>2558</v>
      </c>
      <c r="K558" s="63" t="s">
        <v>2559</v>
      </c>
      <c r="L558" s="63" t="s">
        <v>2560</v>
      </c>
      <c r="M558" s="63" t="s">
        <v>2561</v>
      </c>
      <c r="N558" s="46" t="str">
        <f t="shared" si="17"/>
        <v>A. A. He is on his way, but he will arrive late</v>
      </c>
      <c r="O558" s="1"/>
      <c r="P558" s="1"/>
      <c r="Q558" s="1"/>
      <c r="R558" s="1"/>
    </row>
    <row r="559" spans="1:18" s="43" customFormat="1" ht="15" customHeight="1" x14ac:dyDescent="0.25">
      <c r="A559" s="62"/>
      <c r="B559" s="64"/>
      <c r="C559" s="64"/>
      <c r="D559" s="64"/>
      <c r="E559" s="62">
        <v>37</v>
      </c>
      <c r="F559" s="64" t="s">
        <v>2639</v>
      </c>
      <c r="G559" s="62" t="s">
        <v>2414</v>
      </c>
      <c r="H559" s="62">
        <v>5</v>
      </c>
      <c r="I559" s="62">
        <v>1</v>
      </c>
      <c r="J559" s="63" t="s">
        <v>2562</v>
      </c>
      <c r="K559" s="63" t="s">
        <v>2563</v>
      </c>
      <c r="L559" s="63" t="s">
        <v>2564</v>
      </c>
      <c r="M559" s="63" t="s">
        <v>2565</v>
      </c>
      <c r="N559" s="46" t="str">
        <f t="shared" si="17"/>
        <v>A. A. This time I have to drive my car</v>
      </c>
      <c r="O559" s="1"/>
      <c r="P559" s="1"/>
      <c r="Q559" s="1"/>
      <c r="R559" s="1"/>
    </row>
    <row r="560" spans="1:18" s="43" customFormat="1" ht="15" customHeight="1" x14ac:dyDescent="0.25">
      <c r="A560" s="62"/>
      <c r="B560" s="64"/>
      <c r="C560" s="64"/>
      <c r="D560" s="64"/>
      <c r="E560" s="62">
        <v>38</v>
      </c>
      <c r="F560" s="64" t="s">
        <v>2640</v>
      </c>
      <c r="G560" s="62" t="s">
        <v>2415</v>
      </c>
      <c r="H560" s="62">
        <v>5</v>
      </c>
      <c r="I560" s="62">
        <v>1</v>
      </c>
      <c r="J560" s="63" t="s">
        <v>2566</v>
      </c>
      <c r="K560" s="63" t="s">
        <v>2567</v>
      </c>
      <c r="L560" s="63" t="s">
        <v>2568</v>
      </c>
      <c r="M560" s="63" t="s">
        <v>2569</v>
      </c>
      <c r="N560" s="46" t="str">
        <f t="shared" si="17"/>
        <v>A. A. I was looking for him when he found me</v>
      </c>
      <c r="O560" s="1"/>
      <c r="P560" s="1"/>
      <c r="Q560" s="1"/>
      <c r="R560" s="1"/>
    </row>
    <row r="561" spans="1:18" s="43" customFormat="1" ht="15" customHeight="1" x14ac:dyDescent="0.25">
      <c r="A561" s="62"/>
      <c r="B561" s="64"/>
      <c r="C561" s="64"/>
      <c r="D561" s="64"/>
      <c r="E561" s="62">
        <v>39</v>
      </c>
      <c r="F561" s="64" t="s">
        <v>2580</v>
      </c>
      <c r="G561" s="62" t="s">
        <v>2416</v>
      </c>
      <c r="H561" s="62">
        <v>5</v>
      </c>
      <c r="I561" s="62">
        <v>1</v>
      </c>
      <c r="J561" s="63" t="s">
        <v>2570</v>
      </c>
      <c r="K561" s="63" t="s">
        <v>2571</v>
      </c>
      <c r="L561" s="63" t="s">
        <v>2572</v>
      </c>
      <c r="M561" s="63" t="s">
        <v>2573</v>
      </c>
      <c r="N561" s="46" t="str">
        <f t="shared" si="17"/>
        <v>A. A. Pat is acting like a child tonight</v>
      </c>
      <c r="O561" s="1"/>
      <c r="P561" s="1"/>
      <c r="Q561" s="1"/>
      <c r="R561" s="1"/>
    </row>
    <row r="562" spans="1:18" s="43" customFormat="1" ht="15" customHeight="1" x14ac:dyDescent="0.25">
      <c r="A562" s="62"/>
      <c r="B562" s="65"/>
      <c r="C562" s="65"/>
      <c r="D562" s="65"/>
      <c r="E562" s="66">
        <v>40</v>
      </c>
      <c r="F562" s="64" t="s">
        <v>2581</v>
      </c>
      <c r="G562" s="66" t="s">
        <v>2417</v>
      </c>
      <c r="H562" s="62">
        <v>5</v>
      </c>
      <c r="I562" s="62">
        <v>1</v>
      </c>
      <c r="J562" s="67" t="s">
        <v>2574</v>
      </c>
      <c r="K562" s="67" t="s">
        <v>2575</v>
      </c>
      <c r="L562" s="67" t="s">
        <v>2576</v>
      </c>
      <c r="M562" s="67" t="s">
        <v>2577</v>
      </c>
      <c r="N562" s="46" t="str">
        <f t="shared" si="17"/>
        <v>A. A. It has not rained since spring</v>
      </c>
      <c r="O562" s="1"/>
      <c r="P562" s="1"/>
      <c r="Q562" s="1"/>
      <c r="R562" s="1"/>
    </row>
    <row r="563" spans="1:18" s="43" customFormat="1" ht="15" customHeight="1" x14ac:dyDescent="0.25">
      <c r="A563" s="85"/>
      <c r="B563" s="86"/>
      <c r="C563" s="65"/>
      <c r="D563" s="65"/>
      <c r="E563" s="85"/>
      <c r="F563" s="86"/>
      <c r="G563" s="87"/>
      <c r="H563" s="85"/>
      <c r="I563" s="88"/>
      <c r="J563" s="67"/>
      <c r="K563" s="67"/>
      <c r="L563" s="67"/>
      <c r="M563" s="67"/>
      <c r="N563" s="46"/>
      <c r="O563" s="1"/>
      <c r="P563" s="1"/>
      <c r="Q563" s="1"/>
      <c r="R563" s="1"/>
    </row>
    <row r="564" spans="1:18" s="43" customFormat="1" ht="15" customHeight="1" x14ac:dyDescent="0.25">
      <c r="A564" s="79"/>
      <c r="B564" s="79"/>
      <c r="C564" s="80">
        <v>8000</v>
      </c>
      <c r="D564" s="80" t="s">
        <v>3653</v>
      </c>
      <c r="E564" s="81">
        <v>1</v>
      </c>
      <c r="F564" s="79" t="s">
        <v>3751</v>
      </c>
      <c r="G564" s="90" t="s">
        <v>3452</v>
      </c>
      <c r="H564" s="81">
        <v>5</v>
      </c>
      <c r="I564" s="78">
        <v>1</v>
      </c>
      <c r="J564" s="83" t="s">
        <v>3453</v>
      </c>
      <c r="K564" s="83" t="s">
        <v>3454</v>
      </c>
      <c r="L564" s="83" t="s">
        <v>3455</v>
      </c>
      <c r="M564" s="83" t="s">
        <v>3456</v>
      </c>
      <c r="N564" s="1"/>
      <c r="O564" s="46" t="str">
        <f t="shared" ref="O564:O593" si="18">CONCATENATE("A. ",(J332))</f>
        <v>A. A. I would not have the time to do what he did</v>
      </c>
      <c r="P564" s="1"/>
      <c r="Q564" s="1"/>
    </row>
    <row r="565" spans="1:18" s="43" customFormat="1" ht="15" customHeight="1" x14ac:dyDescent="0.25">
      <c r="A565" s="79"/>
      <c r="B565" s="79"/>
      <c r="C565" s="80"/>
      <c r="D565" s="80" t="s">
        <v>3749</v>
      </c>
      <c r="E565" s="81">
        <v>2</v>
      </c>
      <c r="F565" s="79" t="s">
        <v>3752</v>
      </c>
      <c r="G565" s="81" t="s">
        <v>3458</v>
      </c>
      <c r="H565" s="81">
        <v>5</v>
      </c>
      <c r="I565" s="78">
        <v>1</v>
      </c>
      <c r="J565" s="83" t="s">
        <v>3459</v>
      </c>
      <c r="K565" s="83" t="s">
        <v>3460</v>
      </c>
      <c r="L565" s="83" t="s">
        <v>3461</v>
      </c>
      <c r="M565" s="83" t="s">
        <v>3462</v>
      </c>
      <c r="N565" s="1"/>
      <c r="O565" s="46" t="str">
        <f t="shared" si="18"/>
        <v>A. A. Paul didn't get the job</v>
      </c>
      <c r="P565" s="1"/>
      <c r="Q565" s="1"/>
    </row>
    <row r="566" spans="1:18" s="43" customFormat="1" ht="15" customHeight="1" x14ac:dyDescent="0.25">
      <c r="A566" s="79"/>
      <c r="B566" s="79"/>
      <c r="C566" s="80"/>
      <c r="D566" s="80" t="s">
        <v>16</v>
      </c>
      <c r="E566" s="81">
        <v>3</v>
      </c>
      <c r="F566" s="79" t="s">
        <v>3756</v>
      </c>
      <c r="G566" s="81" t="s">
        <v>3463</v>
      </c>
      <c r="H566" s="81">
        <v>5</v>
      </c>
      <c r="I566" s="78">
        <v>1</v>
      </c>
      <c r="J566" s="83" t="s">
        <v>3464</v>
      </c>
      <c r="K566" s="83" t="s">
        <v>3465</v>
      </c>
      <c r="L566" s="83" t="s">
        <v>3466</v>
      </c>
      <c r="M566" s="83" t="s">
        <v>3467</v>
      </c>
      <c r="N566" s="1"/>
      <c r="O566" s="46" t="str">
        <f t="shared" si="18"/>
        <v>A. A. The man's sister works with chickens</v>
      </c>
      <c r="P566" s="1"/>
      <c r="Q566" s="1"/>
    </row>
    <row r="567" spans="1:18" s="43" customFormat="1" ht="15" customHeight="1" x14ac:dyDescent="0.25">
      <c r="A567" s="79"/>
      <c r="B567" s="79"/>
      <c r="C567" s="79"/>
      <c r="D567" s="79"/>
      <c r="E567" s="81">
        <v>4</v>
      </c>
      <c r="F567" s="79" t="s">
        <v>3758</v>
      </c>
      <c r="G567" s="81" t="s">
        <v>3468</v>
      </c>
      <c r="H567" s="81">
        <v>5</v>
      </c>
      <c r="I567" s="78">
        <v>1</v>
      </c>
      <c r="J567" s="83" t="s">
        <v>3469</v>
      </c>
      <c r="K567" s="83" t="s">
        <v>3470</v>
      </c>
      <c r="L567" s="83" t="s">
        <v>3471</v>
      </c>
      <c r="M567" s="83" t="s">
        <v>3472</v>
      </c>
      <c r="N567" s="1"/>
      <c r="O567" s="46" t="str">
        <f t="shared" si="18"/>
        <v>A. A. McGregor beat O’Malley</v>
      </c>
      <c r="P567" s="1"/>
      <c r="Q567" s="1"/>
    </row>
    <row r="568" spans="1:18" s="43" customFormat="1" ht="15" customHeight="1" x14ac:dyDescent="0.25">
      <c r="A568" s="79"/>
      <c r="B568" s="79"/>
      <c r="C568" s="79"/>
      <c r="D568" s="79"/>
      <c r="E568" s="81">
        <v>5</v>
      </c>
      <c r="F568" s="79" t="s">
        <v>3654</v>
      </c>
      <c r="G568" s="81" t="s">
        <v>3473</v>
      </c>
      <c r="H568" s="81">
        <v>5</v>
      </c>
      <c r="I568" s="78">
        <v>1</v>
      </c>
      <c r="J568" s="83" t="s">
        <v>3474</v>
      </c>
      <c r="K568" s="83" t="s">
        <v>3475</v>
      </c>
      <c r="L568" s="83" t="s">
        <v>3476</v>
      </c>
      <c r="M568" s="83" t="s">
        <v>3477</v>
      </c>
      <c r="N568" s="1"/>
      <c r="O568" s="46" t="str">
        <f t="shared" si="18"/>
        <v>A. A. That she is not as young as she looks</v>
      </c>
      <c r="P568" s="1"/>
      <c r="Q568" s="1"/>
    </row>
    <row r="569" spans="1:18" s="43" customFormat="1" ht="15" customHeight="1" x14ac:dyDescent="0.25">
      <c r="A569" s="79"/>
      <c r="B569" s="79"/>
      <c r="C569" s="79"/>
      <c r="D569" s="79"/>
      <c r="E569" s="81">
        <v>6</v>
      </c>
      <c r="F569" s="79" t="s">
        <v>3655</v>
      </c>
      <c r="G569" s="81" t="s">
        <v>3478</v>
      </c>
      <c r="H569" s="81">
        <v>5</v>
      </c>
      <c r="I569" s="78">
        <v>1</v>
      </c>
      <c r="J569" s="83" t="s">
        <v>3479</v>
      </c>
      <c r="K569" s="83" t="s">
        <v>3480</v>
      </c>
      <c r="L569" s="83" t="s">
        <v>3481</v>
      </c>
      <c r="M569" s="83" t="s">
        <v>3482</v>
      </c>
      <c r="N569" s="1"/>
      <c r="O569" s="46" t="str">
        <f t="shared" si="18"/>
        <v>A. A. He passes the dry cleaner’s on the way to work</v>
      </c>
      <c r="P569" s="1"/>
      <c r="Q569" s="1"/>
    </row>
    <row r="570" spans="1:18" s="43" customFormat="1" ht="15" customHeight="1" x14ac:dyDescent="0.25">
      <c r="A570" s="79"/>
      <c r="B570" s="79"/>
      <c r="C570" s="79"/>
      <c r="D570" s="79"/>
      <c r="E570" s="81">
        <v>7</v>
      </c>
      <c r="F570" s="79" t="s">
        <v>3755</v>
      </c>
      <c r="G570" s="81" t="s">
        <v>3483</v>
      </c>
      <c r="H570" s="81">
        <v>5</v>
      </c>
      <c r="I570" s="78">
        <v>1</v>
      </c>
      <c r="J570" s="83" t="s">
        <v>3484</v>
      </c>
      <c r="K570" s="83" t="s">
        <v>3485</v>
      </c>
      <c r="L570" s="83" t="s">
        <v>3486</v>
      </c>
      <c r="M570" s="83" t="s">
        <v>3487</v>
      </c>
      <c r="N570" s="1"/>
      <c r="O570" s="46" t="str">
        <f t="shared" si="18"/>
        <v>A. A. He doesn't normally like Hugh Grant films</v>
      </c>
      <c r="P570" s="1"/>
      <c r="Q570" s="1"/>
    </row>
    <row r="571" spans="1:18" s="43" customFormat="1" ht="15" customHeight="1" x14ac:dyDescent="0.25">
      <c r="A571" s="79"/>
      <c r="B571" s="79"/>
      <c r="C571" s="79"/>
      <c r="D571" s="79"/>
      <c r="E571" s="81">
        <v>8</v>
      </c>
      <c r="F571" s="79" t="s">
        <v>3656</v>
      </c>
      <c r="G571" s="81" t="s">
        <v>3488</v>
      </c>
      <c r="H571" s="81">
        <v>5</v>
      </c>
      <c r="I571" s="78">
        <v>1</v>
      </c>
      <c r="J571" s="83" t="s">
        <v>3489</v>
      </c>
      <c r="K571" s="83" t="s">
        <v>3490</v>
      </c>
      <c r="L571" s="83" t="s">
        <v>3491</v>
      </c>
      <c r="M571" s="83" t="s">
        <v>3492</v>
      </c>
      <c r="N571" s="1"/>
      <c r="O571" s="46" t="str">
        <f t="shared" si="18"/>
        <v>A. A. If the radio uses batteries</v>
      </c>
      <c r="P571" s="1"/>
      <c r="Q571" s="1"/>
    </row>
    <row r="572" spans="1:18" s="43" customFormat="1" ht="15" customHeight="1" x14ac:dyDescent="0.25">
      <c r="A572" s="79"/>
      <c r="B572" s="79"/>
      <c r="C572" s="79"/>
      <c r="D572" s="79"/>
      <c r="E572" s="81">
        <v>9</v>
      </c>
      <c r="F572" s="79" t="s">
        <v>3657</v>
      </c>
      <c r="G572" s="81" t="s">
        <v>3493</v>
      </c>
      <c r="H572" s="81">
        <v>5</v>
      </c>
      <c r="I572" s="78">
        <v>1</v>
      </c>
      <c r="J572" s="83" t="s">
        <v>3494</v>
      </c>
      <c r="K572" s="83" t="s">
        <v>3495</v>
      </c>
      <c r="L572" s="83" t="s">
        <v>3496</v>
      </c>
      <c r="M572" s="83" t="s">
        <v>3497</v>
      </c>
      <c r="N572" s="1"/>
      <c r="O572" s="46" t="str">
        <f t="shared" si="18"/>
        <v>A. A. They will have to take a credit card to the U.S.A</v>
      </c>
      <c r="P572" s="1"/>
      <c r="Q572" s="1"/>
    </row>
    <row r="573" spans="1:18" s="43" customFormat="1" ht="15" customHeight="1" x14ac:dyDescent="0.25">
      <c r="A573" s="79"/>
      <c r="B573" s="79"/>
      <c r="C573" s="79"/>
      <c r="D573" s="79"/>
      <c r="E573" s="81">
        <v>10</v>
      </c>
      <c r="F573" s="79" t="s">
        <v>3658</v>
      </c>
      <c r="G573" s="81" t="s">
        <v>3498</v>
      </c>
      <c r="H573" s="81">
        <v>5</v>
      </c>
      <c r="I573" s="78">
        <v>1</v>
      </c>
      <c r="J573" s="83" t="s">
        <v>3499</v>
      </c>
      <c r="K573" s="83" t="s">
        <v>3500</v>
      </c>
      <c r="L573" s="83" t="s">
        <v>3501</v>
      </c>
      <c r="M573" s="83" t="s">
        <v>3502</v>
      </c>
      <c r="N573" s="1"/>
      <c r="O573" s="46" t="str">
        <f t="shared" si="18"/>
        <v>A. A.  She can't borrow the manual until he finishes with it</v>
      </c>
      <c r="P573" s="1"/>
      <c r="Q573" s="1"/>
    </row>
    <row r="574" spans="1:18" s="43" customFormat="1" ht="15" customHeight="1" x14ac:dyDescent="0.25">
      <c r="A574" s="79"/>
      <c r="B574" s="79"/>
      <c r="C574" s="79"/>
      <c r="D574" s="79"/>
      <c r="E574" s="81">
        <v>11</v>
      </c>
      <c r="F574" s="79" t="s">
        <v>3659</v>
      </c>
      <c r="G574" s="81" t="s">
        <v>3503</v>
      </c>
      <c r="H574" s="81">
        <v>5</v>
      </c>
      <c r="I574" s="78">
        <v>1</v>
      </c>
      <c r="J574" s="83" t="s">
        <v>3504</v>
      </c>
      <c r="K574" s="83" t="s">
        <v>3505</v>
      </c>
      <c r="L574" s="83" t="s">
        <v>3506</v>
      </c>
      <c r="M574" s="83" t="s">
        <v>3507</v>
      </c>
      <c r="N574" s="1"/>
      <c r="O574" s="46" t="str">
        <f t="shared" si="18"/>
        <v>A. A. It turned out to be a big money earner</v>
      </c>
      <c r="P574" s="1"/>
      <c r="Q574" s="1"/>
    </row>
    <row r="575" spans="1:18" s="43" customFormat="1" ht="15" customHeight="1" x14ac:dyDescent="0.25">
      <c r="A575" s="79"/>
      <c r="B575" s="79"/>
      <c r="C575" s="79"/>
      <c r="D575" s="79"/>
      <c r="E575" s="81">
        <v>12</v>
      </c>
      <c r="F575" s="79" t="s">
        <v>3759</v>
      </c>
      <c r="G575" s="81" t="s">
        <v>3508</v>
      </c>
      <c r="H575" s="81">
        <v>5</v>
      </c>
      <c r="I575" s="78">
        <v>1</v>
      </c>
      <c r="J575" s="83" t="s">
        <v>3509</v>
      </c>
      <c r="K575" s="83" t="s">
        <v>3510</v>
      </c>
      <c r="L575" s="83" t="s">
        <v>3511</v>
      </c>
      <c r="M575" s="83" t="s">
        <v>3512</v>
      </c>
      <c r="N575" s="1"/>
      <c r="O575" s="46" t="str">
        <f t="shared" si="18"/>
        <v xml:space="preserve">A. A. It dismissed two people </v>
      </c>
      <c r="P575" s="1"/>
      <c r="Q575" s="1"/>
    </row>
    <row r="576" spans="1:18" s="43" customFormat="1" ht="15" customHeight="1" x14ac:dyDescent="0.25">
      <c r="A576" s="79"/>
      <c r="B576" s="79"/>
      <c r="C576" s="79"/>
      <c r="D576" s="79"/>
      <c r="E576" s="81">
        <v>13</v>
      </c>
      <c r="F576" s="79" t="s">
        <v>3753</v>
      </c>
      <c r="G576" s="81" t="s">
        <v>3513</v>
      </c>
      <c r="H576" s="81">
        <v>5</v>
      </c>
      <c r="I576" s="78">
        <v>1</v>
      </c>
      <c r="J576" s="83" t="s">
        <v>3514</v>
      </c>
      <c r="K576" s="83" t="s">
        <v>3515</v>
      </c>
      <c r="L576" s="83" t="s">
        <v>3516</v>
      </c>
      <c r="M576" s="83" t="s">
        <v>3517</v>
      </c>
      <c r="N576" s="1"/>
      <c r="O576" s="46" t="str">
        <f t="shared" si="18"/>
        <v>A. A. All  indigenous groups are opposed to it</v>
      </c>
      <c r="P576" s="1"/>
      <c r="Q576" s="1"/>
    </row>
    <row r="577" spans="1:17" s="43" customFormat="1" ht="15" customHeight="1" x14ac:dyDescent="0.25">
      <c r="A577" s="79"/>
      <c r="B577" s="79"/>
      <c r="C577" s="79"/>
      <c r="D577" s="79"/>
      <c r="E577" s="81">
        <v>14</v>
      </c>
      <c r="F577" s="79" t="s">
        <v>3660</v>
      </c>
      <c r="G577" s="81" t="s">
        <v>3518</v>
      </c>
      <c r="H577" s="81">
        <v>5</v>
      </c>
      <c r="I577" s="78">
        <v>1</v>
      </c>
      <c r="J577" s="83" t="s">
        <v>3519</v>
      </c>
      <c r="K577" s="83" t="s">
        <v>3520</v>
      </c>
      <c r="L577" s="83" t="s">
        <v>3521</v>
      </c>
      <c r="M577" s="83" t="s">
        <v>3522</v>
      </c>
      <c r="N577" s="1"/>
      <c r="O577" s="46" t="str">
        <f t="shared" si="18"/>
        <v>A. A. The history girls are fashion models</v>
      </c>
      <c r="P577" s="1"/>
      <c r="Q577" s="1"/>
    </row>
    <row r="578" spans="1:17" s="43" customFormat="1" ht="15" customHeight="1" x14ac:dyDescent="0.25">
      <c r="A578" s="79"/>
      <c r="B578" s="79"/>
      <c r="C578" s="79"/>
      <c r="D578" s="79"/>
      <c r="E578" s="81">
        <v>15</v>
      </c>
      <c r="F578" s="79" t="s">
        <v>3661</v>
      </c>
      <c r="G578" s="81" t="s">
        <v>3523</v>
      </c>
      <c r="H578" s="81">
        <v>5</v>
      </c>
      <c r="I578" s="78">
        <v>1</v>
      </c>
      <c r="J578" s="83" t="s">
        <v>3524</v>
      </c>
      <c r="K578" s="83" t="s">
        <v>3525</v>
      </c>
      <c r="L578" s="83" t="s">
        <v>3526</v>
      </c>
      <c r="M578" s="83" t="s">
        <v>3527</v>
      </c>
      <c r="N578" s="1"/>
      <c r="O578" s="46" t="str">
        <f t="shared" si="18"/>
        <v>A. A. They think she will set a new record</v>
      </c>
      <c r="P578" s="1"/>
      <c r="Q578" s="1"/>
    </row>
    <row r="579" spans="1:17" s="43" customFormat="1" ht="15" customHeight="1" x14ac:dyDescent="0.25">
      <c r="A579" s="79"/>
      <c r="B579" s="79"/>
      <c r="C579" s="79"/>
      <c r="D579" s="79"/>
      <c r="E579" s="81">
        <v>16</v>
      </c>
      <c r="F579" s="79" t="s">
        <v>3662</v>
      </c>
      <c r="G579" s="81" t="s">
        <v>3528</v>
      </c>
      <c r="H579" s="81">
        <v>5</v>
      </c>
      <c r="I579" s="78">
        <v>1</v>
      </c>
      <c r="J579" s="83" t="s">
        <v>3529</v>
      </c>
      <c r="K579" s="83" t="s">
        <v>3530</v>
      </c>
      <c r="L579" s="83" t="s">
        <v>3531</v>
      </c>
      <c r="M579" s="83" t="s">
        <v>3532</v>
      </c>
      <c r="N579" s="1"/>
      <c r="O579" s="46" t="str">
        <f t="shared" si="18"/>
        <v>A. A. They contacted the families of the survivors immediately</v>
      </c>
      <c r="P579" s="1"/>
      <c r="Q579" s="1"/>
    </row>
    <row r="580" spans="1:17" s="43" customFormat="1" ht="15" customHeight="1" x14ac:dyDescent="0.25">
      <c r="A580" s="79"/>
      <c r="B580" s="79"/>
      <c r="C580" s="79"/>
      <c r="D580" s="79"/>
      <c r="E580" s="81">
        <v>17</v>
      </c>
      <c r="F580" s="79" t="s">
        <v>3757</v>
      </c>
      <c r="G580" s="81" t="s">
        <v>3533</v>
      </c>
      <c r="H580" s="81">
        <v>5</v>
      </c>
      <c r="I580" s="78">
        <v>1</v>
      </c>
      <c r="J580" s="83" t="s">
        <v>3534</v>
      </c>
      <c r="K580" s="83" t="s">
        <v>3535</v>
      </c>
      <c r="L580" s="83" t="s">
        <v>3536</v>
      </c>
      <c r="M580" s="83" t="s">
        <v>3537</v>
      </c>
      <c r="N580" s="1"/>
      <c r="O580" s="46" t="str">
        <f t="shared" si="18"/>
        <v>A. A.   He had been advised to marry his cousin</v>
      </c>
      <c r="P580" s="1"/>
      <c r="Q580" s="1"/>
    </row>
    <row r="581" spans="1:17" s="43" customFormat="1" ht="15" customHeight="1" x14ac:dyDescent="0.25">
      <c r="A581" s="79"/>
      <c r="B581" s="79"/>
      <c r="C581" s="79"/>
      <c r="D581" s="79"/>
      <c r="E581" s="81">
        <v>18</v>
      </c>
      <c r="F581" s="79" t="s">
        <v>3663</v>
      </c>
      <c r="G581" s="81" t="s">
        <v>3538</v>
      </c>
      <c r="H581" s="81">
        <v>5</v>
      </c>
      <c r="I581" s="78">
        <v>1</v>
      </c>
      <c r="J581" s="83" t="s">
        <v>3539</v>
      </c>
      <c r="K581" s="83" t="s">
        <v>3540</v>
      </c>
      <c r="L581" s="83" t="s">
        <v>3541</v>
      </c>
      <c r="M581" s="83" t="s">
        <v>3542</v>
      </c>
      <c r="N581" s="1"/>
      <c r="O581" s="46" t="str">
        <f t="shared" si="18"/>
        <v>A. A. They are psychologically different to other people</v>
      </c>
      <c r="P581" s="1"/>
      <c r="Q581" s="1"/>
    </row>
    <row r="582" spans="1:17" s="43" customFormat="1" ht="15" customHeight="1" x14ac:dyDescent="0.25">
      <c r="A582" s="79"/>
      <c r="B582" s="79"/>
      <c r="C582" s="79"/>
      <c r="D582" s="79"/>
      <c r="E582" s="81">
        <v>19</v>
      </c>
      <c r="F582" s="79" t="s">
        <v>3750</v>
      </c>
      <c r="G582" s="81" t="s">
        <v>3543</v>
      </c>
      <c r="H582" s="81">
        <v>5</v>
      </c>
      <c r="I582" s="78">
        <v>1</v>
      </c>
      <c r="J582" s="83" t="s">
        <v>3544</v>
      </c>
      <c r="K582" s="83" t="s">
        <v>3545</v>
      </c>
      <c r="L582" s="83" t="s">
        <v>3546</v>
      </c>
      <c r="M582" s="83" t="s">
        <v>3547</v>
      </c>
      <c r="N582" s="1"/>
      <c r="O582" s="46" t="str">
        <f t="shared" si="18"/>
        <v>A. A. Khodorkovsky is still the richest man in Russia</v>
      </c>
      <c r="P582" s="1"/>
      <c r="Q582" s="1"/>
    </row>
    <row r="583" spans="1:17" s="43" customFormat="1" ht="15" customHeight="1" x14ac:dyDescent="0.25">
      <c r="A583" s="79"/>
      <c r="B583" s="79"/>
      <c r="C583" s="79"/>
      <c r="D583" s="79"/>
      <c r="E583" s="81">
        <v>20</v>
      </c>
      <c r="F583" s="79" t="s">
        <v>3664</v>
      </c>
      <c r="G583" s="81" t="s">
        <v>3548</v>
      </c>
      <c r="H583" s="81">
        <v>5</v>
      </c>
      <c r="I583" s="78">
        <v>1</v>
      </c>
      <c r="J583" s="83" t="s">
        <v>3549</v>
      </c>
      <c r="K583" s="83" t="s">
        <v>3550</v>
      </c>
      <c r="L583" s="83" t="s">
        <v>3551</v>
      </c>
      <c r="M583" s="83" t="s">
        <v>3552</v>
      </c>
      <c r="N583" s="1"/>
      <c r="O583" s="46" t="str">
        <f t="shared" si="18"/>
        <v>A. A. Americans insist on having public tap water</v>
      </c>
      <c r="P583" s="1"/>
      <c r="Q583" s="1"/>
    </row>
    <row r="584" spans="1:17" s="43" customFormat="1" ht="15" customHeight="1" x14ac:dyDescent="0.25">
      <c r="A584" s="79"/>
      <c r="B584" s="79"/>
      <c r="C584" s="79"/>
      <c r="D584" s="79"/>
      <c r="E584" s="81">
        <v>21</v>
      </c>
      <c r="F584" s="79" t="s">
        <v>3754</v>
      </c>
      <c r="G584" s="81" t="s">
        <v>3553</v>
      </c>
      <c r="H584" s="81">
        <v>5</v>
      </c>
      <c r="I584" s="78">
        <v>1</v>
      </c>
      <c r="J584" s="83" t="s">
        <v>3554</v>
      </c>
      <c r="K584" s="83" t="s">
        <v>3555</v>
      </c>
      <c r="L584" s="83" t="s">
        <v>3556</v>
      </c>
      <c r="M584" s="83" t="s">
        <v>3557</v>
      </c>
      <c r="N584" s="1"/>
      <c r="O584" s="46" t="str">
        <f t="shared" si="18"/>
        <v>A. A. Two sets of twins met in a hotel</v>
      </c>
      <c r="P584" s="1"/>
      <c r="Q584" s="1"/>
    </row>
    <row r="585" spans="1:17" s="43" customFormat="1" ht="15" customHeight="1" x14ac:dyDescent="0.25">
      <c r="A585" s="79"/>
      <c r="B585" s="79"/>
      <c r="C585" s="79"/>
      <c r="D585" s="79"/>
      <c r="E585" s="81">
        <v>22</v>
      </c>
      <c r="F585" s="79" t="s">
        <v>3665</v>
      </c>
      <c r="G585" s="81" t="s">
        <v>3558</v>
      </c>
      <c r="H585" s="81">
        <v>5</v>
      </c>
      <c r="I585" s="78">
        <v>1</v>
      </c>
      <c r="J585" s="83" t="s">
        <v>3559</v>
      </c>
      <c r="K585" s="83" t="s">
        <v>3560</v>
      </c>
      <c r="L585" s="83" t="s">
        <v>3561</v>
      </c>
      <c r="M585" s="83" t="s">
        <v>3562</v>
      </c>
      <c r="N585" s="1"/>
      <c r="O585" s="46" t="str">
        <f t="shared" si="18"/>
        <v>A. A. She does not like to be photographed</v>
      </c>
      <c r="P585" s="1"/>
      <c r="Q585" s="1"/>
    </row>
    <row r="586" spans="1:17" s="43" customFormat="1" ht="15" customHeight="1" x14ac:dyDescent="0.25">
      <c r="A586" s="79"/>
      <c r="B586" s="79"/>
      <c r="C586" s="79"/>
      <c r="D586" s="79"/>
      <c r="E586" s="81">
        <v>23</v>
      </c>
      <c r="F586" s="79" t="s">
        <v>3666</v>
      </c>
      <c r="G586" s="81" t="s">
        <v>3563</v>
      </c>
      <c r="H586" s="81">
        <v>5</v>
      </c>
      <c r="I586" s="78">
        <v>1</v>
      </c>
      <c r="J586" s="83" t="s">
        <v>3564</v>
      </c>
      <c r="K586" s="83" t="s">
        <v>3565</v>
      </c>
      <c r="L586" s="83" t="s">
        <v>3566</v>
      </c>
      <c r="M586" s="83" t="s">
        <v>3567</v>
      </c>
      <c r="N586" s="1"/>
      <c r="O586" s="46" t="str">
        <f t="shared" si="18"/>
        <v>A. A. Seniesa started to fight a couple of years ago</v>
      </c>
      <c r="P586" s="1"/>
      <c r="Q586" s="1"/>
    </row>
    <row r="587" spans="1:17" s="43" customFormat="1" ht="15" customHeight="1" x14ac:dyDescent="0.25">
      <c r="A587" s="79"/>
      <c r="B587" s="79"/>
      <c r="C587" s="79"/>
      <c r="D587" s="79"/>
      <c r="E587" s="81">
        <v>24</v>
      </c>
      <c r="F587" s="79" t="s">
        <v>3667</v>
      </c>
      <c r="G587" s="81" t="s">
        <v>3568</v>
      </c>
      <c r="H587" s="81">
        <v>5</v>
      </c>
      <c r="I587" s="78">
        <v>1</v>
      </c>
      <c r="J587" s="83" t="s">
        <v>3569</v>
      </c>
      <c r="K587" s="83" t="s">
        <v>3570</v>
      </c>
      <c r="L587" s="83" t="s">
        <v>3571</v>
      </c>
      <c r="M587" s="83" t="s">
        <v>3572</v>
      </c>
      <c r="N587" s="1"/>
      <c r="O587" s="46" t="str">
        <f t="shared" si="18"/>
        <v>A. A. Brain abnormalities are common among adolescents</v>
      </c>
      <c r="P587" s="1"/>
      <c r="Q587" s="1"/>
    </row>
    <row r="588" spans="1:17" s="43" customFormat="1" ht="15" customHeight="1" x14ac:dyDescent="0.25">
      <c r="A588" s="79"/>
      <c r="B588" s="79"/>
      <c r="C588" s="79"/>
      <c r="D588" s="79"/>
      <c r="E588" s="81">
        <v>25</v>
      </c>
      <c r="F588" s="79" t="s">
        <v>3668</v>
      </c>
      <c r="G588" s="81" t="s">
        <v>3573</v>
      </c>
      <c r="H588" s="81">
        <v>5</v>
      </c>
      <c r="I588" s="78">
        <v>1</v>
      </c>
      <c r="J588" s="83" t="s">
        <v>3574</v>
      </c>
      <c r="K588" s="83" t="s">
        <v>3575</v>
      </c>
      <c r="L588" s="83" t="s">
        <v>3576</v>
      </c>
      <c r="M588" s="83" t="s">
        <v>3577</v>
      </c>
      <c r="N588" s="1"/>
      <c r="O588" s="46" t="str">
        <f t="shared" si="18"/>
        <v>A. A. To sell cereal the milk must be fresh</v>
      </c>
      <c r="P588" s="1"/>
      <c r="Q588" s="1"/>
    </row>
    <row r="589" spans="1:17" s="43" customFormat="1" ht="15" customHeight="1" x14ac:dyDescent="0.25">
      <c r="A589" s="79"/>
      <c r="B589" s="79"/>
      <c r="C589" s="79"/>
      <c r="D589" s="79"/>
      <c r="E589" s="81">
        <v>26</v>
      </c>
      <c r="F589" s="79" t="s">
        <v>3669</v>
      </c>
      <c r="G589" s="81" t="s">
        <v>3578</v>
      </c>
      <c r="H589" s="81">
        <v>5</v>
      </c>
      <c r="I589" s="78">
        <v>1</v>
      </c>
      <c r="J589" s="83" t="s">
        <v>3579</v>
      </c>
      <c r="K589" s="83" t="s">
        <v>3580</v>
      </c>
      <c r="L589" s="83" t="s">
        <v>3581</v>
      </c>
      <c r="M589" s="83" t="s">
        <v>3582</v>
      </c>
      <c r="N589" s="1"/>
      <c r="O589" s="46" t="str">
        <f t="shared" si="18"/>
        <v>A. A. The government cannot establish a price for the gas</v>
      </c>
      <c r="P589" s="1"/>
      <c r="Q589" s="1"/>
    </row>
    <row r="590" spans="1:17" s="43" customFormat="1" ht="15" customHeight="1" x14ac:dyDescent="0.25">
      <c r="A590" s="79"/>
      <c r="B590" s="79"/>
      <c r="C590" s="79"/>
      <c r="D590" s="79"/>
      <c r="E590" s="81">
        <v>27</v>
      </c>
      <c r="F590" s="79" t="s">
        <v>3670</v>
      </c>
      <c r="G590" s="81" t="s">
        <v>3583</v>
      </c>
      <c r="H590" s="81">
        <v>5</v>
      </c>
      <c r="I590" s="78">
        <v>1</v>
      </c>
      <c r="J590" s="83" t="s">
        <v>3584</v>
      </c>
      <c r="K590" s="83" t="s">
        <v>3585</v>
      </c>
      <c r="L590" s="83" t="s">
        <v>3586</v>
      </c>
      <c r="M590" s="83" t="s">
        <v>3587</v>
      </c>
      <c r="N590" s="1"/>
      <c r="O590" s="46" t="str">
        <f t="shared" si="18"/>
        <v>A. A. Caesar’s image was calculated to transmit specific qualities</v>
      </c>
      <c r="P590" s="1"/>
      <c r="Q590" s="1"/>
    </row>
    <row r="591" spans="1:17" s="43" customFormat="1" ht="15" customHeight="1" x14ac:dyDescent="0.25">
      <c r="A591" s="79"/>
      <c r="B591" s="79"/>
      <c r="C591" s="79"/>
      <c r="D591" s="79"/>
      <c r="E591" s="81">
        <v>28</v>
      </c>
      <c r="F591" s="79" t="s">
        <v>3671</v>
      </c>
      <c r="G591" s="81" t="s">
        <v>3588</v>
      </c>
      <c r="H591" s="81">
        <v>5</v>
      </c>
      <c r="I591" s="78">
        <v>1</v>
      </c>
      <c r="J591" s="83" t="s">
        <v>3589</v>
      </c>
      <c r="K591" s="83" t="s">
        <v>3590</v>
      </c>
      <c r="L591" s="83" t="s">
        <v>3591</v>
      </c>
      <c r="M591" s="83" t="s">
        <v>3592</v>
      </c>
      <c r="N591" s="1"/>
      <c r="O591" s="46" t="str">
        <f t="shared" si="18"/>
        <v>A. A. Some clients tortured their financial advisor</v>
      </c>
      <c r="P591" s="1"/>
      <c r="Q591" s="1"/>
    </row>
    <row r="592" spans="1:17" s="43" customFormat="1" ht="15" customHeight="1" x14ac:dyDescent="0.25">
      <c r="A592" s="79"/>
      <c r="B592" s="79"/>
      <c r="C592" s="79"/>
      <c r="D592" s="79"/>
      <c r="E592" s="81">
        <v>29</v>
      </c>
      <c r="F592" s="79" t="s">
        <v>3672</v>
      </c>
      <c r="G592" s="81" t="s">
        <v>3593</v>
      </c>
      <c r="H592" s="81">
        <v>5</v>
      </c>
      <c r="I592" s="78">
        <v>1</v>
      </c>
      <c r="J592" s="83" t="s">
        <v>3594</v>
      </c>
      <c r="K592" s="83" t="s">
        <v>3595</v>
      </c>
      <c r="L592" s="83" t="s">
        <v>3596</v>
      </c>
      <c r="M592" s="83" t="s">
        <v>3597</v>
      </c>
      <c r="N592" s="1"/>
      <c r="O592" s="46" t="str">
        <f t="shared" si="18"/>
        <v>A. A. The Andes mountain range is 7,000 miles long</v>
      </c>
      <c r="P592" s="1"/>
      <c r="Q592" s="1"/>
    </row>
    <row r="593" spans="1:17" s="43" customFormat="1" ht="15" customHeight="1" x14ac:dyDescent="0.25">
      <c r="A593" s="79"/>
      <c r="B593" s="79"/>
      <c r="C593" s="79"/>
      <c r="D593" s="79"/>
      <c r="E593" s="81">
        <v>30</v>
      </c>
      <c r="F593" s="79" t="s">
        <v>3673</v>
      </c>
      <c r="G593" s="81" t="s">
        <v>3598</v>
      </c>
      <c r="H593" s="81">
        <v>5</v>
      </c>
      <c r="I593" s="78">
        <v>1</v>
      </c>
      <c r="J593" s="83" t="s">
        <v>3599</v>
      </c>
      <c r="K593" s="83" t="s">
        <v>3600</v>
      </c>
      <c r="L593" s="83" t="s">
        <v>3601</v>
      </c>
      <c r="M593" s="83" t="s">
        <v>3602</v>
      </c>
      <c r="N593" s="1"/>
      <c r="O593" s="46" t="str">
        <f t="shared" si="18"/>
        <v>A. A. Pay-by-phone parking means people save money</v>
      </c>
      <c r="P593" s="1"/>
      <c r="Q593" s="1"/>
    </row>
    <row r="594" spans="1:17" s="43" customFormat="1" ht="15" customHeight="1" x14ac:dyDescent="0.25">
      <c r="A594" s="79"/>
      <c r="B594" s="79"/>
      <c r="C594" s="79"/>
      <c r="D594" s="79"/>
      <c r="E594" s="81">
        <v>31</v>
      </c>
      <c r="F594" s="79" t="s">
        <v>3674</v>
      </c>
      <c r="G594" s="81" t="s">
        <v>3603</v>
      </c>
      <c r="H594" s="81">
        <v>5</v>
      </c>
      <c r="I594" s="78">
        <v>1</v>
      </c>
      <c r="J594" s="83" t="s">
        <v>3604</v>
      </c>
      <c r="K594" s="83" t="s">
        <v>3605</v>
      </c>
      <c r="L594" s="83" t="s">
        <v>3606</v>
      </c>
      <c r="M594" s="83" t="s">
        <v>3607</v>
      </c>
      <c r="N594" s="1"/>
      <c r="O594" s="1"/>
      <c r="P594" s="1"/>
      <c r="Q594" s="1"/>
    </row>
    <row r="595" spans="1:17" s="43" customFormat="1" ht="15" customHeight="1" x14ac:dyDescent="0.25">
      <c r="A595" s="79"/>
      <c r="B595" s="79"/>
      <c r="C595" s="79"/>
      <c r="D595" s="79"/>
      <c r="E595" s="81">
        <v>32</v>
      </c>
      <c r="F595" s="79" t="s">
        <v>3675</v>
      </c>
      <c r="G595" s="81" t="s">
        <v>3608</v>
      </c>
      <c r="H595" s="81">
        <v>5</v>
      </c>
      <c r="I595" s="78">
        <v>1</v>
      </c>
      <c r="J595" s="83" t="s">
        <v>3609</v>
      </c>
      <c r="K595" s="83" t="s">
        <v>3610</v>
      </c>
      <c r="L595" s="83" t="s">
        <v>3611</v>
      </c>
      <c r="M595" s="83" t="s">
        <v>3612</v>
      </c>
      <c r="N595" s="1"/>
      <c r="O595" s="1"/>
      <c r="P595" s="1"/>
      <c r="Q595" s="1"/>
    </row>
    <row r="596" spans="1:17" s="43" customFormat="1" ht="15" customHeight="1" x14ac:dyDescent="0.25">
      <c r="A596" s="79"/>
      <c r="B596" s="79"/>
      <c r="C596" s="79"/>
      <c r="D596" s="79"/>
      <c r="E596" s="81">
        <v>33</v>
      </c>
      <c r="F596" s="79" t="s">
        <v>3676</v>
      </c>
      <c r="G596" s="81" t="s">
        <v>3613</v>
      </c>
      <c r="H596" s="81">
        <v>5</v>
      </c>
      <c r="I596" s="78">
        <v>1</v>
      </c>
      <c r="J596" s="83" t="s">
        <v>3614</v>
      </c>
      <c r="K596" s="83" t="s">
        <v>3615</v>
      </c>
      <c r="L596" s="83" t="s">
        <v>3616</v>
      </c>
      <c r="M596" s="83" t="s">
        <v>3617</v>
      </c>
      <c r="N596" s="1"/>
      <c r="O596" s="1"/>
      <c r="P596" s="1"/>
      <c r="Q596" s="1"/>
    </row>
    <row r="597" spans="1:17" s="43" customFormat="1" ht="15" customHeight="1" x14ac:dyDescent="0.25">
      <c r="A597" s="79"/>
      <c r="B597" s="79"/>
      <c r="C597" s="79"/>
      <c r="D597" s="79"/>
      <c r="E597" s="81">
        <v>34</v>
      </c>
      <c r="F597" s="79" t="s">
        <v>3677</v>
      </c>
      <c r="G597" s="81" t="s">
        <v>3618</v>
      </c>
      <c r="H597" s="81">
        <v>5</v>
      </c>
      <c r="I597" s="78">
        <v>1</v>
      </c>
      <c r="J597" s="83" t="s">
        <v>3619</v>
      </c>
      <c r="K597" s="83" t="s">
        <v>3620</v>
      </c>
      <c r="L597" s="83" t="s">
        <v>3621</v>
      </c>
      <c r="M597" s="83" t="s">
        <v>3622</v>
      </c>
      <c r="N597" s="1"/>
      <c r="O597" s="1"/>
      <c r="P597" s="1"/>
      <c r="Q597" s="1"/>
    </row>
    <row r="598" spans="1:17" s="43" customFormat="1" ht="15" customHeight="1" x14ac:dyDescent="0.25">
      <c r="A598" s="79"/>
      <c r="B598" s="79"/>
      <c r="C598" s="79"/>
      <c r="D598" s="79"/>
      <c r="E598" s="81">
        <v>35</v>
      </c>
      <c r="F598" s="79" t="s">
        <v>3678</v>
      </c>
      <c r="G598" s="81" t="s">
        <v>3623</v>
      </c>
      <c r="H598" s="81">
        <v>5</v>
      </c>
      <c r="I598" s="78">
        <v>1</v>
      </c>
      <c r="J598" s="83" t="s">
        <v>3624</v>
      </c>
      <c r="K598" s="83" t="s">
        <v>3625</v>
      </c>
      <c r="L598" s="83" t="s">
        <v>3626</v>
      </c>
      <c r="M598" s="83" t="s">
        <v>3627</v>
      </c>
      <c r="N598" s="1"/>
      <c r="O598" s="1"/>
      <c r="P598" s="1"/>
      <c r="Q598" s="1"/>
    </row>
    <row r="599" spans="1:17" s="43" customFormat="1" ht="15" customHeight="1" x14ac:dyDescent="0.25">
      <c r="A599" s="79"/>
      <c r="B599" s="79"/>
      <c r="C599" s="79"/>
      <c r="D599" s="79"/>
      <c r="E599" s="81">
        <v>36</v>
      </c>
      <c r="F599" s="79" t="s">
        <v>3679</v>
      </c>
      <c r="G599" s="81" t="s">
        <v>3628</v>
      </c>
      <c r="H599" s="81">
        <v>5</v>
      </c>
      <c r="I599" s="78">
        <v>1</v>
      </c>
      <c r="J599" s="83" t="s">
        <v>3629</v>
      </c>
      <c r="K599" s="83" t="s">
        <v>3630</v>
      </c>
      <c r="L599" s="83" t="s">
        <v>3631</v>
      </c>
      <c r="M599" s="83" t="s">
        <v>3632</v>
      </c>
      <c r="N599" s="1"/>
      <c r="O599" s="1"/>
      <c r="P599" s="1"/>
      <c r="Q599" s="1"/>
    </row>
    <row r="600" spans="1:17" s="43" customFormat="1" ht="15" customHeight="1" x14ac:dyDescent="0.25">
      <c r="A600" s="79"/>
      <c r="B600" s="79"/>
      <c r="C600" s="79"/>
      <c r="D600" s="79"/>
      <c r="E600" s="81">
        <v>37</v>
      </c>
      <c r="F600" s="79" t="s">
        <v>3680</v>
      </c>
      <c r="G600" s="81" t="s">
        <v>3633</v>
      </c>
      <c r="H600" s="81">
        <v>5</v>
      </c>
      <c r="I600" s="78">
        <v>1</v>
      </c>
      <c r="J600" s="83" t="s">
        <v>3634</v>
      </c>
      <c r="K600" s="83" t="s">
        <v>3635</v>
      </c>
      <c r="L600" s="83" t="s">
        <v>3636</v>
      </c>
      <c r="M600" s="83" t="s">
        <v>3637</v>
      </c>
      <c r="N600" s="1"/>
      <c r="O600" s="1"/>
      <c r="P600" s="1"/>
      <c r="Q600" s="1"/>
    </row>
    <row r="601" spans="1:17" s="43" customFormat="1" ht="15" customHeight="1" x14ac:dyDescent="0.25">
      <c r="A601" s="79"/>
      <c r="B601" s="79"/>
      <c r="C601" s="79"/>
      <c r="D601" s="79"/>
      <c r="E601" s="81">
        <v>38</v>
      </c>
      <c r="F601" s="79" t="s">
        <v>3681</v>
      </c>
      <c r="G601" s="81" t="s">
        <v>3638</v>
      </c>
      <c r="H601" s="81">
        <v>5</v>
      </c>
      <c r="I601" s="78">
        <v>1</v>
      </c>
      <c r="J601" s="83" t="s">
        <v>3639</v>
      </c>
      <c r="K601" s="83" t="s">
        <v>3640</v>
      </c>
      <c r="L601" s="83" t="s">
        <v>3641</v>
      </c>
      <c r="M601" s="83" t="s">
        <v>3642</v>
      </c>
      <c r="N601" s="1"/>
      <c r="O601" s="1"/>
      <c r="P601" s="1"/>
      <c r="Q601" s="1"/>
    </row>
    <row r="602" spans="1:17" s="43" customFormat="1" ht="15" customHeight="1" x14ac:dyDescent="0.25">
      <c r="A602" s="79"/>
      <c r="B602" s="79"/>
      <c r="C602" s="79"/>
      <c r="D602" s="79"/>
      <c r="E602" s="81">
        <v>39</v>
      </c>
      <c r="F602" s="79" t="s">
        <v>3682</v>
      </c>
      <c r="G602" s="81" t="s">
        <v>3643</v>
      </c>
      <c r="H602" s="81">
        <v>5</v>
      </c>
      <c r="I602" s="78">
        <v>1</v>
      </c>
      <c r="J602" s="83" t="s">
        <v>3644</v>
      </c>
      <c r="K602" s="83" t="s">
        <v>3645</v>
      </c>
      <c r="L602" s="83" t="s">
        <v>3646</v>
      </c>
      <c r="M602" s="83" t="s">
        <v>3647</v>
      </c>
      <c r="N602" s="1"/>
      <c r="O602" s="1"/>
      <c r="P602" s="1"/>
      <c r="Q602" s="1"/>
    </row>
    <row r="603" spans="1:17" s="43" customFormat="1" ht="15" customHeight="1" x14ac:dyDescent="0.25">
      <c r="A603" s="79"/>
      <c r="B603" s="79"/>
      <c r="C603" s="79"/>
      <c r="D603" s="79"/>
      <c r="E603" s="81">
        <v>40</v>
      </c>
      <c r="F603" s="79" t="s">
        <v>3683</v>
      </c>
      <c r="G603" s="81" t="s">
        <v>3648</v>
      </c>
      <c r="H603" s="81">
        <v>5</v>
      </c>
      <c r="I603" s="78">
        <v>1</v>
      </c>
      <c r="J603" s="83" t="s">
        <v>3649</v>
      </c>
      <c r="K603" s="83" t="s">
        <v>3650</v>
      </c>
      <c r="L603" s="83" t="s">
        <v>3651</v>
      </c>
      <c r="M603" s="83" t="s">
        <v>3652</v>
      </c>
      <c r="N603" s="1"/>
      <c r="O603" s="1"/>
      <c r="P603" s="1"/>
      <c r="Q603" s="1"/>
    </row>
    <row r="604" spans="1:17" s="43" customFormat="1" ht="15" customHeight="1" x14ac:dyDescent="0.25">
      <c r="A604" s="89"/>
      <c r="B604" s="89"/>
      <c r="C604" s="79"/>
      <c r="D604" s="79"/>
      <c r="E604" s="81"/>
      <c r="F604" s="79"/>
      <c r="G604" s="81"/>
      <c r="H604" s="81"/>
      <c r="I604" s="78"/>
      <c r="J604" s="89"/>
      <c r="K604" s="89"/>
      <c r="L604" s="89"/>
      <c r="M604" s="89"/>
      <c r="N604" s="1"/>
      <c r="O604" s="1"/>
      <c r="P604" s="1"/>
      <c r="Q604" s="1"/>
    </row>
    <row r="605" spans="1:17" ht="15" customHeight="1" x14ac:dyDescent="0.25">
      <c r="A605" s="27"/>
      <c r="B605" s="68"/>
      <c r="C605" s="14">
        <v>100</v>
      </c>
      <c r="D605" s="14" t="s">
        <v>2655</v>
      </c>
      <c r="E605" s="14">
        <v>1</v>
      </c>
      <c r="F605" s="14" t="s">
        <v>675</v>
      </c>
      <c r="G605" s="14" t="s">
        <v>2656</v>
      </c>
      <c r="H605" s="14">
        <v>0</v>
      </c>
      <c r="I605" s="14">
        <v>18</v>
      </c>
    </row>
    <row r="606" spans="1:17" ht="15" customHeight="1" x14ac:dyDescent="0.25">
      <c r="A606" s="27"/>
      <c r="B606" s="68"/>
      <c r="C606" s="14"/>
      <c r="D606" s="14" t="s">
        <v>4796</v>
      </c>
      <c r="E606" s="14">
        <v>2</v>
      </c>
      <c r="F606" s="14" t="s">
        <v>676</v>
      </c>
      <c r="G606" s="14" t="s">
        <v>2657</v>
      </c>
      <c r="H606" s="14">
        <v>0</v>
      </c>
      <c r="I606" s="14">
        <v>18</v>
      </c>
    </row>
    <row r="607" spans="1:17" ht="15" customHeight="1" x14ac:dyDescent="0.25">
      <c r="A607" s="27"/>
      <c r="B607" s="68"/>
      <c r="C607" s="14"/>
      <c r="D607" s="14" t="s">
        <v>16</v>
      </c>
      <c r="E607" s="14">
        <v>3</v>
      </c>
      <c r="F607" s="14" t="s">
        <v>677</v>
      </c>
      <c r="G607" s="14" t="s">
        <v>2658</v>
      </c>
      <c r="H607" s="14">
        <v>0</v>
      </c>
      <c r="I607" s="14">
        <v>18</v>
      </c>
    </row>
    <row r="608" spans="1:17" ht="15" customHeight="1" x14ac:dyDescent="0.25">
      <c r="A608" s="27"/>
      <c r="B608" s="68"/>
      <c r="C608" s="14"/>
      <c r="D608" s="14"/>
      <c r="E608" s="14">
        <v>4</v>
      </c>
      <c r="F608" s="14" t="s">
        <v>678</v>
      </c>
      <c r="G608" s="14" t="s">
        <v>2659</v>
      </c>
      <c r="H608" s="14">
        <v>0</v>
      </c>
      <c r="I608" s="14">
        <v>18</v>
      </c>
    </row>
    <row r="609" spans="1:9" ht="15" customHeight="1" x14ac:dyDescent="0.25">
      <c r="A609" s="27"/>
      <c r="B609" s="68"/>
      <c r="C609" s="14"/>
      <c r="D609" s="14"/>
      <c r="E609" s="14">
        <v>5</v>
      </c>
      <c r="F609" s="14" t="s">
        <v>679</v>
      </c>
      <c r="G609" s="14" t="s">
        <v>2660</v>
      </c>
      <c r="H609" s="14">
        <v>0</v>
      </c>
      <c r="I609" s="14">
        <v>18</v>
      </c>
    </row>
    <row r="610" spans="1:9" ht="15" customHeight="1" x14ac:dyDescent="0.25">
      <c r="A610" s="27"/>
      <c r="B610" s="68"/>
      <c r="C610" s="14"/>
      <c r="D610" s="14"/>
      <c r="E610" s="14">
        <v>6</v>
      </c>
      <c r="F610" s="14" t="s">
        <v>680</v>
      </c>
      <c r="G610" s="14" t="s">
        <v>2661</v>
      </c>
      <c r="H610" s="14">
        <v>0</v>
      </c>
      <c r="I610" s="14">
        <v>18</v>
      </c>
    </row>
    <row r="611" spans="1:9" ht="15" customHeight="1" x14ac:dyDescent="0.25">
      <c r="A611" s="27"/>
      <c r="B611" s="68"/>
      <c r="C611" s="14"/>
      <c r="D611" s="14"/>
      <c r="E611" s="14">
        <v>7</v>
      </c>
      <c r="F611" s="14" t="s">
        <v>61</v>
      </c>
      <c r="G611" s="14" t="s">
        <v>2662</v>
      </c>
      <c r="H611" s="14">
        <v>0</v>
      </c>
      <c r="I611" s="14">
        <v>18</v>
      </c>
    </row>
    <row r="612" spans="1:9" ht="15" customHeight="1" x14ac:dyDescent="0.25">
      <c r="A612" s="27"/>
      <c r="B612" s="68"/>
      <c r="C612" s="14"/>
      <c r="D612" s="14"/>
      <c r="E612" s="14">
        <v>8</v>
      </c>
      <c r="F612" s="14" t="s">
        <v>62</v>
      </c>
      <c r="G612" s="14" t="s">
        <v>2663</v>
      </c>
      <c r="H612" s="14">
        <v>0</v>
      </c>
      <c r="I612" s="14">
        <v>18</v>
      </c>
    </row>
    <row r="613" spans="1:9" ht="15" customHeight="1" x14ac:dyDescent="0.25">
      <c r="A613" s="27"/>
      <c r="B613" s="68"/>
      <c r="C613" s="14"/>
      <c r="D613" s="14"/>
      <c r="E613" s="14">
        <v>9</v>
      </c>
      <c r="F613" s="14" t="s">
        <v>63</v>
      </c>
      <c r="G613" s="14" t="s">
        <v>2664</v>
      </c>
      <c r="H613" s="14">
        <v>0</v>
      </c>
      <c r="I613" s="14">
        <v>18</v>
      </c>
    </row>
    <row r="614" spans="1:9" ht="15" customHeight="1" x14ac:dyDescent="0.25">
      <c r="A614" s="27"/>
      <c r="B614" s="68"/>
      <c r="C614" s="14"/>
      <c r="D614" s="14"/>
      <c r="E614" s="14">
        <v>10</v>
      </c>
      <c r="F614" s="14" t="s">
        <v>64</v>
      </c>
      <c r="G614" s="14" t="s">
        <v>2665</v>
      </c>
      <c r="H614" s="14">
        <v>0</v>
      </c>
      <c r="I614" s="14">
        <v>18</v>
      </c>
    </row>
    <row r="615" spans="1:9" ht="15" customHeight="1" x14ac:dyDescent="0.25">
      <c r="A615" s="27"/>
      <c r="B615" s="68"/>
      <c r="C615" s="14"/>
      <c r="D615" s="14"/>
      <c r="E615" s="14">
        <v>11</v>
      </c>
      <c r="F615" s="15" t="s">
        <v>65</v>
      </c>
      <c r="G615" s="14" t="s">
        <v>1876</v>
      </c>
      <c r="H615" s="14">
        <v>0</v>
      </c>
      <c r="I615" s="14">
        <v>18</v>
      </c>
    </row>
    <row r="616" spans="1:9" ht="15" customHeight="1" x14ac:dyDescent="0.25">
      <c r="A616" s="27"/>
      <c r="B616" s="68"/>
      <c r="C616" s="14"/>
      <c r="D616" s="14"/>
      <c r="E616" s="14">
        <v>12</v>
      </c>
      <c r="F616" s="15" t="s">
        <v>66</v>
      </c>
      <c r="G616" s="14" t="s">
        <v>1877</v>
      </c>
      <c r="H616" s="14">
        <v>0</v>
      </c>
      <c r="I616" s="14">
        <v>18</v>
      </c>
    </row>
    <row r="617" spans="1:9" ht="15" customHeight="1" x14ac:dyDescent="0.25">
      <c r="A617" s="27"/>
      <c r="B617" s="68"/>
      <c r="C617" s="14"/>
      <c r="D617" s="14"/>
      <c r="E617" s="14">
        <v>13</v>
      </c>
      <c r="F617" s="15" t="s">
        <v>1255</v>
      </c>
      <c r="G617" s="14" t="s">
        <v>1878</v>
      </c>
      <c r="H617" s="14">
        <v>0</v>
      </c>
      <c r="I617" s="14">
        <v>18</v>
      </c>
    </row>
    <row r="618" spans="1:9" ht="15" customHeight="1" x14ac:dyDescent="0.25">
      <c r="A618" s="27"/>
      <c r="B618" s="68"/>
      <c r="C618" s="14"/>
      <c r="D618" s="14"/>
      <c r="E618" s="14">
        <v>14</v>
      </c>
      <c r="F618" s="15" t="s">
        <v>1256</v>
      </c>
      <c r="G618" s="14" t="s">
        <v>1879</v>
      </c>
      <c r="H618" s="14">
        <v>0</v>
      </c>
      <c r="I618" s="14">
        <v>18</v>
      </c>
    </row>
    <row r="619" spans="1:9" ht="15" customHeight="1" x14ac:dyDescent="0.25">
      <c r="A619" s="27"/>
      <c r="B619" s="68"/>
      <c r="C619" s="14"/>
      <c r="D619" s="14"/>
      <c r="E619" s="14">
        <v>15</v>
      </c>
      <c r="F619" s="15" t="s">
        <v>1257</v>
      </c>
      <c r="G619" s="14" t="s">
        <v>1880</v>
      </c>
      <c r="H619" s="14">
        <v>0</v>
      </c>
      <c r="I619" s="14">
        <v>18</v>
      </c>
    </row>
    <row r="620" spans="1:9" ht="15" customHeight="1" x14ac:dyDescent="0.25">
      <c r="A620" s="27"/>
      <c r="B620" s="68"/>
      <c r="C620" s="14"/>
      <c r="D620" s="14"/>
      <c r="E620" s="14">
        <v>16</v>
      </c>
      <c r="F620" s="15" t="s">
        <v>1258</v>
      </c>
      <c r="G620" s="14" t="s">
        <v>1881</v>
      </c>
      <c r="H620" s="14">
        <v>0</v>
      </c>
      <c r="I620" s="14">
        <v>18</v>
      </c>
    </row>
    <row r="621" spans="1:9" ht="15" customHeight="1" x14ac:dyDescent="0.25">
      <c r="A621" s="27"/>
      <c r="B621" s="68"/>
      <c r="C621" s="14"/>
      <c r="D621" s="14"/>
      <c r="E621" s="14">
        <v>17</v>
      </c>
      <c r="F621" s="15" t="s">
        <v>1259</v>
      </c>
      <c r="G621" s="14" t="s">
        <v>1882</v>
      </c>
      <c r="H621" s="14">
        <v>0</v>
      </c>
      <c r="I621" s="14">
        <v>18</v>
      </c>
    </row>
    <row r="622" spans="1:9" ht="15" customHeight="1" x14ac:dyDescent="0.25">
      <c r="A622" s="27"/>
      <c r="B622" s="68"/>
      <c r="C622" s="14"/>
      <c r="D622" s="14"/>
      <c r="E622" s="14">
        <v>18</v>
      </c>
      <c r="F622" s="15" t="s">
        <v>1260</v>
      </c>
      <c r="G622" s="14" t="s">
        <v>1883</v>
      </c>
      <c r="H622" s="14">
        <v>0</v>
      </c>
      <c r="I622" s="14">
        <v>18</v>
      </c>
    </row>
    <row r="623" spans="1:9" ht="15" customHeight="1" x14ac:dyDescent="0.25">
      <c r="A623" s="27"/>
      <c r="B623" s="68"/>
      <c r="C623" s="14"/>
      <c r="D623" s="14"/>
      <c r="E623" s="14">
        <v>19</v>
      </c>
      <c r="F623" s="15" t="s">
        <v>1261</v>
      </c>
      <c r="G623" s="14" t="s">
        <v>1884</v>
      </c>
      <c r="H623" s="14">
        <v>0</v>
      </c>
      <c r="I623" s="14">
        <v>20</v>
      </c>
    </row>
    <row r="624" spans="1:9" ht="15" customHeight="1" x14ac:dyDescent="0.25">
      <c r="A624" s="27"/>
      <c r="B624" s="68"/>
      <c r="C624" s="14"/>
      <c r="D624" s="14"/>
      <c r="E624" s="14">
        <v>20</v>
      </c>
      <c r="F624" s="15" t="s">
        <v>1262</v>
      </c>
      <c r="G624" s="14" t="s">
        <v>1885</v>
      </c>
      <c r="H624" s="14">
        <v>0</v>
      </c>
      <c r="I624" s="14">
        <v>20</v>
      </c>
    </row>
    <row r="625" spans="1:9" ht="15" customHeight="1" x14ac:dyDescent="0.25">
      <c r="A625" s="27"/>
      <c r="B625" s="68"/>
      <c r="C625" s="14"/>
      <c r="D625" s="14"/>
      <c r="E625" s="14">
        <v>21</v>
      </c>
      <c r="F625" s="15" t="s">
        <v>1263</v>
      </c>
      <c r="G625" s="14" t="s">
        <v>1886</v>
      </c>
      <c r="H625" s="14">
        <v>0</v>
      </c>
      <c r="I625" s="14">
        <v>20</v>
      </c>
    </row>
    <row r="626" spans="1:9" ht="15" customHeight="1" x14ac:dyDescent="0.25">
      <c r="A626" s="27"/>
      <c r="B626" s="68"/>
      <c r="C626" s="14"/>
      <c r="D626" s="14"/>
      <c r="E626" s="14">
        <v>22</v>
      </c>
      <c r="F626" s="15" t="s">
        <v>1264</v>
      </c>
      <c r="G626" s="14" t="s">
        <v>1887</v>
      </c>
      <c r="H626" s="14">
        <v>0</v>
      </c>
      <c r="I626" s="14">
        <v>20</v>
      </c>
    </row>
    <row r="627" spans="1:9" ht="15" customHeight="1" x14ac:dyDescent="0.25">
      <c r="A627" s="27"/>
      <c r="B627" s="68"/>
      <c r="C627" s="14"/>
      <c r="D627" s="14"/>
      <c r="E627" s="14">
        <v>23</v>
      </c>
      <c r="F627" s="15" t="s">
        <v>1265</v>
      </c>
      <c r="G627" s="14" t="s">
        <v>1888</v>
      </c>
      <c r="H627" s="14">
        <v>0</v>
      </c>
      <c r="I627" s="14">
        <v>20</v>
      </c>
    </row>
    <row r="628" spans="1:9" ht="15" customHeight="1" x14ac:dyDescent="0.25">
      <c r="A628" s="27"/>
      <c r="B628" s="68"/>
      <c r="C628" s="16"/>
      <c r="D628" s="16"/>
      <c r="E628" s="14">
        <v>24</v>
      </c>
      <c r="F628" s="15" t="s">
        <v>1266</v>
      </c>
      <c r="G628" s="14" t="s">
        <v>1889</v>
      </c>
      <c r="H628" s="14">
        <v>0</v>
      </c>
      <c r="I628" s="14">
        <v>20</v>
      </c>
    </row>
    <row r="629" spans="1:9" ht="15" customHeight="1" x14ac:dyDescent="0.25">
      <c r="A629" s="27"/>
      <c r="B629" s="68"/>
      <c r="C629" s="16"/>
      <c r="D629" s="16"/>
      <c r="E629" s="14">
        <v>25</v>
      </c>
      <c r="F629" s="15" t="s">
        <v>1267</v>
      </c>
      <c r="G629" s="14" t="s">
        <v>1890</v>
      </c>
      <c r="H629" s="14">
        <v>0</v>
      </c>
      <c r="I629" s="14">
        <v>20</v>
      </c>
    </row>
    <row r="630" spans="1:9" ht="15" customHeight="1" x14ac:dyDescent="0.25">
      <c r="A630" s="27"/>
      <c r="B630" s="68"/>
      <c r="C630" s="16"/>
      <c r="D630" s="16"/>
      <c r="E630" s="14">
        <v>26</v>
      </c>
      <c r="F630" s="15" t="s">
        <v>1268</v>
      </c>
      <c r="G630" s="14" t="s">
        <v>1891</v>
      </c>
      <c r="H630" s="14">
        <v>0</v>
      </c>
      <c r="I630" s="14">
        <v>20</v>
      </c>
    </row>
    <row r="631" spans="1:9" ht="15" customHeight="1" x14ac:dyDescent="0.25">
      <c r="A631" s="27"/>
      <c r="B631" s="68"/>
      <c r="C631" s="16"/>
      <c r="D631" s="16"/>
      <c r="E631" s="14">
        <v>27</v>
      </c>
      <c r="F631" s="15" t="s">
        <v>1269</v>
      </c>
      <c r="G631" s="14" t="s">
        <v>1892</v>
      </c>
      <c r="H631" s="14">
        <v>0</v>
      </c>
      <c r="I631" s="14">
        <v>20</v>
      </c>
    </row>
    <row r="632" spans="1:9" ht="15" customHeight="1" x14ac:dyDescent="0.25">
      <c r="A632" s="27"/>
      <c r="B632" s="68"/>
      <c r="C632" s="16"/>
      <c r="D632" s="16"/>
      <c r="E632" s="14">
        <v>28</v>
      </c>
      <c r="F632" s="15" t="s">
        <v>1270</v>
      </c>
      <c r="G632" s="14" t="s">
        <v>1893</v>
      </c>
      <c r="H632" s="14">
        <v>0</v>
      </c>
      <c r="I632" s="14">
        <v>20</v>
      </c>
    </row>
    <row r="633" spans="1:9" ht="15" customHeight="1" x14ac:dyDescent="0.25">
      <c r="A633" s="27"/>
      <c r="B633" s="68"/>
      <c r="C633" s="16"/>
      <c r="D633" s="16"/>
      <c r="E633" s="14">
        <v>29</v>
      </c>
      <c r="F633" s="15" t="s">
        <v>1271</v>
      </c>
      <c r="G633" s="14" t="s">
        <v>1894</v>
      </c>
      <c r="H633" s="14">
        <v>0</v>
      </c>
      <c r="I633" s="14">
        <v>20</v>
      </c>
    </row>
    <row r="634" spans="1:9" ht="15" customHeight="1" x14ac:dyDescent="0.25">
      <c r="A634" s="27"/>
      <c r="B634" s="68"/>
      <c r="C634" s="16"/>
      <c r="D634" s="16"/>
      <c r="E634" s="14">
        <v>30</v>
      </c>
      <c r="F634" s="15" t="s">
        <v>1272</v>
      </c>
      <c r="G634" s="14" t="s">
        <v>1895</v>
      </c>
      <c r="H634" s="14">
        <v>0</v>
      </c>
      <c r="I634" s="14">
        <v>20</v>
      </c>
    </row>
    <row r="635" spans="1:9" x14ac:dyDescent="0.25">
      <c r="A635" s="27"/>
      <c r="B635" s="68"/>
      <c r="C635" s="16"/>
      <c r="D635" s="16"/>
      <c r="E635" s="14">
        <v>31</v>
      </c>
      <c r="F635" s="15" t="s">
        <v>1273</v>
      </c>
      <c r="G635" s="14" t="s">
        <v>1896</v>
      </c>
      <c r="H635" s="14">
        <v>0</v>
      </c>
      <c r="I635" s="14">
        <v>20</v>
      </c>
    </row>
    <row r="636" spans="1:9" x14ac:dyDescent="0.25">
      <c r="A636" s="27"/>
      <c r="B636" s="68"/>
      <c r="C636" s="16"/>
      <c r="D636" s="16"/>
      <c r="E636" s="14">
        <v>32</v>
      </c>
      <c r="F636" s="15" t="s">
        <v>1274</v>
      </c>
      <c r="G636" s="14" t="s">
        <v>1897</v>
      </c>
      <c r="H636" s="14">
        <v>0</v>
      </c>
      <c r="I636" s="14">
        <v>20</v>
      </c>
    </row>
    <row r="637" spans="1:9" x14ac:dyDescent="0.25">
      <c r="A637" s="27"/>
      <c r="B637" s="68"/>
      <c r="C637" s="16"/>
      <c r="D637" s="16"/>
      <c r="E637" s="14">
        <v>33</v>
      </c>
      <c r="F637" s="15" t="s">
        <v>1275</v>
      </c>
      <c r="G637" s="14" t="s">
        <v>1898</v>
      </c>
      <c r="H637" s="14">
        <v>0</v>
      </c>
      <c r="I637" s="14">
        <v>20</v>
      </c>
    </row>
    <row r="638" spans="1:9" x14ac:dyDescent="0.25">
      <c r="A638" s="27"/>
      <c r="B638" s="68"/>
      <c r="C638" s="16"/>
      <c r="D638" s="16"/>
      <c r="E638" s="14">
        <v>34</v>
      </c>
      <c r="F638" s="15" t="s">
        <v>1276</v>
      </c>
      <c r="G638" s="14" t="s">
        <v>1899</v>
      </c>
      <c r="H638" s="14">
        <v>0</v>
      </c>
      <c r="I638" s="14">
        <v>20</v>
      </c>
    </row>
    <row r="639" spans="1:9" x14ac:dyDescent="0.25">
      <c r="A639" s="27"/>
      <c r="B639" s="68"/>
      <c r="C639" s="16"/>
      <c r="D639" s="16"/>
      <c r="E639" s="14">
        <v>35</v>
      </c>
      <c r="F639" s="15" t="s">
        <v>1277</v>
      </c>
      <c r="G639" s="14" t="s">
        <v>1900</v>
      </c>
      <c r="H639" s="14">
        <v>0</v>
      </c>
      <c r="I639" s="14">
        <v>20</v>
      </c>
    </row>
    <row r="640" spans="1:9" x14ac:dyDescent="0.25">
      <c r="A640" s="27"/>
      <c r="B640" s="68"/>
      <c r="C640" s="16"/>
      <c r="D640" s="16"/>
      <c r="E640" s="14">
        <v>36</v>
      </c>
      <c r="F640" s="15" t="s">
        <v>1278</v>
      </c>
      <c r="G640" s="14" t="s">
        <v>1901</v>
      </c>
      <c r="H640" s="14">
        <v>0</v>
      </c>
      <c r="I640" s="14">
        <v>20</v>
      </c>
    </row>
    <row r="641" spans="1:9" x14ac:dyDescent="0.25">
      <c r="A641" s="27"/>
      <c r="B641" s="68"/>
      <c r="C641" s="16"/>
      <c r="D641" s="16"/>
      <c r="E641" s="14">
        <v>37</v>
      </c>
      <c r="F641" s="15" t="s">
        <v>1279</v>
      </c>
      <c r="G641" s="14" t="s">
        <v>1902</v>
      </c>
      <c r="H641" s="14">
        <v>0</v>
      </c>
      <c r="I641" s="14">
        <v>20</v>
      </c>
    </row>
    <row r="642" spans="1:9" x14ac:dyDescent="0.25">
      <c r="A642" s="27"/>
      <c r="B642" s="68"/>
      <c r="C642" s="51"/>
      <c r="D642" s="16"/>
      <c r="E642" s="14">
        <v>38</v>
      </c>
      <c r="F642" s="15" t="s">
        <v>1280</v>
      </c>
      <c r="G642" s="14" t="s">
        <v>1903</v>
      </c>
      <c r="H642" s="14">
        <v>0</v>
      </c>
      <c r="I642" s="14">
        <v>20</v>
      </c>
    </row>
    <row r="643" spans="1:9" x14ac:dyDescent="0.25">
      <c r="A643" s="27"/>
      <c r="B643" s="68"/>
      <c r="C643" s="51"/>
      <c r="D643" s="16"/>
      <c r="E643" s="14">
        <v>39</v>
      </c>
      <c r="F643" s="15" t="s">
        <v>1281</v>
      </c>
      <c r="G643" s="14" t="s">
        <v>1904</v>
      </c>
      <c r="H643" s="14">
        <v>0</v>
      </c>
      <c r="I643" s="14">
        <v>20</v>
      </c>
    </row>
    <row r="644" spans="1:9" x14ac:dyDescent="0.25">
      <c r="A644" s="27"/>
      <c r="B644" s="68"/>
      <c r="C644" s="51"/>
      <c r="D644" s="16"/>
      <c r="E644" s="14">
        <v>40</v>
      </c>
      <c r="F644" s="15" t="s">
        <v>1282</v>
      </c>
      <c r="G644" s="14" t="s">
        <v>1905</v>
      </c>
      <c r="H644" s="14">
        <v>0</v>
      </c>
      <c r="I644" s="14">
        <v>20</v>
      </c>
    </row>
    <row r="645" spans="1:9" x14ac:dyDescent="0.25">
      <c r="A645" s="30"/>
      <c r="B645" s="27"/>
      <c r="C645" s="28">
        <v>101</v>
      </c>
      <c r="D645" s="28" t="s">
        <v>1254</v>
      </c>
      <c r="E645" s="28">
        <v>1</v>
      </c>
      <c r="F645" s="29" t="s">
        <v>675</v>
      </c>
      <c r="G645" s="28" t="s">
        <v>1283</v>
      </c>
      <c r="H645" s="28">
        <v>0</v>
      </c>
      <c r="I645" s="28">
        <v>18</v>
      </c>
    </row>
    <row r="646" spans="1:9" x14ac:dyDescent="0.25">
      <c r="A646" s="30"/>
      <c r="B646" s="27"/>
      <c r="C646" s="28"/>
      <c r="D646" s="28" t="s">
        <v>4796</v>
      </c>
      <c r="E646" s="28">
        <v>2</v>
      </c>
      <c r="F646" s="29" t="s">
        <v>676</v>
      </c>
      <c r="G646" s="28" t="s">
        <v>1284</v>
      </c>
      <c r="H646" s="28">
        <v>0</v>
      </c>
      <c r="I646" s="28">
        <v>18</v>
      </c>
    </row>
    <row r="647" spans="1:9" x14ac:dyDescent="0.25">
      <c r="A647" s="30"/>
      <c r="B647" s="27"/>
      <c r="C647" s="28"/>
      <c r="D647" s="28" t="s">
        <v>16</v>
      </c>
      <c r="E647" s="28">
        <v>3</v>
      </c>
      <c r="F647" s="29" t="s">
        <v>677</v>
      </c>
      <c r="G647" s="28" t="s">
        <v>1285</v>
      </c>
      <c r="H647" s="28">
        <v>0</v>
      </c>
      <c r="I647" s="28">
        <v>18</v>
      </c>
    </row>
    <row r="648" spans="1:9" x14ac:dyDescent="0.25">
      <c r="A648" s="30"/>
      <c r="B648" s="43"/>
      <c r="C648" s="28"/>
      <c r="D648" s="28"/>
      <c r="E648" s="28">
        <v>4</v>
      </c>
      <c r="F648" s="29" t="s">
        <v>678</v>
      </c>
      <c r="G648" s="28" t="s">
        <v>1286</v>
      </c>
      <c r="H648" s="28">
        <v>0</v>
      </c>
      <c r="I648" s="28">
        <v>18</v>
      </c>
    </row>
    <row r="649" spans="1:9" x14ac:dyDescent="0.25">
      <c r="A649" s="30"/>
      <c r="B649" s="27"/>
      <c r="C649" s="28"/>
      <c r="D649" s="28"/>
      <c r="E649" s="28">
        <v>5</v>
      </c>
      <c r="F649" s="29" t="s">
        <v>679</v>
      </c>
      <c r="G649" s="28" t="s">
        <v>1287</v>
      </c>
      <c r="H649" s="28">
        <v>0</v>
      </c>
      <c r="I649" s="28">
        <v>18</v>
      </c>
    </row>
    <row r="650" spans="1:9" x14ac:dyDescent="0.25">
      <c r="A650" s="30"/>
      <c r="B650" s="27"/>
      <c r="C650" s="28"/>
      <c r="D650" s="28"/>
      <c r="E650" s="28">
        <v>6</v>
      </c>
      <c r="F650" s="29" t="s">
        <v>680</v>
      </c>
      <c r="G650" s="28" t="s">
        <v>1288</v>
      </c>
      <c r="H650" s="28">
        <v>0</v>
      </c>
      <c r="I650" s="28">
        <v>18</v>
      </c>
    </row>
    <row r="651" spans="1:9" x14ac:dyDescent="0.25">
      <c r="A651" s="30"/>
      <c r="B651" s="27"/>
      <c r="C651" s="28"/>
      <c r="D651" s="28"/>
      <c r="E651" s="28">
        <v>7</v>
      </c>
      <c r="F651" s="29" t="s">
        <v>61</v>
      </c>
      <c r="G651" s="28" t="s">
        <v>1289</v>
      </c>
      <c r="H651" s="28">
        <v>0</v>
      </c>
      <c r="I651" s="28">
        <v>18</v>
      </c>
    </row>
    <row r="652" spans="1:9" x14ac:dyDescent="0.25">
      <c r="A652" s="30"/>
      <c r="B652" s="27"/>
      <c r="C652" s="28"/>
      <c r="D652" s="28"/>
      <c r="E652" s="28">
        <v>8</v>
      </c>
      <c r="F652" s="29" t="s">
        <v>62</v>
      </c>
      <c r="G652" s="28" t="s">
        <v>1290</v>
      </c>
      <c r="H652" s="28">
        <v>0</v>
      </c>
      <c r="I652" s="28">
        <v>18</v>
      </c>
    </row>
    <row r="653" spans="1:9" x14ac:dyDescent="0.25">
      <c r="A653" s="30"/>
      <c r="B653" s="27"/>
      <c r="C653" s="28"/>
      <c r="D653" s="28"/>
      <c r="E653" s="28">
        <v>9</v>
      </c>
      <c r="F653" s="29" t="s">
        <v>63</v>
      </c>
      <c r="G653" s="28" t="s">
        <v>1291</v>
      </c>
      <c r="H653" s="28">
        <v>0</v>
      </c>
      <c r="I653" s="28">
        <v>18</v>
      </c>
    </row>
    <row r="654" spans="1:9" x14ac:dyDescent="0.25">
      <c r="A654" s="30"/>
      <c r="B654" s="27"/>
      <c r="C654" s="28"/>
      <c r="D654" s="28"/>
      <c r="E654" s="28">
        <v>10</v>
      </c>
      <c r="F654" s="29" t="s">
        <v>64</v>
      </c>
      <c r="G654" s="28" t="s">
        <v>1292</v>
      </c>
      <c r="H654" s="28">
        <v>0</v>
      </c>
      <c r="I654" s="28">
        <v>18</v>
      </c>
    </row>
    <row r="655" spans="1:9" x14ac:dyDescent="0.25">
      <c r="A655" s="30"/>
      <c r="B655" s="27"/>
      <c r="C655" s="28"/>
      <c r="D655" s="28"/>
      <c r="E655" s="28">
        <v>11</v>
      </c>
      <c r="F655" s="29" t="s">
        <v>65</v>
      </c>
      <c r="G655" s="28" t="s">
        <v>1293</v>
      </c>
      <c r="H655" s="28">
        <v>0</v>
      </c>
      <c r="I655" s="28">
        <v>18</v>
      </c>
    </row>
    <row r="656" spans="1:9" x14ac:dyDescent="0.25">
      <c r="A656" s="30"/>
      <c r="B656" s="27"/>
      <c r="C656" s="28"/>
      <c r="D656" s="28"/>
      <c r="E656" s="28">
        <v>12</v>
      </c>
      <c r="F656" s="29" t="s">
        <v>66</v>
      </c>
      <c r="G656" s="28" t="s">
        <v>1294</v>
      </c>
      <c r="H656" s="28">
        <v>0</v>
      </c>
      <c r="I656" s="28">
        <v>18</v>
      </c>
    </row>
    <row r="657" spans="1:9" x14ac:dyDescent="0.25">
      <c r="A657" s="30"/>
      <c r="B657" s="27"/>
      <c r="C657" s="28"/>
      <c r="D657" s="28"/>
      <c r="E657" s="28">
        <v>13</v>
      </c>
      <c r="F657" s="29" t="s">
        <v>1255</v>
      </c>
      <c r="G657" s="28" t="s">
        <v>1295</v>
      </c>
      <c r="H657" s="28">
        <v>0</v>
      </c>
      <c r="I657" s="28">
        <v>18</v>
      </c>
    </row>
    <row r="658" spans="1:9" x14ac:dyDescent="0.25">
      <c r="A658" s="30"/>
      <c r="B658" s="27"/>
      <c r="C658" s="28"/>
      <c r="D658" s="28"/>
      <c r="E658" s="28">
        <v>14</v>
      </c>
      <c r="F658" s="29" t="s">
        <v>1256</v>
      </c>
      <c r="G658" s="28" t="s">
        <v>1296</v>
      </c>
      <c r="H658" s="28">
        <v>0</v>
      </c>
      <c r="I658" s="28">
        <v>18</v>
      </c>
    </row>
    <row r="659" spans="1:9" x14ac:dyDescent="0.25">
      <c r="A659" s="30"/>
      <c r="B659" s="27"/>
      <c r="C659" s="28"/>
      <c r="D659" s="28"/>
      <c r="E659" s="28">
        <v>15</v>
      </c>
      <c r="F659" s="29" t="s">
        <v>1257</v>
      </c>
      <c r="G659" s="28" t="s">
        <v>1297</v>
      </c>
      <c r="H659" s="28">
        <v>0</v>
      </c>
      <c r="I659" s="28">
        <v>18</v>
      </c>
    </row>
    <row r="660" spans="1:9" x14ac:dyDescent="0.25">
      <c r="A660" s="30"/>
      <c r="B660" s="27"/>
      <c r="C660" s="28"/>
      <c r="D660" s="28"/>
      <c r="E660" s="28">
        <v>16</v>
      </c>
      <c r="F660" s="29" t="s">
        <v>1258</v>
      </c>
      <c r="G660" s="28" t="s">
        <v>1298</v>
      </c>
      <c r="H660" s="28">
        <v>0</v>
      </c>
      <c r="I660" s="28">
        <v>18</v>
      </c>
    </row>
    <row r="661" spans="1:9" x14ac:dyDescent="0.25">
      <c r="A661" s="30"/>
      <c r="B661" s="27"/>
      <c r="C661" s="28"/>
      <c r="D661" s="28"/>
      <c r="E661" s="28">
        <v>17</v>
      </c>
      <c r="F661" s="29" t="s">
        <v>1259</v>
      </c>
      <c r="G661" s="28" t="s">
        <v>1299</v>
      </c>
      <c r="H661" s="28">
        <v>0</v>
      </c>
      <c r="I661" s="28">
        <v>18</v>
      </c>
    </row>
    <row r="662" spans="1:9" x14ac:dyDescent="0.25">
      <c r="A662" s="30"/>
      <c r="B662" s="27"/>
      <c r="C662" s="28"/>
      <c r="D662" s="28"/>
      <c r="E662" s="28">
        <v>18</v>
      </c>
      <c r="F662" s="29" t="s">
        <v>1260</v>
      </c>
      <c r="G662" s="28" t="s">
        <v>1300</v>
      </c>
      <c r="H662" s="28">
        <v>0</v>
      </c>
      <c r="I662" s="28">
        <v>18</v>
      </c>
    </row>
    <row r="663" spans="1:9" x14ac:dyDescent="0.25">
      <c r="A663" s="30"/>
      <c r="B663" s="27"/>
      <c r="C663" s="28"/>
      <c r="D663" s="28"/>
      <c r="E663" s="28">
        <v>19</v>
      </c>
      <c r="F663" s="29" t="s">
        <v>1261</v>
      </c>
      <c r="G663" s="28" t="s">
        <v>1301</v>
      </c>
      <c r="H663" s="28">
        <v>0</v>
      </c>
      <c r="I663" s="28">
        <v>20</v>
      </c>
    </row>
    <row r="664" spans="1:9" x14ac:dyDescent="0.25">
      <c r="A664" s="30"/>
      <c r="B664" s="27"/>
      <c r="C664" s="28"/>
      <c r="D664" s="28"/>
      <c r="E664" s="28">
        <v>20</v>
      </c>
      <c r="F664" s="29" t="s">
        <v>1262</v>
      </c>
      <c r="G664" s="28" t="s">
        <v>1302</v>
      </c>
      <c r="H664" s="28">
        <v>0</v>
      </c>
      <c r="I664" s="28">
        <v>20</v>
      </c>
    </row>
    <row r="665" spans="1:9" x14ac:dyDescent="0.25">
      <c r="A665" s="30"/>
      <c r="B665" s="27"/>
      <c r="C665" s="28"/>
      <c r="D665" s="28"/>
      <c r="E665" s="28">
        <v>21</v>
      </c>
      <c r="F665" s="29" t="s">
        <v>1263</v>
      </c>
      <c r="G665" s="28" t="s">
        <v>1303</v>
      </c>
      <c r="H665" s="28">
        <v>0</v>
      </c>
      <c r="I665" s="28">
        <v>20</v>
      </c>
    </row>
    <row r="666" spans="1:9" x14ac:dyDescent="0.25">
      <c r="A666" s="30"/>
      <c r="B666" s="27"/>
      <c r="C666" s="28"/>
      <c r="D666" s="28"/>
      <c r="E666" s="28">
        <v>22</v>
      </c>
      <c r="F666" s="29" t="s">
        <v>1264</v>
      </c>
      <c r="G666" s="28" t="s">
        <v>1304</v>
      </c>
      <c r="H666" s="28">
        <v>0</v>
      </c>
      <c r="I666" s="28">
        <v>20</v>
      </c>
    </row>
    <row r="667" spans="1:9" x14ac:dyDescent="0.25">
      <c r="A667" s="30"/>
      <c r="B667" s="27"/>
      <c r="C667" s="28"/>
      <c r="D667" s="28"/>
      <c r="E667" s="28">
        <v>23</v>
      </c>
      <c r="F667" s="29" t="s">
        <v>1265</v>
      </c>
      <c r="G667" s="28" t="s">
        <v>1305</v>
      </c>
      <c r="H667" s="28">
        <v>0</v>
      </c>
      <c r="I667" s="28">
        <v>20</v>
      </c>
    </row>
    <row r="668" spans="1:9" x14ac:dyDescent="0.25">
      <c r="A668" s="30"/>
      <c r="B668" s="27"/>
      <c r="C668" s="26"/>
      <c r="D668" s="26"/>
      <c r="E668" s="28">
        <v>24</v>
      </c>
      <c r="F668" s="29" t="s">
        <v>1266</v>
      </c>
      <c r="G668" s="28" t="s">
        <v>1322</v>
      </c>
      <c r="H668" s="28">
        <v>0</v>
      </c>
      <c r="I668" s="28">
        <v>20</v>
      </c>
    </row>
    <row r="669" spans="1:9" x14ac:dyDescent="0.25">
      <c r="A669" s="30"/>
      <c r="B669" s="27"/>
      <c r="C669" s="26"/>
      <c r="D669" s="26"/>
      <c r="E669" s="28">
        <v>25</v>
      </c>
      <c r="F669" s="29" t="s">
        <v>1267</v>
      </c>
      <c r="G669" s="28" t="s">
        <v>1306</v>
      </c>
      <c r="H669" s="28">
        <v>0</v>
      </c>
      <c r="I669" s="28">
        <v>20</v>
      </c>
    </row>
    <row r="670" spans="1:9" x14ac:dyDescent="0.25">
      <c r="A670" s="30"/>
      <c r="B670" s="27"/>
      <c r="C670" s="26"/>
      <c r="D670" s="26"/>
      <c r="E670" s="28">
        <v>26</v>
      </c>
      <c r="F670" s="29" t="s">
        <v>1268</v>
      </c>
      <c r="G670" s="28" t="s">
        <v>1307</v>
      </c>
      <c r="H670" s="28">
        <v>0</v>
      </c>
      <c r="I670" s="28">
        <v>20</v>
      </c>
    </row>
    <row r="671" spans="1:9" x14ac:dyDescent="0.25">
      <c r="A671" s="30"/>
      <c r="B671" s="27"/>
      <c r="C671" s="26"/>
      <c r="D671" s="26"/>
      <c r="E671" s="28">
        <v>27</v>
      </c>
      <c r="F671" s="29" t="s">
        <v>1269</v>
      </c>
      <c r="G671" s="28" t="s">
        <v>1308</v>
      </c>
      <c r="H671" s="28">
        <v>0</v>
      </c>
      <c r="I671" s="28">
        <v>20</v>
      </c>
    </row>
    <row r="672" spans="1:9" x14ac:dyDescent="0.25">
      <c r="A672" s="30"/>
      <c r="B672" s="27"/>
      <c r="C672" s="26"/>
      <c r="D672" s="26"/>
      <c r="E672" s="28">
        <v>28</v>
      </c>
      <c r="F672" s="29" t="s">
        <v>1270</v>
      </c>
      <c r="G672" s="28" t="s">
        <v>1309</v>
      </c>
      <c r="H672" s="28">
        <v>0</v>
      </c>
      <c r="I672" s="28">
        <v>20</v>
      </c>
    </row>
    <row r="673" spans="1:9" x14ac:dyDescent="0.25">
      <c r="A673" s="30"/>
      <c r="B673" s="27"/>
      <c r="C673" s="26"/>
      <c r="D673" s="26"/>
      <c r="E673" s="28">
        <v>29</v>
      </c>
      <c r="F673" s="29" t="s">
        <v>1271</v>
      </c>
      <c r="G673" s="28" t="s">
        <v>1310</v>
      </c>
      <c r="H673" s="28">
        <v>0</v>
      </c>
      <c r="I673" s="28">
        <v>20</v>
      </c>
    </row>
    <row r="674" spans="1:9" x14ac:dyDescent="0.25">
      <c r="A674" s="30"/>
      <c r="B674" s="27"/>
      <c r="C674" s="26"/>
      <c r="D674" s="26"/>
      <c r="E674" s="28">
        <v>30</v>
      </c>
      <c r="F674" s="29" t="s">
        <v>1272</v>
      </c>
      <c r="G674" s="28" t="s">
        <v>1311</v>
      </c>
      <c r="H674" s="28">
        <v>0</v>
      </c>
      <c r="I674" s="28">
        <v>20</v>
      </c>
    </row>
    <row r="675" spans="1:9" ht="15" customHeight="1" x14ac:dyDescent="0.25">
      <c r="A675" s="30"/>
      <c r="B675" s="27"/>
      <c r="C675" s="26"/>
      <c r="D675" s="26"/>
      <c r="E675" s="28">
        <v>31</v>
      </c>
      <c r="F675" s="29" t="s">
        <v>1273</v>
      </c>
      <c r="G675" s="28" t="s">
        <v>1312</v>
      </c>
      <c r="H675" s="28">
        <v>0</v>
      </c>
      <c r="I675" s="28">
        <v>20</v>
      </c>
    </row>
    <row r="676" spans="1:9" ht="15" customHeight="1" x14ac:dyDescent="0.25">
      <c r="A676" s="30"/>
      <c r="B676" s="27"/>
      <c r="C676" s="26"/>
      <c r="D676" s="26"/>
      <c r="E676" s="28">
        <v>32</v>
      </c>
      <c r="F676" s="29" t="s">
        <v>1274</v>
      </c>
      <c r="G676" s="28" t="s">
        <v>1313</v>
      </c>
      <c r="H676" s="28">
        <v>0</v>
      </c>
      <c r="I676" s="28">
        <v>20</v>
      </c>
    </row>
    <row r="677" spans="1:9" ht="15" customHeight="1" x14ac:dyDescent="0.25">
      <c r="A677" s="30"/>
      <c r="B677" s="27"/>
      <c r="C677" s="26"/>
      <c r="D677" s="26"/>
      <c r="E677" s="28">
        <v>33</v>
      </c>
      <c r="F677" s="29" t="s">
        <v>1275</v>
      </c>
      <c r="G677" s="28" t="s">
        <v>1314</v>
      </c>
      <c r="H677" s="28">
        <v>0</v>
      </c>
      <c r="I677" s="28">
        <v>20</v>
      </c>
    </row>
    <row r="678" spans="1:9" x14ac:dyDescent="0.25">
      <c r="A678" s="30"/>
      <c r="B678" s="27"/>
      <c r="C678" s="26"/>
      <c r="D678" s="26"/>
      <c r="E678" s="28">
        <v>34</v>
      </c>
      <c r="F678" s="29" t="s">
        <v>1276</v>
      </c>
      <c r="G678" s="28" t="s">
        <v>1315</v>
      </c>
      <c r="H678" s="28">
        <v>0</v>
      </c>
      <c r="I678" s="28">
        <v>20</v>
      </c>
    </row>
    <row r="679" spans="1:9" x14ac:dyDescent="0.25">
      <c r="A679" s="30"/>
      <c r="B679" s="27"/>
      <c r="C679" s="26"/>
      <c r="D679" s="26"/>
      <c r="E679" s="28">
        <v>35</v>
      </c>
      <c r="F679" s="29" t="s">
        <v>1277</v>
      </c>
      <c r="G679" s="28" t="s">
        <v>1316</v>
      </c>
      <c r="H679" s="28">
        <v>0</v>
      </c>
      <c r="I679" s="28">
        <v>20</v>
      </c>
    </row>
    <row r="680" spans="1:9" x14ac:dyDescent="0.25">
      <c r="A680" s="30"/>
      <c r="B680" s="27"/>
      <c r="C680" s="26"/>
      <c r="D680" s="26"/>
      <c r="E680" s="28">
        <v>36</v>
      </c>
      <c r="F680" s="29" t="s">
        <v>1278</v>
      </c>
      <c r="G680" s="28" t="s">
        <v>1317</v>
      </c>
      <c r="H680" s="28">
        <v>0</v>
      </c>
      <c r="I680" s="28">
        <v>20</v>
      </c>
    </row>
    <row r="681" spans="1:9" x14ac:dyDescent="0.25">
      <c r="A681" s="30"/>
      <c r="B681" s="27"/>
      <c r="C681" s="26"/>
      <c r="D681" s="26"/>
      <c r="E681" s="28">
        <v>37</v>
      </c>
      <c r="F681" s="29" t="s">
        <v>1279</v>
      </c>
      <c r="G681" s="28" t="s">
        <v>1318</v>
      </c>
      <c r="H681" s="28">
        <v>0</v>
      </c>
      <c r="I681" s="28">
        <v>20</v>
      </c>
    </row>
    <row r="682" spans="1:9" x14ac:dyDescent="0.25">
      <c r="A682" s="30"/>
      <c r="B682" s="27"/>
      <c r="C682" s="26"/>
      <c r="D682" s="26"/>
      <c r="E682" s="28">
        <v>38</v>
      </c>
      <c r="F682" s="29" t="s">
        <v>1280</v>
      </c>
      <c r="G682" s="28" t="s">
        <v>1319</v>
      </c>
      <c r="H682" s="28">
        <v>0</v>
      </c>
      <c r="I682" s="28">
        <v>20</v>
      </c>
    </row>
    <row r="683" spans="1:9" x14ac:dyDescent="0.25">
      <c r="A683" s="30"/>
      <c r="B683" s="27"/>
      <c r="C683" s="26"/>
      <c r="D683" s="26"/>
      <c r="E683" s="28">
        <v>39</v>
      </c>
      <c r="F683" s="29" t="s">
        <v>1281</v>
      </c>
      <c r="G683" s="28" t="s">
        <v>1320</v>
      </c>
      <c r="H683" s="28">
        <v>0</v>
      </c>
      <c r="I683" s="28">
        <v>20</v>
      </c>
    </row>
    <row r="684" spans="1:9" x14ac:dyDescent="0.25">
      <c r="A684" s="30"/>
      <c r="B684" s="27"/>
      <c r="C684" s="26"/>
      <c r="D684" s="26"/>
      <c r="E684" s="28">
        <v>40</v>
      </c>
      <c r="F684" s="29" t="s">
        <v>1282</v>
      </c>
      <c r="G684" s="28" t="s">
        <v>1321</v>
      </c>
      <c r="H684" s="28">
        <v>0</v>
      </c>
      <c r="I684" s="28">
        <v>20</v>
      </c>
    </row>
    <row r="685" spans="1:9" x14ac:dyDescent="0.25">
      <c r="B685" s="30"/>
      <c r="C685" s="30">
        <v>102</v>
      </c>
      <c r="D685" s="31" t="s">
        <v>1323</v>
      </c>
      <c r="E685" s="31">
        <v>1</v>
      </c>
      <c r="F685" s="32" t="s">
        <v>675</v>
      </c>
      <c r="G685" s="31" t="s">
        <v>1324</v>
      </c>
      <c r="H685" s="31">
        <v>0</v>
      </c>
      <c r="I685" s="31">
        <v>18</v>
      </c>
    </row>
    <row r="686" spans="1:9" x14ac:dyDescent="0.25">
      <c r="B686" s="30"/>
      <c r="C686" s="30"/>
      <c r="D686" s="31" t="s">
        <v>4796</v>
      </c>
      <c r="E686" s="31">
        <v>2</v>
      </c>
      <c r="F686" s="32" t="s">
        <v>676</v>
      </c>
      <c r="G686" s="31" t="s">
        <v>1325</v>
      </c>
      <c r="H686" s="31">
        <v>0</v>
      </c>
      <c r="I686" s="31">
        <v>18</v>
      </c>
    </row>
    <row r="687" spans="1:9" x14ac:dyDescent="0.25">
      <c r="B687" s="30"/>
      <c r="C687" s="30"/>
      <c r="D687" s="31" t="s">
        <v>16</v>
      </c>
      <c r="E687" s="31">
        <v>3</v>
      </c>
      <c r="F687" s="32" t="s">
        <v>677</v>
      </c>
      <c r="G687" s="31" t="s">
        <v>1326</v>
      </c>
      <c r="H687" s="31">
        <v>0</v>
      </c>
      <c r="I687" s="31">
        <v>18</v>
      </c>
    </row>
    <row r="688" spans="1:9" x14ac:dyDescent="0.25">
      <c r="B688" s="30"/>
      <c r="C688" s="30"/>
      <c r="D688" s="31"/>
      <c r="E688" s="31">
        <v>4</v>
      </c>
      <c r="F688" s="32" t="s">
        <v>678</v>
      </c>
      <c r="G688" s="31" t="s">
        <v>1327</v>
      </c>
      <c r="H688" s="31">
        <v>0</v>
      </c>
      <c r="I688" s="31">
        <v>18</v>
      </c>
    </row>
    <row r="689" spans="2:9" x14ac:dyDescent="0.25">
      <c r="B689" s="30"/>
      <c r="C689" s="30"/>
      <c r="D689" s="31"/>
      <c r="E689" s="31">
        <v>5</v>
      </c>
      <c r="F689" s="32" t="s">
        <v>679</v>
      </c>
      <c r="G689" s="31" t="s">
        <v>1328</v>
      </c>
      <c r="H689" s="31">
        <v>0</v>
      </c>
      <c r="I689" s="31">
        <v>18</v>
      </c>
    </row>
    <row r="690" spans="2:9" x14ac:dyDescent="0.25">
      <c r="B690" s="30"/>
      <c r="C690" s="30"/>
      <c r="D690" s="31"/>
      <c r="E690" s="31">
        <v>6</v>
      </c>
      <c r="F690" s="32" t="s">
        <v>680</v>
      </c>
      <c r="G690" s="31" t="s">
        <v>1329</v>
      </c>
      <c r="H690" s="31">
        <v>0</v>
      </c>
      <c r="I690" s="31">
        <v>18</v>
      </c>
    </row>
    <row r="691" spans="2:9" x14ac:dyDescent="0.25">
      <c r="B691" s="30"/>
      <c r="C691" s="30"/>
      <c r="D691" s="31"/>
      <c r="E691" s="31">
        <v>7</v>
      </c>
      <c r="F691" s="32" t="s">
        <v>61</v>
      </c>
      <c r="G691" s="31" t="s">
        <v>1330</v>
      </c>
      <c r="H691" s="31">
        <v>0</v>
      </c>
      <c r="I691" s="31">
        <v>18</v>
      </c>
    </row>
    <row r="692" spans="2:9" x14ac:dyDescent="0.25">
      <c r="B692" s="30"/>
      <c r="C692" s="30"/>
      <c r="D692" s="31"/>
      <c r="E692" s="31">
        <v>8</v>
      </c>
      <c r="F692" s="32" t="s">
        <v>62</v>
      </c>
      <c r="G692" s="31" t="s">
        <v>1331</v>
      </c>
      <c r="H692" s="31">
        <v>0</v>
      </c>
      <c r="I692" s="31">
        <v>18</v>
      </c>
    </row>
    <row r="693" spans="2:9" x14ac:dyDescent="0.25">
      <c r="B693" s="30"/>
      <c r="C693" s="30"/>
      <c r="D693" s="31"/>
      <c r="E693" s="31">
        <v>9</v>
      </c>
      <c r="F693" s="32" t="s">
        <v>63</v>
      </c>
      <c r="G693" s="31" t="s">
        <v>1332</v>
      </c>
      <c r="H693" s="31">
        <v>0</v>
      </c>
      <c r="I693" s="31">
        <v>18</v>
      </c>
    </row>
    <row r="694" spans="2:9" x14ac:dyDescent="0.25">
      <c r="B694" s="30"/>
      <c r="C694" s="30"/>
      <c r="D694" s="31"/>
      <c r="E694" s="31">
        <v>10</v>
      </c>
      <c r="F694" s="32" t="s">
        <v>64</v>
      </c>
      <c r="G694" s="31" t="s">
        <v>1333</v>
      </c>
      <c r="H694" s="31">
        <v>0</v>
      </c>
      <c r="I694" s="31">
        <v>18</v>
      </c>
    </row>
    <row r="695" spans="2:9" x14ac:dyDescent="0.25">
      <c r="B695" s="30"/>
      <c r="C695" s="30"/>
      <c r="D695" s="31"/>
      <c r="E695" s="31">
        <v>11</v>
      </c>
      <c r="F695" s="32" t="s">
        <v>65</v>
      </c>
      <c r="G695" s="31" t="s">
        <v>1334</v>
      </c>
      <c r="H695" s="31">
        <v>0</v>
      </c>
      <c r="I695" s="31">
        <v>18</v>
      </c>
    </row>
    <row r="696" spans="2:9" x14ac:dyDescent="0.25">
      <c r="B696" s="30"/>
      <c r="C696" s="30"/>
      <c r="D696" s="31"/>
      <c r="E696" s="31">
        <v>12</v>
      </c>
      <c r="F696" s="32" t="s">
        <v>66</v>
      </c>
      <c r="G696" s="31" t="s">
        <v>1335</v>
      </c>
      <c r="H696" s="31">
        <v>0</v>
      </c>
      <c r="I696" s="31">
        <v>18</v>
      </c>
    </row>
    <row r="697" spans="2:9" x14ac:dyDescent="0.25">
      <c r="B697" s="30"/>
      <c r="C697" s="30"/>
      <c r="D697" s="31"/>
      <c r="E697" s="31">
        <v>13</v>
      </c>
      <c r="F697" s="32" t="s">
        <v>1255</v>
      </c>
      <c r="G697" s="31" t="s">
        <v>1336</v>
      </c>
      <c r="H697" s="31">
        <v>0</v>
      </c>
      <c r="I697" s="31">
        <v>18</v>
      </c>
    </row>
    <row r="698" spans="2:9" x14ac:dyDescent="0.25">
      <c r="B698" s="30"/>
      <c r="C698" s="30"/>
      <c r="D698" s="31"/>
      <c r="E698" s="31">
        <v>14</v>
      </c>
      <c r="F698" s="32" t="s">
        <v>1256</v>
      </c>
      <c r="G698" s="31" t="s">
        <v>1337</v>
      </c>
      <c r="H698" s="31">
        <v>0</v>
      </c>
      <c r="I698" s="31">
        <v>18</v>
      </c>
    </row>
    <row r="699" spans="2:9" x14ac:dyDescent="0.25">
      <c r="B699" s="30"/>
      <c r="C699" s="30"/>
      <c r="D699" s="31"/>
      <c r="E699" s="31">
        <v>15</v>
      </c>
      <c r="F699" s="32" t="s">
        <v>1257</v>
      </c>
      <c r="G699" s="31" t="s">
        <v>1338</v>
      </c>
      <c r="H699" s="31">
        <v>0</v>
      </c>
      <c r="I699" s="31">
        <v>18</v>
      </c>
    </row>
    <row r="700" spans="2:9" x14ac:dyDescent="0.25">
      <c r="B700" s="30"/>
      <c r="C700" s="30"/>
      <c r="D700" s="31"/>
      <c r="E700" s="31">
        <v>16</v>
      </c>
      <c r="F700" s="32" t="s">
        <v>1258</v>
      </c>
      <c r="G700" s="31" t="s">
        <v>1339</v>
      </c>
      <c r="H700" s="31">
        <v>0</v>
      </c>
      <c r="I700" s="31">
        <v>18</v>
      </c>
    </row>
    <row r="701" spans="2:9" x14ac:dyDescent="0.25">
      <c r="B701" s="30"/>
      <c r="C701" s="30"/>
      <c r="D701" s="31"/>
      <c r="E701" s="31">
        <v>17</v>
      </c>
      <c r="F701" s="32" t="s">
        <v>1259</v>
      </c>
      <c r="G701" s="31" t="s">
        <v>1340</v>
      </c>
      <c r="H701" s="31">
        <v>0</v>
      </c>
      <c r="I701" s="31">
        <v>18</v>
      </c>
    </row>
    <row r="702" spans="2:9" x14ac:dyDescent="0.25">
      <c r="B702" s="30"/>
      <c r="C702" s="30"/>
      <c r="D702" s="31"/>
      <c r="E702" s="31">
        <v>18</v>
      </c>
      <c r="F702" s="32" t="s">
        <v>1260</v>
      </c>
      <c r="G702" s="31" t="s">
        <v>1341</v>
      </c>
      <c r="H702" s="31">
        <v>0</v>
      </c>
      <c r="I702" s="31">
        <v>18</v>
      </c>
    </row>
    <row r="703" spans="2:9" x14ac:dyDescent="0.25">
      <c r="B703" s="30"/>
      <c r="C703" s="30"/>
      <c r="D703" s="31"/>
      <c r="E703" s="31">
        <v>19</v>
      </c>
      <c r="F703" s="32" t="s">
        <v>1261</v>
      </c>
      <c r="G703" s="31" t="s">
        <v>1342</v>
      </c>
      <c r="H703" s="31">
        <v>0</v>
      </c>
      <c r="I703" s="31">
        <v>20</v>
      </c>
    </row>
    <row r="704" spans="2:9" x14ac:dyDescent="0.25">
      <c r="B704" s="30"/>
      <c r="C704" s="30"/>
      <c r="D704" s="31"/>
      <c r="E704" s="31">
        <v>20</v>
      </c>
      <c r="F704" s="32" t="s">
        <v>1262</v>
      </c>
      <c r="G704" s="31" t="s">
        <v>1343</v>
      </c>
      <c r="H704" s="31">
        <v>0</v>
      </c>
      <c r="I704" s="31">
        <v>20</v>
      </c>
    </row>
    <row r="705" spans="2:9" x14ac:dyDescent="0.25">
      <c r="B705" s="30"/>
      <c r="C705" s="30"/>
      <c r="D705" s="31"/>
      <c r="E705" s="31">
        <v>21</v>
      </c>
      <c r="F705" s="32" t="s">
        <v>1263</v>
      </c>
      <c r="G705" s="31" t="s">
        <v>1344</v>
      </c>
      <c r="H705" s="31">
        <v>0</v>
      </c>
      <c r="I705" s="31">
        <v>20</v>
      </c>
    </row>
    <row r="706" spans="2:9" x14ac:dyDescent="0.25">
      <c r="B706" s="30"/>
      <c r="C706" s="30"/>
      <c r="D706" s="31"/>
      <c r="E706" s="31">
        <v>22</v>
      </c>
      <c r="F706" s="32" t="s">
        <v>1264</v>
      </c>
      <c r="G706" s="31" t="s">
        <v>1345</v>
      </c>
      <c r="H706" s="31">
        <v>0</v>
      </c>
      <c r="I706" s="31">
        <v>20</v>
      </c>
    </row>
    <row r="707" spans="2:9" x14ac:dyDescent="0.25">
      <c r="B707" s="30"/>
      <c r="C707" s="30"/>
      <c r="D707" s="31"/>
      <c r="E707" s="31">
        <v>23</v>
      </c>
      <c r="F707" s="32" t="s">
        <v>1265</v>
      </c>
      <c r="G707" s="31" t="s">
        <v>1346</v>
      </c>
      <c r="H707" s="31">
        <v>0</v>
      </c>
      <c r="I707" s="31">
        <v>20</v>
      </c>
    </row>
    <row r="708" spans="2:9" x14ac:dyDescent="0.25">
      <c r="B708" s="30"/>
      <c r="C708" s="30"/>
      <c r="D708" s="33"/>
      <c r="E708" s="31">
        <v>24</v>
      </c>
      <c r="F708" s="32" t="s">
        <v>1266</v>
      </c>
      <c r="G708" s="31" t="s">
        <v>1347</v>
      </c>
      <c r="H708" s="31">
        <v>0</v>
      </c>
      <c r="I708" s="31">
        <v>20</v>
      </c>
    </row>
    <row r="709" spans="2:9" x14ac:dyDescent="0.25">
      <c r="B709" s="30"/>
      <c r="C709" s="30"/>
      <c r="D709" s="33"/>
      <c r="E709" s="31">
        <v>25</v>
      </c>
      <c r="F709" s="32" t="s">
        <v>1267</v>
      </c>
      <c r="G709" s="31" t="s">
        <v>1348</v>
      </c>
      <c r="H709" s="31">
        <v>0</v>
      </c>
      <c r="I709" s="31">
        <v>20</v>
      </c>
    </row>
    <row r="710" spans="2:9" x14ac:dyDescent="0.25">
      <c r="B710" s="30"/>
      <c r="C710" s="30"/>
      <c r="D710" s="33"/>
      <c r="E710" s="31">
        <v>26</v>
      </c>
      <c r="F710" s="32" t="s">
        <v>1268</v>
      </c>
      <c r="G710" s="31" t="s">
        <v>1349</v>
      </c>
      <c r="H710" s="31">
        <v>0</v>
      </c>
      <c r="I710" s="31">
        <v>20</v>
      </c>
    </row>
    <row r="711" spans="2:9" x14ac:dyDescent="0.25">
      <c r="B711" s="30"/>
      <c r="C711" s="30"/>
      <c r="D711" s="33"/>
      <c r="E711" s="31">
        <v>27</v>
      </c>
      <c r="F711" s="32" t="s">
        <v>1269</v>
      </c>
      <c r="G711" s="31" t="s">
        <v>1350</v>
      </c>
      <c r="H711" s="31">
        <v>0</v>
      </c>
      <c r="I711" s="31">
        <v>20</v>
      </c>
    </row>
    <row r="712" spans="2:9" x14ac:dyDescent="0.25">
      <c r="B712" s="30"/>
      <c r="C712" s="30"/>
      <c r="D712" s="33"/>
      <c r="E712" s="31">
        <v>28</v>
      </c>
      <c r="F712" s="32" t="s">
        <v>1270</v>
      </c>
      <c r="G712" s="31" t="s">
        <v>1351</v>
      </c>
      <c r="H712" s="31">
        <v>0</v>
      </c>
      <c r="I712" s="31">
        <v>20</v>
      </c>
    </row>
    <row r="713" spans="2:9" x14ac:dyDescent="0.25">
      <c r="B713" s="30"/>
      <c r="C713" s="30"/>
      <c r="D713" s="33"/>
      <c r="E713" s="31">
        <v>29</v>
      </c>
      <c r="F713" s="32" t="s">
        <v>1271</v>
      </c>
      <c r="G713" s="31" t="s">
        <v>1352</v>
      </c>
      <c r="H713" s="31">
        <v>0</v>
      </c>
      <c r="I713" s="31">
        <v>20</v>
      </c>
    </row>
    <row r="714" spans="2:9" x14ac:dyDescent="0.25">
      <c r="B714" s="30"/>
      <c r="C714" s="30"/>
      <c r="D714" s="33"/>
      <c r="E714" s="31">
        <v>30</v>
      </c>
      <c r="F714" s="32" t="s">
        <v>1272</v>
      </c>
      <c r="G714" s="31" t="s">
        <v>1353</v>
      </c>
      <c r="H714" s="31">
        <v>0</v>
      </c>
      <c r="I714" s="31">
        <v>20</v>
      </c>
    </row>
    <row r="715" spans="2:9" ht="15" customHeight="1" x14ac:dyDescent="0.25">
      <c r="B715" s="30"/>
      <c r="C715" s="30"/>
      <c r="D715" s="33"/>
      <c r="E715" s="31">
        <v>31</v>
      </c>
      <c r="F715" s="32" t="s">
        <v>1273</v>
      </c>
      <c r="G715" s="31" t="s">
        <v>1354</v>
      </c>
      <c r="H715" s="31">
        <v>0</v>
      </c>
      <c r="I715" s="31">
        <v>20</v>
      </c>
    </row>
    <row r="716" spans="2:9" ht="15" customHeight="1" x14ac:dyDescent="0.25">
      <c r="B716" s="30"/>
      <c r="C716" s="30"/>
      <c r="D716" s="33"/>
      <c r="E716" s="31">
        <v>32</v>
      </c>
      <c r="F716" s="32" t="s">
        <v>1274</v>
      </c>
      <c r="G716" s="31" t="s">
        <v>1355</v>
      </c>
      <c r="H716" s="31">
        <v>0</v>
      </c>
      <c r="I716" s="31">
        <v>20</v>
      </c>
    </row>
    <row r="717" spans="2:9" ht="15" customHeight="1" x14ac:dyDescent="0.25">
      <c r="B717" s="30"/>
      <c r="C717" s="30"/>
      <c r="D717" s="33"/>
      <c r="E717" s="31">
        <v>33</v>
      </c>
      <c r="F717" s="32" t="s">
        <v>1275</v>
      </c>
      <c r="G717" s="31" t="s">
        <v>1356</v>
      </c>
      <c r="H717" s="31">
        <v>0</v>
      </c>
      <c r="I717" s="31">
        <v>20</v>
      </c>
    </row>
    <row r="718" spans="2:9" ht="15" customHeight="1" x14ac:dyDescent="0.25">
      <c r="B718" s="30"/>
      <c r="C718" s="30"/>
      <c r="D718" s="33"/>
      <c r="E718" s="31">
        <v>34</v>
      </c>
      <c r="F718" s="32" t="s">
        <v>1276</v>
      </c>
      <c r="G718" s="31" t="s">
        <v>1361</v>
      </c>
      <c r="H718" s="31">
        <v>0</v>
      </c>
      <c r="I718" s="31">
        <v>20</v>
      </c>
    </row>
    <row r="719" spans="2:9" ht="15" customHeight="1" x14ac:dyDescent="0.25">
      <c r="B719" s="30"/>
      <c r="C719" s="30"/>
      <c r="D719" s="33"/>
      <c r="E719" s="31">
        <v>35</v>
      </c>
      <c r="F719" s="32" t="s">
        <v>1277</v>
      </c>
      <c r="G719" s="31" t="s">
        <v>1357</v>
      </c>
      <c r="H719" s="31">
        <v>0</v>
      </c>
      <c r="I719" s="31">
        <v>20</v>
      </c>
    </row>
    <row r="720" spans="2:9" x14ac:dyDescent="0.25">
      <c r="B720" s="30"/>
      <c r="C720" s="30"/>
      <c r="D720" s="33"/>
      <c r="E720" s="31">
        <v>36</v>
      </c>
      <c r="F720" s="32" t="s">
        <v>1278</v>
      </c>
      <c r="G720" s="31" t="s">
        <v>1358</v>
      </c>
      <c r="H720" s="31">
        <v>0</v>
      </c>
      <c r="I720" s="31">
        <v>20</v>
      </c>
    </row>
    <row r="721" spans="1:9" x14ac:dyDescent="0.25">
      <c r="B721" s="30"/>
      <c r="C721" s="30"/>
      <c r="D721" s="33"/>
      <c r="E721" s="31">
        <v>37</v>
      </c>
      <c r="F721" s="32" t="s">
        <v>1279</v>
      </c>
      <c r="G721" s="31" t="s">
        <v>1362</v>
      </c>
      <c r="H721" s="31">
        <v>0</v>
      </c>
      <c r="I721" s="31">
        <v>20</v>
      </c>
    </row>
    <row r="722" spans="1:9" x14ac:dyDescent="0.25">
      <c r="B722" s="30"/>
      <c r="C722" s="30"/>
      <c r="D722" s="33"/>
      <c r="E722" s="31">
        <v>38</v>
      </c>
      <c r="F722" s="32" t="s">
        <v>1280</v>
      </c>
      <c r="G722" s="31" t="s">
        <v>1363</v>
      </c>
      <c r="H722" s="31">
        <v>0</v>
      </c>
      <c r="I722" s="31">
        <v>20</v>
      </c>
    </row>
    <row r="723" spans="1:9" x14ac:dyDescent="0.25">
      <c r="B723" s="30"/>
      <c r="C723" s="30"/>
      <c r="D723" s="33"/>
      <c r="E723" s="31">
        <v>39</v>
      </c>
      <c r="F723" s="32" t="s">
        <v>1281</v>
      </c>
      <c r="G723" s="31" t="s">
        <v>1359</v>
      </c>
      <c r="H723" s="31">
        <v>0</v>
      </c>
      <c r="I723" s="31">
        <v>20</v>
      </c>
    </row>
    <row r="724" spans="1:9" x14ac:dyDescent="0.25">
      <c r="B724" s="30"/>
      <c r="C724" s="30"/>
      <c r="D724" s="33"/>
      <c r="E724" s="31">
        <v>40</v>
      </c>
      <c r="F724" s="32" t="s">
        <v>1282</v>
      </c>
      <c r="G724" s="31" t="s">
        <v>1360</v>
      </c>
      <c r="H724" s="31">
        <v>0</v>
      </c>
      <c r="I724" s="31">
        <v>20</v>
      </c>
    </row>
    <row r="725" spans="1:9" x14ac:dyDescent="0.25">
      <c r="A725" s="21"/>
      <c r="C725" s="34">
        <v>103</v>
      </c>
      <c r="D725" s="35" t="s">
        <v>1368</v>
      </c>
      <c r="E725" s="35">
        <v>1</v>
      </c>
      <c r="F725" s="36" t="s">
        <v>675</v>
      </c>
      <c r="G725" s="35" t="s">
        <v>1906</v>
      </c>
      <c r="H725" s="35">
        <v>0</v>
      </c>
      <c r="I725" s="35">
        <v>18</v>
      </c>
    </row>
    <row r="726" spans="1:9" x14ac:dyDescent="0.25">
      <c r="A726" s="21"/>
      <c r="C726" s="34"/>
      <c r="D726" s="35" t="s">
        <v>4796</v>
      </c>
      <c r="E726" s="35">
        <v>2</v>
      </c>
      <c r="F726" s="36" t="s">
        <v>676</v>
      </c>
      <c r="G726" s="35" t="s">
        <v>1907</v>
      </c>
      <c r="H726" s="35">
        <v>0</v>
      </c>
      <c r="I726" s="35">
        <v>18</v>
      </c>
    </row>
    <row r="727" spans="1:9" x14ac:dyDescent="0.25">
      <c r="A727" s="21"/>
      <c r="C727" s="34"/>
      <c r="D727" s="35" t="s">
        <v>16</v>
      </c>
      <c r="E727" s="35">
        <v>3</v>
      </c>
      <c r="F727" s="36" t="s">
        <v>677</v>
      </c>
      <c r="G727" s="35" t="s">
        <v>1908</v>
      </c>
      <c r="H727" s="35">
        <v>0</v>
      </c>
      <c r="I727" s="35">
        <v>18</v>
      </c>
    </row>
    <row r="728" spans="1:9" x14ac:dyDescent="0.25">
      <c r="A728" s="21"/>
      <c r="C728" s="34"/>
      <c r="D728" s="35"/>
      <c r="E728" s="35">
        <v>4</v>
      </c>
      <c r="F728" s="36" t="s">
        <v>678</v>
      </c>
      <c r="G728" s="35" t="s">
        <v>1909</v>
      </c>
      <c r="H728" s="35">
        <v>0</v>
      </c>
      <c r="I728" s="35">
        <v>18</v>
      </c>
    </row>
    <row r="729" spans="1:9" x14ac:dyDescent="0.25">
      <c r="A729" s="21"/>
      <c r="C729" s="34"/>
      <c r="D729" s="35"/>
      <c r="E729" s="35">
        <v>5</v>
      </c>
      <c r="F729" s="36" t="s">
        <v>679</v>
      </c>
      <c r="G729" s="35" t="s">
        <v>1910</v>
      </c>
      <c r="H729" s="35">
        <v>0</v>
      </c>
      <c r="I729" s="35">
        <v>18</v>
      </c>
    </row>
    <row r="730" spans="1:9" x14ac:dyDescent="0.25">
      <c r="A730" s="21"/>
      <c r="C730" s="34"/>
      <c r="D730" s="35"/>
      <c r="E730" s="35">
        <v>6</v>
      </c>
      <c r="F730" s="36" t="s">
        <v>680</v>
      </c>
      <c r="G730" s="35" t="s">
        <v>1911</v>
      </c>
      <c r="H730" s="35">
        <v>0</v>
      </c>
      <c r="I730" s="35">
        <v>18</v>
      </c>
    </row>
    <row r="731" spans="1:9" x14ac:dyDescent="0.25">
      <c r="A731" s="21"/>
      <c r="C731" s="34"/>
      <c r="D731" s="35"/>
      <c r="E731" s="35">
        <v>7</v>
      </c>
      <c r="F731" s="36" t="s">
        <v>61</v>
      </c>
      <c r="G731" s="35" t="s">
        <v>1912</v>
      </c>
      <c r="H731" s="35">
        <v>0</v>
      </c>
      <c r="I731" s="35">
        <v>18</v>
      </c>
    </row>
    <row r="732" spans="1:9" x14ac:dyDescent="0.25">
      <c r="A732" s="21"/>
      <c r="C732" s="34"/>
      <c r="D732" s="35"/>
      <c r="E732" s="35">
        <v>8</v>
      </c>
      <c r="F732" s="36" t="s">
        <v>62</v>
      </c>
      <c r="G732" s="35" t="s">
        <v>1913</v>
      </c>
      <c r="H732" s="35">
        <v>0</v>
      </c>
      <c r="I732" s="35">
        <v>18</v>
      </c>
    </row>
    <row r="733" spans="1:9" x14ac:dyDescent="0.25">
      <c r="A733" s="21"/>
      <c r="C733" s="34"/>
      <c r="D733" s="35"/>
      <c r="E733" s="35">
        <v>9</v>
      </c>
      <c r="F733" s="36" t="s">
        <v>63</v>
      </c>
      <c r="G733" s="35" t="s">
        <v>1914</v>
      </c>
      <c r="H733" s="35">
        <v>0</v>
      </c>
      <c r="I733" s="35">
        <v>18</v>
      </c>
    </row>
    <row r="734" spans="1:9" x14ac:dyDescent="0.25">
      <c r="A734" s="21"/>
      <c r="C734" s="34"/>
      <c r="D734" s="35"/>
      <c r="E734" s="35">
        <v>10</v>
      </c>
      <c r="F734" s="36" t="s">
        <v>64</v>
      </c>
      <c r="G734" s="35" t="s">
        <v>1915</v>
      </c>
      <c r="H734" s="35">
        <v>0</v>
      </c>
      <c r="I734" s="35">
        <v>18</v>
      </c>
    </row>
    <row r="735" spans="1:9" x14ac:dyDescent="0.25">
      <c r="A735" s="21"/>
      <c r="C735" s="34"/>
      <c r="D735" s="35"/>
      <c r="E735" s="35">
        <v>11</v>
      </c>
      <c r="F735" s="36" t="s">
        <v>65</v>
      </c>
      <c r="G735" s="35" t="s">
        <v>1916</v>
      </c>
      <c r="H735" s="35">
        <v>0</v>
      </c>
      <c r="I735" s="35">
        <v>18</v>
      </c>
    </row>
    <row r="736" spans="1:9" x14ac:dyDescent="0.25">
      <c r="A736" s="21"/>
      <c r="C736" s="34"/>
      <c r="D736" s="35"/>
      <c r="E736" s="35">
        <v>12</v>
      </c>
      <c r="F736" s="36" t="s">
        <v>66</v>
      </c>
      <c r="G736" s="35" t="s">
        <v>1917</v>
      </c>
      <c r="H736" s="35">
        <v>0</v>
      </c>
      <c r="I736" s="35">
        <v>18</v>
      </c>
    </row>
    <row r="737" spans="1:9" x14ac:dyDescent="0.25">
      <c r="A737" s="21"/>
      <c r="C737" s="34"/>
      <c r="D737" s="35"/>
      <c r="E737" s="35">
        <v>13</v>
      </c>
      <c r="F737" s="36" t="s">
        <v>1255</v>
      </c>
      <c r="G737" s="35" t="s">
        <v>1918</v>
      </c>
      <c r="H737" s="35">
        <v>0</v>
      </c>
      <c r="I737" s="35">
        <v>18</v>
      </c>
    </row>
    <row r="738" spans="1:9" x14ac:dyDescent="0.25">
      <c r="A738" s="21"/>
      <c r="C738" s="34"/>
      <c r="D738" s="35"/>
      <c r="E738" s="35">
        <v>14</v>
      </c>
      <c r="F738" s="36" t="s">
        <v>1256</v>
      </c>
      <c r="G738" s="35" t="s">
        <v>1919</v>
      </c>
      <c r="H738" s="35">
        <v>0</v>
      </c>
      <c r="I738" s="35">
        <v>18</v>
      </c>
    </row>
    <row r="739" spans="1:9" x14ac:dyDescent="0.25">
      <c r="A739" s="21"/>
      <c r="C739" s="34"/>
      <c r="D739" s="35"/>
      <c r="E739" s="35">
        <v>15</v>
      </c>
      <c r="F739" s="36" t="s">
        <v>1257</v>
      </c>
      <c r="G739" s="35" t="s">
        <v>1920</v>
      </c>
      <c r="H739" s="35">
        <v>0</v>
      </c>
      <c r="I739" s="35">
        <v>18</v>
      </c>
    </row>
    <row r="740" spans="1:9" x14ac:dyDescent="0.25">
      <c r="A740" s="21"/>
      <c r="C740" s="34"/>
      <c r="D740" s="35"/>
      <c r="E740" s="35">
        <v>16</v>
      </c>
      <c r="F740" s="36" t="s">
        <v>1258</v>
      </c>
      <c r="G740" s="35" t="s">
        <v>1921</v>
      </c>
      <c r="H740" s="35">
        <v>0</v>
      </c>
      <c r="I740" s="35">
        <v>18</v>
      </c>
    </row>
    <row r="741" spans="1:9" x14ac:dyDescent="0.25">
      <c r="A741" s="21"/>
      <c r="C741" s="34"/>
      <c r="D741" s="35"/>
      <c r="E741" s="35">
        <v>17</v>
      </c>
      <c r="F741" s="36" t="s">
        <v>1259</v>
      </c>
      <c r="G741" s="35" t="s">
        <v>1922</v>
      </c>
      <c r="H741" s="35">
        <v>0</v>
      </c>
      <c r="I741" s="35">
        <v>18</v>
      </c>
    </row>
    <row r="742" spans="1:9" x14ac:dyDescent="0.25">
      <c r="A742" s="21"/>
      <c r="C742" s="34"/>
      <c r="D742" s="35"/>
      <c r="E742" s="35">
        <v>18</v>
      </c>
      <c r="F742" s="36" t="s">
        <v>1260</v>
      </c>
      <c r="G742" s="35" t="s">
        <v>1923</v>
      </c>
      <c r="H742" s="35">
        <v>0</v>
      </c>
      <c r="I742" s="35">
        <v>18</v>
      </c>
    </row>
    <row r="743" spans="1:9" x14ac:dyDescent="0.25">
      <c r="A743" s="21"/>
      <c r="C743" s="34"/>
      <c r="D743" s="35"/>
      <c r="E743" s="35">
        <v>19</v>
      </c>
      <c r="F743" s="36" t="s">
        <v>1261</v>
      </c>
      <c r="G743" s="35" t="s">
        <v>1924</v>
      </c>
      <c r="H743" s="35">
        <v>0</v>
      </c>
      <c r="I743" s="35">
        <v>20</v>
      </c>
    </row>
    <row r="744" spans="1:9" x14ac:dyDescent="0.25">
      <c r="A744" s="21"/>
      <c r="C744" s="34"/>
      <c r="D744" s="35"/>
      <c r="E744" s="35">
        <v>20</v>
      </c>
      <c r="F744" s="36" t="s">
        <v>1262</v>
      </c>
      <c r="G744" s="35" t="s">
        <v>1925</v>
      </c>
      <c r="H744" s="35">
        <v>0</v>
      </c>
      <c r="I744" s="35">
        <v>20</v>
      </c>
    </row>
    <row r="745" spans="1:9" x14ac:dyDescent="0.25">
      <c r="A745" s="21"/>
      <c r="C745" s="34"/>
      <c r="D745" s="35"/>
      <c r="E745" s="35">
        <v>21</v>
      </c>
      <c r="F745" s="36" t="s">
        <v>1263</v>
      </c>
      <c r="G745" s="35" t="s">
        <v>1926</v>
      </c>
      <c r="H745" s="35">
        <v>0</v>
      </c>
      <c r="I745" s="35">
        <v>20</v>
      </c>
    </row>
    <row r="746" spans="1:9" x14ac:dyDescent="0.25">
      <c r="A746" s="21"/>
      <c r="C746" s="34"/>
      <c r="D746" s="35"/>
      <c r="E746" s="35">
        <v>22</v>
      </c>
      <c r="F746" s="36" t="s">
        <v>1264</v>
      </c>
      <c r="G746" s="35" t="s">
        <v>1927</v>
      </c>
      <c r="H746" s="35">
        <v>0</v>
      </c>
      <c r="I746" s="35">
        <v>20</v>
      </c>
    </row>
    <row r="747" spans="1:9" x14ac:dyDescent="0.25">
      <c r="A747" s="21"/>
      <c r="C747" s="34"/>
      <c r="D747" s="35"/>
      <c r="E747" s="35">
        <v>23</v>
      </c>
      <c r="F747" s="36" t="s">
        <v>1265</v>
      </c>
      <c r="G747" s="35" t="s">
        <v>1928</v>
      </c>
      <c r="H747" s="35">
        <v>0</v>
      </c>
      <c r="I747" s="35">
        <v>20</v>
      </c>
    </row>
    <row r="748" spans="1:9" x14ac:dyDescent="0.25">
      <c r="A748" s="21"/>
      <c r="C748" s="34"/>
      <c r="D748" s="37"/>
      <c r="E748" s="35">
        <v>24</v>
      </c>
      <c r="F748" s="36" t="s">
        <v>1266</v>
      </c>
      <c r="G748" s="35" t="s">
        <v>1929</v>
      </c>
      <c r="H748" s="35">
        <v>0</v>
      </c>
      <c r="I748" s="35">
        <v>20</v>
      </c>
    </row>
    <row r="749" spans="1:9" x14ac:dyDescent="0.25">
      <c r="A749" s="21"/>
      <c r="C749" s="34"/>
      <c r="D749" s="37"/>
      <c r="E749" s="35">
        <v>25</v>
      </c>
      <c r="F749" s="36" t="s">
        <v>1267</v>
      </c>
      <c r="G749" s="35" t="s">
        <v>1930</v>
      </c>
      <c r="H749" s="35">
        <v>0</v>
      </c>
      <c r="I749" s="35">
        <v>20</v>
      </c>
    </row>
    <row r="750" spans="1:9" x14ac:dyDescent="0.25">
      <c r="A750" s="21"/>
      <c r="C750" s="34"/>
      <c r="D750" s="37"/>
      <c r="E750" s="35">
        <v>26</v>
      </c>
      <c r="F750" s="36" t="s">
        <v>1268</v>
      </c>
      <c r="G750" s="35" t="s">
        <v>1931</v>
      </c>
      <c r="H750" s="35">
        <v>0</v>
      </c>
      <c r="I750" s="35">
        <v>20</v>
      </c>
    </row>
    <row r="751" spans="1:9" x14ac:dyDescent="0.25">
      <c r="A751" s="21"/>
      <c r="C751" s="34"/>
      <c r="D751" s="37"/>
      <c r="E751" s="35">
        <v>27</v>
      </c>
      <c r="F751" s="36" t="s">
        <v>1269</v>
      </c>
      <c r="G751" s="35" t="s">
        <v>1932</v>
      </c>
      <c r="H751" s="35">
        <v>0</v>
      </c>
      <c r="I751" s="35">
        <v>20</v>
      </c>
    </row>
    <row r="752" spans="1:9" x14ac:dyDescent="0.25">
      <c r="A752" s="21"/>
      <c r="C752" s="34"/>
      <c r="D752" s="37"/>
      <c r="E752" s="35">
        <v>28</v>
      </c>
      <c r="F752" s="36" t="s">
        <v>1270</v>
      </c>
      <c r="G752" s="35" t="s">
        <v>1933</v>
      </c>
      <c r="H752" s="35">
        <v>0</v>
      </c>
      <c r="I752" s="35">
        <v>20</v>
      </c>
    </row>
    <row r="753" spans="1:9" x14ac:dyDescent="0.25">
      <c r="A753" s="21"/>
      <c r="C753" s="34"/>
      <c r="D753" s="37"/>
      <c r="E753" s="35">
        <v>29</v>
      </c>
      <c r="F753" s="36" t="s">
        <v>1271</v>
      </c>
      <c r="G753" s="35" t="s">
        <v>1934</v>
      </c>
      <c r="H753" s="35">
        <v>0</v>
      </c>
      <c r="I753" s="35">
        <v>20</v>
      </c>
    </row>
    <row r="754" spans="1:9" x14ac:dyDescent="0.25">
      <c r="A754" s="21"/>
      <c r="C754" s="34"/>
      <c r="D754" s="37"/>
      <c r="E754" s="35">
        <v>30</v>
      </c>
      <c r="F754" s="36" t="s">
        <v>1272</v>
      </c>
      <c r="G754" s="35" t="s">
        <v>1935</v>
      </c>
      <c r="H754" s="35">
        <v>0</v>
      </c>
      <c r="I754" s="35">
        <v>20</v>
      </c>
    </row>
    <row r="755" spans="1:9" x14ac:dyDescent="0.25">
      <c r="A755" s="21"/>
      <c r="C755" s="34"/>
      <c r="D755" s="37"/>
      <c r="E755" s="35">
        <v>31</v>
      </c>
      <c r="F755" s="36" t="s">
        <v>1273</v>
      </c>
      <c r="G755" s="35" t="s">
        <v>1936</v>
      </c>
      <c r="H755" s="35">
        <v>0</v>
      </c>
      <c r="I755" s="35">
        <v>20</v>
      </c>
    </row>
    <row r="756" spans="1:9" x14ac:dyDescent="0.25">
      <c r="A756" s="21"/>
      <c r="C756" s="34"/>
      <c r="D756" s="37"/>
      <c r="E756" s="35">
        <v>32</v>
      </c>
      <c r="F756" s="36" t="s">
        <v>1274</v>
      </c>
      <c r="G756" s="35" t="s">
        <v>1937</v>
      </c>
      <c r="H756" s="35">
        <v>0</v>
      </c>
      <c r="I756" s="35">
        <v>20</v>
      </c>
    </row>
    <row r="757" spans="1:9" x14ac:dyDescent="0.25">
      <c r="A757" s="21"/>
      <c r="C757" s="34"/>
      <c r="D757" s="37"/>
      <c r="E757" s="35">
        <v>33</v>
      </c>
      <c r="F757" s="36" t="s">
        <v>1275</v>
      </c>
      <c r="G757" s="35" t="s">
        <v>1938</v>
      </c>
      <c r="H757" s="35">
        <v>0</v>
      </c>
      <c r="I757" s="35">
        <v>20</v>
      </c>
    </row>
    <row r="758" spans="1:9" x14ac:dyDescent="0.25">
      <c r="A758" s="21"/>
      <c r="C758" s="34"/>
      <c r="D758" s="37"/>
      <c r="E758" s="35">
        <v>34</v>
      </c>
      <c r="F758" s="36" t="s">
        <v>1276</v>
      </c>
      <c r="G758" s="35" t="s">
        <v>1939</v>
      </c>
      <c r="H758" s="35">
        <v>0</v>
      </c>
      <c r="I758" s="35">
        <v>20</v>
      </c>
    </row>
    <row r="759" spans="1:9" x14ac:dyDescent="0.25">
      <c r="A759" s="21"/>
      <c r="C759" s="34"/>
      <c r="D759" s="37"/>
      <c r="E759" s="35">
        <v>35</v>
      </c>
      <c r="F759" s="36" t="s">
        <v>1277</v>
      </c>
      <c r="G759" s="35" t="s">
        <v>1940</v>
      </c>
      <c r="H759" s="35">
        <v>0</v>
      </c>
      <c r="I759" s="35">
        <v>20</v>
      </c>
    </row>
    <row r="760" spans="1:9" x14ac:dyDescent="0.25">
      <c r="A760" s="21"/>
      <c r="C760" s="34"/>
      <c r="D760" s="37"/>
      <c r="E760" s="35">
        <v>36</v>
      </c>
      <c r="F760" s="36" t="s">
        <v>1278</v>
      </c>
      <c r="G760" s="35" t="s">
        <v>1941</v>
      </c>
      <c r="H760" s="35">
        <v>0</v>
      </c>
      <c r="I760" s="35">
        <v>20</v>
      </c>
    </row>
    <row r="761" spans="1:9" x14ac:dyDescent="0.25">
      <c r="A761" s="21"/>
      <c r="C761" s="34"/>
      <c r="D761" s="37"/>
      <c r="E761" s="35">
        <v>37</v>
      </c>
      <c r="F761" s="36" t="s">
        <v>1279</v>
      </c>
      <c r="G761" s="35" t="s">
        <v>1942</v>
      </c>
      <c r="H761" s="35">
        <v>0</v>
      </c>
      <c r="I761" s="35">
        <v>20</v>
      </c>
    </row>
    <row r="762" spans="1:9" x14ac:dyDescent="0.25">
      <c r="A762" s="21"/>
      <c r="C762" s="34"/>
      <c r="D762" s="37"/>
      <c r="E762" s="35">
        <v>38</v>
      </c>
      <c r="F762" s="36" t="s">
        <v>1280</v>
      </c>
      <c r="G762" s="35" t="s">
        <v>1943</v>
      </c>
      <c r="H762" s="35">
        <v>0</v>
      </c>
      <c r="I762" s="35">
        <v>20</v>
      </c>
    </row>
    <row r="763" spans="1:9" x14ac:dyDescent="0.25">
      <c r="A763" s="21"/>
      <c r="C763" s="34"/>
      <c r="D763" s="37"/>
      <c r="E763" s="35">
        <v>39</v>
      </c>
      <c r="F763" s="36" t="s">
        <v>1281</v>
      </c>
      <c r="G763" s="35" t="s">
        <v>1944</v>
      </c>
      <c r="H763" s="35">
        <v>0</v>
      </c>
      <c r="I763" s="35">
        <v>20</v>
      </c>
    </row>
    <row r="764" spans="1:9" x14ac:dyDescent="0.25">
      <c r="A764" s="21"/>
      <c r="C764" s="34"/>
      <c r="D764" s="37"/>
      <c r="E764" s="35">
        <v>40</v>
      </c>
      <c r="F764" s="36" t="s">
        <v>1282</v>
      </c>
      <c r="G764" s="35" t="s">
        <v>1945</v>
      </c>
      <c r="H764" s="35">
        <v>0</v>
      </c>
      <c r="I764" s="35">
        <v>20</v>
      </c>
    </row>
    <row r="765" spans="1:9" x14ac:dyDescent="0.25">
      <c r="A765" s="74"/>
      <c r="B765" s="21"/>
      <c r="C765" s="21">
        <v>104</v>
      </c>
      <c r="D765" s="14" t="s">
        <v>2666</v>
      </c>
      <c r="E765" s="14">
        <v>1</v>
      </c>
      <c r="F765" s="15" t="s">
        <v>675</v>
      </c>
      <c r="G765" s="14" t="s">
        <v>2667</v>
      </c>
      <c r="H765" s="14">
        <v>0</v>
      </c>
      <c r="I765" s="14">
        <v>20</v>
      </c>
    </row>
    <row r="766" spans="1:9" x14ac:dyDescent="0.25">
      <c r="A766" s="74"/>
      <c r="B766" s="21"/>
      <c r="C766" s="21"/>
      <c r="D766" s="14" t="s">
        <v>4796</v>
      </c>
      <c r="E766" s="14">
        <v>2</v>
      </c>
      <c r="F766" s="15" t="s">
        <v>676</v>
      </c>
      <c r="G766" s="14" t="s">
        <v>2668</v>
      </c>
      <c r="H766" s="14">
        <v>0</v>
      </c>
      <c r="I766" s="14">
        <v>20</v>
      </c>
    </row>
    <row r="767" spans="1:9" x14ac:dyDescent="0.25">
      <c r="A767" s="74"/>
      <c r="B767" s="21"/>
      <c r="C767" s="21"/>
      <c r="D767" s="14" t="s">
        <v>16</v>
      </c>
      <c r="E767" s="14">
        <v>3</v>
      </c>
      <c r="F767" s="15" t="s">
        <v>677</v>
      </c>
      <c r="G767" s="14" t="s">
        <v>2669</v>
      </c>
      <c r="H767" s="14">
        <v>0</v>
      </c>
      <c r="I767" s="14">
        <v>20</v>
      </c>
    </row>
    <row r="768" spans="1:9" x14ac:dyDescent="0.25">
      <c r="A768" s="74"/>
      <c r="B768" s="21"/>
      <c r="C768" s="21"/>
      <c r="D768" s="14"/>
      <c r="E768" s="14">
        <v>4</v>
      </c>
      <c r="F768" s="15" t="s">
        <v>678</v>
      </c>
      <c r="G768" s="14" t="s">
        <v>2670</v>
      </c>
      <c r="H768" s="14">
        <v>0</v>
      </c>
      <c r="I768" s="14">
        <v>20</v>
      </c>
    </row>
    <row r="769" spans="1:9" x14ac:dyDescent="0.25">
      <c r="A769" s="74"/>
      <c r="B769" s="21"/>
      <c r="C769" s="21"/>
      <c r="D769" s="14"/>
      <c r="E769" s="14">
        <v>5</v>
      </c>
      <c r="F769" s="15" t="s">
        <v>679</v>
      </c>
      <c r="G769" s="14" t="s">
        <v>2671</v>
      </c>
      <c r="H769" s="14">
        <v>0</v>
      </c>
      <c r="I769" s="14">
        <v>20</v>
      </c>
    </row>
    <row r="770" spans="1:9" x14ac:dyDescent="0.25">
      <c r="A770" s="74"/>
      <c r="B770" s="21"/>
      <c r="C770" s="21"/>
      <c r="D770" s="14"/>
      <c r="E770" s="14">
        <v>6</v>
      </c>
      <c r="F770" s="15" t="s">
        <v>680</v>
      </c>
      <c r="G770" s="14" t="s">
        <v>2672</v>
      </c>
      <c r="H770" s="14">
        <v>0</v>
      </c>
      <c r="I770" s="14">
        <v>20</v>
      </c>
    </row>
    <row r="771" spans="1:9" x14ac:dyDescent="0.25">
      <c r="A771" s="74"/>
      <c r="B771" s="21"/>
      <c r="C771" s="21"/>
      <c r="D771" s="14"/>
      <c r="E771" s="14">
        <v>7</v>
      </c>
      <c r="F771" s="15" t="s">
        <v>61</v>
      </c>
      <c r="G771" s="14" t="s">
        <v>2673</v>
      </c>
      <c r="H771" s="14">
        <v>0</v>
      </c>
      <c r="I771" s="14">
        <v>20</v>
      </c>
    </row>
    <row r="772" spans="1:9" x14ac:dyDescent="0.25">
      <c r="A772" s="74"/>
      <c r="B772" s="21"/>
      <c r="C772" s="21"/>
      <c r="D772" s="14"/>
      <c r="E772" s="14">
        <v>8</v>
      </c>
      <c r="F772" s="15" t="s">
        <v>62</v>
      </c>
      <c r="G772" s="14" t="s">
        <v>2706</v>
      </c>
      <c r="H772" s="14">
        <v>0</v>
      </c>
      <c r="I772" s="14">
        <v>20</v>
      </c>
    </row>
    <row r="773" spans="1:9" x14ac:dyDescent="0.25">
      <c r="A773" s="74"/>
      <c r="B773" s="21"/>
      <c r="C773" s="21"/>
      <c r="D773" s="14"/>
      <c r="E773" s="14">
        <v>9</v>
      </c>
      <c r="F773" s="15" t="s">
        <v>63</v>
      </c>
      <c r="G773" s="14" t="s">
        <v>2674</v>
      </c>
      <c r="H773" s="14">
        <v>0</v>
      </c>
      <c r="I773" s="14">
        <v>20</v>
      </c>
    </row>
    <row r="774" spans="1:9" x14ac:dyDescent="0.25">
      <c r="A774" s="74"/>
      <c r="B774" s="21"/>
      <c r="C774" s="21"/>
      <c r="D774" s="14"/>
      <c r="E774" s="14">
        <v>10</v>
      </c>
      <c r="F774" s="15" t="s">
        <v>64</v>
      </c>
      <c r="G774" s="14" t="s">
        <v>2675</v>
      </c>
      <c r="H774" s="14">
        <v>0</v>
      </c>
      <c r="I774" s="14">
        <v>20</v>
      </c>
    </row>
    <row r="775" spans="1:9" x14ac:dyDescent="0.25">
      <c r="A775" s="74"/>
      <c r="B775" s="21"/>
      <c r="C775" s="21"/>
      <c r="D775" s="14"/>
      <c r="E775" s="14">
        <v>11</v>
      </c>
      <c r="F775" s="15" t="s">
        <v>65</v>
      </c>
      <c r="G775" s="14" t="s">
        <v>2676</v>
      </c>
      <c r="H775" s="14">
        <v>0</v>
      </c>
      <c r="I775" s="14">
        <v>20</v>
      </c>
    </row>
    <row r="776" spans="1:9" x14ac:dyDescent="0.25">
      <c r="A776" s="74"/>
      <c r="B776" s="21"/>
      <c r="C776" s="21"/>
      <c r="D776" s="14"/>
      <c r="E776" s="14">
        <v>12</v>
      </c>
      <c r="F776" s="15" t="s">
        <v>66</v>
      </c>
      <c r="G776" s="14" t="s">
        <v>2677</v>
      </c>
      <c r="H776" s="14">
        <v>0</v>
      </c>
      <c r="I776" s="14">
        <v>20</v>
      </c>
    </row>
    <row r="777" spans="1:9" x14ac:dyDescent="0.25">
      <c r="A777" s="74"/>
      <c r="B777" s="21"/>
      <c r="C777" s="21"/>
      <c r="D777" s="14"/>
      <c r="E777" s="14">
        <v>13</v>
      </c>
      <c r="F777" s="15" t="s">
        <v>1255</v>
      </c>
      <c r="G777" s="14" t="s">
        <v>2678</v>
      </c>
      <c r="H777" s="14">
        <v>0</v>
      </c>
      <c r="I777" s="14">
        <v>20</v>
      </c>
    </row>
    <row r="778" spans="1:9" x14ac:dyDescent="0.25">
      <c r="A778" s="74"/>
      <c r="B778" s="21"/>
      <c r="C778" s="21"/>
      <c r="D778" s="14"/>
      <c r="E778" s="14">
        <v>14</v>
      </c>
      <c r="F778" s="15" t="s">
        <v>1256</v>
      </c>
      <c r="G778" s="14" t="s">
        <v>2679</v>
      </c>
      <c r="H778" s="14">
        <v>0</v>
      </c>
      <c r="I778" s="14">
        <v>20</v>
      </c>
    </row>
    <row r="779" spans="1:9" x14ac:dyDescent="0.25">
      <c r="A779" s="74"/>
      <c r="B779" s="21"/>
      <c r="C779" s="21"/>
      <c r="D779" s="14"/>
      <c r="E779" s="14">
        <v>15</v>
      </c>
      <c r="F779" s="15" t="s">
        <v>1257</v>
      </c>
      <c r="G779" s="14" t="s">
        <v>2680</v>
      </c>
      <c r="H779" s="14">
        <v>0</v>
      </c>
      <c r="I779" s="14">
        <v>20</v>
      </c>
    </row>
    <row r="780" spans="1:9" x14ac:dyDescent="0.25">
      <c r="A780" s="74"/>
      <c r="B780" s="21"/>
      <c r="C780" s="21"/>
      <c r="D780" s="14"/>
      <c r="E780" s="14">
        <v>16</v>
      </c>
      <c r="F780" s="15" t="s">
        <v>1258</v>
      </c>
      <c r="G780" s="14" t="s">
        <v>2681</v>
      </c>
      <c r="H780" s="14">
        <v>0</v>
      </c>
      <c r="I780" s="14">
        <v>20</v>
      </c>
    </row>
    <row r="781" spans="1:9" x14ac:dyDescent="0.25">
      <c r="A781" s="74"/>
      <c r="B781" s="21"/>
      <c r="C781" s="21"/>
      <c r="D781" s="14"/>
      <c r="E781" s="14">
        <v>17</v>
      </c>
      <c r="F781" s="15" t="s">
        <v>1259</v>
      </c>
      <c r="G781" s="14" t="s">
        <v>2682</v>
      </c>
      <c r="H781" s="14">
        <v>0</v>
      </c>
      <c r="I781" s="14">
        <v>20</v>
      </c>
    </row>
    <row r="782" spans="1:9" x14ac:dyDescent="0.25">
      <c r="A782" s="74"/>
      <c r="B782" s="21"/>
      <c r="C782" s="21"/>
      <c r="D782" s="14"/>
      <c r="E782" s="14">
        <v>18</v>
      </c>
      <c r="F782" s="15" t="s">
        <v>1260</v>
      </c>
      <c r="G782" s="14" t="s">
        <v>2683</v>
      </c>
      <c r="H782" s="14">
        <v>0</v>
      </c>
      <c r="I782" s="14">
        <v>20</v>
      </c>
    </row>
    <row r="783" spans="1:9" x14ac:dyDescent="0.25">
      <c r="A783" s="74"/>
      <c r="B783" s="21"/>
      <c r="C783" s="21"/>
      <c r="D783" s="14"/>
      <c r="E783" s="14">
        <v>19</v>
      </c>
      <c r="F783" s="15" t="s">
        <v>1261</v>
      </c>
      <c r="G783" s="14" t="s">
        <v>2684</v>
      </c>
      <c r="H783" s="14">
        <v>0</v>
      </c>
      <c r="I783" s="14">
        <v>20</v>
      </c>
    </row>
    <row r="784" spans="1:9" x14ac:dyDescent="0.25">
      <c r="A784" s="74"/>
      <c r="B784" s="21"/>
      <c r="C784" s="21"/>
      <c r="D784" s="14"/>
      <c r="E784" s="14">
        <v>20</v>
      </c>
      <c r="F784" s="15" t="s">
        <v>1262</v>
      </c>
      <c r="G784" s="14" t="s">
        <v>2685</v>
      </c>
      <c r="H784" s="14">
        <v>0</v>
      </c>
      <c r="I784" s="14">
        <v>20</v>
      </c>
    </row>
    <row r="785" spans="1:13" x14ac:dyDescent="0.25">
      <c r="A785" s="74"/>
      <c r="B785" s="21"/>
      <c r="C785" s="21"/>
      <c r="D785" s="14"/>
      <c r="E785" s="14">
        <v>21</v>
      </c>
      <c r="F785" s="15" t="s">
        <v>1263</v>
      </c>
      <c r="G785" s="14" t="s">
        <v>2686</v>
      </c>
      <c r="H785" s="14">
        <v>0</v>
      </c>
      <c r="I785" s="14">
        <v>20</v>
      </c>
    </row>
    <row r="786" spans="1:13" x14ac:dyDescent="0.25">
      <c r="A786" s="74"/>
      <c r="B786" s="21"/>
      <c r="C786" s="21"/>
      <c r="D786" s="14"/>
      <c r="E786" s="14">
        <v>22</v>
      </c>
      <c r="F786" s="15" t="s">
        <v>1264</v>
      </c>
      <c r="G786" s="14" t="s">
        <v>2687</v>
      </c>
      <c r="H786" s="14">
        <v>0</v>
      </c>
      <c r="I786" s="14">
        <v>20</v>
      </c>
    </row>
    <row r="787" spans="1:13" x14ac:dyDescent="0.25">
      <c r="A787" s="74"/>
      <c r="B787" s="21"/>
      <c r="C787" s="21"/>
      <c r="D787" s="14"/>
      <c r="E787" s="14">
        <v>23</v>
      </c>
      <c r="F787" s="15" t="s">
        <v>1265</v>
      </c>
      <c r="G787" s="14" t="s">
        <v>2705</v>
      </c>
      <c r="H787" s="14">
        <v>0</v>
      </c>
      <c r="I787" s="14">
        <v>20</v>
      </c>
    </row>
    <row r="788" spans="1:13" x14ac:dyDescent="0.25">
      <c r="A788" s="74"/>
      <c r="B788" s="21"/>
      <c r="C788" s="21"/>
      <c r="D788" s="16"/>
      <c r="E788" s="14">
        <v>24</v>
      </c>
      <c r="F788" s="15" t="s">
        <v>1266</v>
      </c>
      <c r="G788" s="14" t="s">
        <v>2688</v>
      </c>
      <c r="H788" s="14">
        <v>0</v>
      </c>
      <c r="I788" s="14">
        <v>20</v>
      </c>
    </row>
    <row r="789" spans="1:13" x14ac:dyDescent="0.25">
      <c r="A789" s="74"/>
      <c r="B789" s="21"/>
      <c r="C789" s="21"/>
      <c r="D789" s="16"/>
      <c r="E789" s="14">
        <v>25</v>
      </c>
      <c r="F789" s="15" t="s">
        <v>1267</v>
      </c>
      <c r="G789" s="14" t="s">
        <v>2689</v>
      </c>
      <c r="H789" s="14">
        <v>0</v>
      </c>
      <c r="I789" s="14">
        <v>20</v>
      </c>
    </row>
    <row r="790" spans="1:13" x14ac:dyDescent="0.25">
      <c r="A790" s="74"/>
      <c r="B790" s="21"/>
      <c r="C790" s="21"/>
      <c r="D790" s="16"/>
      <c r="E790" s="14">
        <v>26</v>
      </c>
      <c r="F790" s="15" t="s">
        <v>1268</v>
      </c>
      <c r="G790" s="14" t="s">
        <v>2690</v>
      </c>
      <c r="H790" s="14">
        <v>0</v>
      </c>
      <c r="I790" s="14">
        <v>20</v>
      </c>
    </row>
    <row r="791" spans="1:13" x14ac:dyDescent="0.25">
      <c r="A791" s="74"/>
      <c r="B791" s="21"/>
      <c r="C791" s="21"/>
      <c r="D791" s="16"/>
      <c r="E791" s="14">
        <v>27</v>
      </c>
      <c r="F791" s="15" t="s">
        <v>1269</v>
      </c>
      <c r="G791" s="14" t="s">
        <v>2691</v>
      </c>
      <c r="H791" s="14">
        <v>0</v>
      </c>
      <c r="I791" s="14">
        <v>20</v>
      </c>
    </row>
    <row r="792" spans="1:13" x14ac:dyDescent="0.25">
      <c r="A792" s="74"/>
      <c r="B792" s="21"/>
      <c r="C792" s="21"/>
      <c r="D792" s="16"/>
      <c r="E792" s="14">
        <v>28</v>
      </c>
      <c r="F792" s="15" t="s">
        <v>1270</v>
      </c>
      <c r="G792" s="14" t="s">
        <v>2692</v>
      </c>
      <c r="H792" s="14">
        <v>0</v>
      </c>
      <c r="I792" s="14">
        <v>20</v>
      </c>
    </row>
    <row r="793" spans="1:13" x14ac:dyDescent="0.25">
      <c r="A793" s="74"/>
      <c r="B793" s="21"/>
      <c r="C793" s="21"/>
      <c r="D793" s="16"/>
      <c r="E793" s="14">
        <v>29</v>
      </c>
      <c r="F793" s="15" t="s">
        <v>1271</v>
      </c>
      <c r="G793" s="14" t="s">
        <v>2693</v>
      </c>
      <c r="H793" s="14">
        <v>0</v>
      </c>
      <c r="I793" s="14">
        <v>20</v>
      </c>
    </row>
    <row r="794" spans="1:13" x14ac:dyDescent="0.25">
      <c r="A794" s="74"/>
      <c r="B794" s="21"/>
      <c r="C794" s="21"/>
      <c r="D794" s="16"/>
      <c r="E794" s="14">
        <v>30</v>
      </c>
      <c r="F794" s="15" t="s">
        <v>1272</v>
      </c>
      <c r="G794" s="14" t="s">
        <v>2694</v>
      </c>
      <c r="H794" s="14">
        <v>0</v>
      </c>
      <c r="I794" s="14">
        <v>20</v>
      </c>
    </row>
    <row r="795" spans="1:13" ht="30" x14ac:dyDescent="0.25">
      <c r="A795" s="74"/>
      <c r="B795" s="21"/>
      <c r="C795" s="21"/>
      <c r="D795" s="16"/>
      <c r="E795" s="14">
        <v>31</v>
      </c>
      <c r="F795" s="15" t="s">
        <v>1273</v>
      </c>
      <c r="G795" s="14" t="s">
        <v>2695</v>
      </c>
      <c r="H795" s="14">
        <v>0</v>
      </c>
      <c r="I795" s="14">
        <v>20</v>
      </c>
      <c r="J795" s="43"/>
      <c r="K795" s="43"/>
      <c r="L795" s="43"/>
      <c r="M795" s="43" t="s">
        <v>2421</v>
      </c>
    </row>
    <row r="796" spans="1:13" x14ac:dyDescent="0.25">
      <c r="A796" s="74"/>
      <c r="B796" s="21"/>
      <c r="C796" s="21"/>
      <c r="D796" s="16"/>
      <c r="E796" s="14">
        <v>32</v>
      </c>
      <c r="F796" s="15" t="s">
        <v>1274</v>
      </c>
      <c r="G796" s="14" t="s">
        <v>2696</v>
      </c>
      <c r="H796" s="14">
        <v>0</v>
      </c>
      <c r="I796" s="14">
        <v>20</v>
      </c>
      <c r="J796" s="43"/>
      <c r="K796" s="43"/>
      <c r="L796" s="43"/>
      <c r="M796" s="43" t="s">
        <v>2425</v>
      </c>
    </row>
    <row r="797" spans="1:13" ht="30" x14ac:dyDescent="0.25">
      <c r="A797" s="74"/>
      <c r="B797" s="21"/>
      <c r="C797" s="21"/>
      <c r="D797" s="16"/>
      <c r="E797" s="14">
        <v>33</v>
      </c>
      <c r="F797" s="15" t="s">
        <v>1275</v>
      </c>
      <c r="G797" s="14" t="s">
        <v>2697</v>
      </c>
      <c r="H797" s="14">
        <v>0</v>
      </c>
      <c r="I797" s="14">
        <v>20</v>
      </c>
      <c r="J797" s="43"/>
      <c r="K797" s="43"/>
      <c r="L797" s="43"/>
      <c r="M797" s="43" t="s">
        <v>2429</v>
      </c>
    </row>
    <row r="798" spans="1:13" ht="30" x14ac:dyDescent="0.25">
      <c r="A798" s="74"/>
      <c r="B798" s="21"/>
      <c r="C798" s="21"/>
      <c r="D798" s="16"/>
      <c r="E798" s="14">
        <v>34</v>
      </c>
      <c r="F798" s="15" t="s">
        <v>1276</v>
      </c>
      <c r="G798" s="14" t="s">
        <v>2698</v>
      </c>
      <c r="H798" s="14">
        <v>0</v>
      </c>
      <c r="I798" s="14">
        <v>20</v>
      </c>
      <c r="J798" s="43"/>
      <c r="K798" s="43"/>
      <c r="L798" s="43"/>
      <c r="M798" s="43" t="s">
        <v>2433</v>
      </c>
    </row>
    <row r="799" spans="1:13" x14ac:dyDescent="0.25">
      <c r="A799" s="74"/>
      <c r="B799" s="21"/>
      <c r="C799" s="21"/>
      <c r="D799" s="16"/>
      <c r="E799" s="14">
        <v>35</v>
      </c>
      <c r="F799" s="15" t="s">
        <v>1277</v>
      </c>
      <c r="G799" s="14" t="s">
        <v>2699</v>
      </c>
      <c r="H799" s="14">
        <v>0</v>
      </c>
      <c r="I799" s="14">
        <v>20</v>
      </c>
      <c r="J799" s="43"/>
      <c r="K799" s="43"/>
      <c r="L799" s="43"/>
      <c r="M799" s="43" t="s">
        <v>2437</v>
      </c>
    </row>
    <row r="800" spans="1:13" x14ac:dyDescent="0.25">
      <c r="A800" s="74"/>
      <c r="B800" s="21"/>
      <c r="C800" s="21"/>
      <c r="D800" s="16"/>
      <c r="E800" s="14">
        <v>36</v>
      </c>
      <c r="F800" s="15" t="s">
        <v>1278</v>
      </c>
      <c r="G800" s="14" t="s">
        <v>2700</v>
      </c>
      <c r="H800" s="14">
        <v>0</v>
      </c>
      <c r="I800" s="14">
        <v>20</v>
      </c>
      <c r="J800" s="43"/>
      <c r="K800" s="43"/>
      <c r="L800" s="43"/>
      <c r="M800" s="43"/>
    </row>
    <row r="801" spans="1:13" x14ac:dyDescent="0.25">
      <c r="A801" s="74"/>
      <c r="B801" s="21"/>
      <c r="C801" s="21"/>
      <c r="D801" s="16"/>
      <c r="E801" s="14">
        <v>37</v>
      </c>
      <c r="F801" s="15" t="s">
        <v>1279</v>
      </c>
      <c r="G801" s="14" t="s">
        <v>2701</v>
      </c>
      <c r="H801" s="14">
        <v>0</v>
      </c>
      <c r="I801" s="14">
        <v>20</v>
      </c>
      <c r="J801" s="43"/>
      <c r="K801" s="43"/>
      <c r="L801" s="43"/>
      <c r="M801" s="43"/>
    </row>
    <row r="802" spans="1:13" x14ac:dyDescent="0.25">
      <c r="A802" s="74"/>
      <c r="B802" s="21"/>
      <c r="C802" s="21"/>
      <c r="D802" s="16"/>
      <c r="E802" s="14">
        <v>38</v>
      </c>
      <c r="F802" s="15" t="s">
        <v>1280</v>
      </c>
      <c r="G802" s="14" t="s">
        <v>2702</v>
      </c>
      <c r="H802" s="14">
        <v>0</v>
      </c>
      <c r="I802" s="14">
        <v>20</v>
      </c>
      <c r="J802" s="43"/>
      <c r="K802" s="43"/>
      <c r="L802" s="43"/>
      <c r="M802" s="43"/>
    </row>
    <row r="803" spans="1:13" x14ac:dyDescent="0.25">
      <c r="A803" s="74"/>
      <c r="B803" s="21"/>
      <c r="C803" s="21"/>
      <c r="D803" s="16"/>
      <c r="E803" s="14">
        <v>39</v>
      </c>
      <c r="F803" s="15" t="s">
        <v>1281</v>
      </c>
      <c r="G803" s="14" t="s">
        <v>2703</v>
      </c>
      <c r="H803" s="14">
        <v>0</v>
      </c>
      <c r="I803" s="14">
        <v>20</v>
      </c>
      <c r="J803" s="43"/>
      <c r="K803" s="43"/>
      <c r="L803" s="43"/>
      <c r="M803" s="43"/>
    </row>
    <row r="804" spans="1:13" x14ac:dyDescent="0.25">
      <c r="A804" s="74"/>
      <c r="B804" s="21"/>
      <c r="C804" s="21"/>
      <c r="D804" s="16"/>
      <c r="E804" s="14">
        <v>40</v>
      </c>
      <c r="F804" s="15" t="s">
        <v>1282</v>
      </c>
      <c r="G804" s="14" t="s">
        <v>2704</v>
      </c>
      <c r="H804" s="14">
        <v>0</v>
      </c>
      <c r="I804" s="14">
        <v>20</v>
      </c>
      <c r="J804" s="43"/>
      <c r="K804" s="43"/>
      <c r="L804" s="43"/>
      <c r="M804" s="43"/>
    </row>
    <row r="805" spans="1:13" ht="15" customHeight="1" x14ac:dyDescent="0.25">
      <c r="B805" s="74"/>
      <c r="C805" s="74">
        <v>105</v>
      </c>
      <c r="D805" s="75" t="s">
        <v>2948</v>
      </c>
      <c r="E805" s="75">
        <v>1</v>
      </c>
      <c r="F805" s="76" t="s">
        <v>675</v>
      </c>
      <c r="G805" s="75" t="s">
        <v>2949</v>
      </c>
      <c r="H805" s="75">
        <v>0</v>
      </c>
      <c r="I805" s="75">
        <v>20</v>
      </c>
      <c r="J805" s="43"/>
      <c r="K805" s="43"/>
      <c r="L805" s="43"/>
      <c r="M805" s="43"/>
    </row>
    <row r="806" spans="1:13" x14ac:dyDescent="0.25">
      <c r="B806" s="74"/>
      <c r="C806" s="74"/>
      <c r="D806" s="75" t="s">
        <v>4796</v>
      </c>
      <c r="E806" s="75">
        <v>2</v>
      </c>
      <c r="F806" s="76" t="s">
        <v>676</v>
      </c>
      <c r="G806" s="75" t="s">
        <v>2950</v>
      </c>
      <c r="H806" s="75">
        <v>0</v>
      </c>
      <c r="I806" s="75">
        <v>20</v>
      </c>
      <c r="J806" s="43"/>
      <c r="K806" s="43"/>
      <c r="L806" s="43"/>
      <c r="M806" s="43"/>
    </row>
    <row r="807" spans="1:13" x14ac:dyDescent="0.25">
      <c r="B807" s="74"/>
      <c r="C807" s="74"/>
      <c r="D807" s="75" t="s">
        <v>16</v>
      </c>
      <c r="E807" s="75">
        <v>3</v>
      </c>
      <c r="F807" s="76" t="s">
        <v>677</v>
      </c>
      <c r="G807" s="75" t="s">
        <v>2951</v>
      </c>
      <c r="H807" s="75">
        <v>0</v>
      </c>
      <c r="I807" s="75">
        <v>20</v>
      </c>
      <c r="J807" s="43"/>
      <c r="K807" s="43"/>
      <c r="L807" s="43"/>
      <c r="M807" s="43"/>
    </row>
    <row r="808" spans="1:13" x14ac:dyDescent="0.25">
      <c r="B808" s="74"/>
      <c r="C808" s="74"/>
      <c r="D808" s="75"/>
      <c r="E808" s="75">
        <v>4</v>
      </c>
      <c r="F808" s="76" t="s">
        <v>678</v>
      </c>
      <c r="G808" s="75" t="s">
        <v>2952</v>
      </c>
      <c r="H808" s="75">
        <v>0</v>
      </c>
      <c r="I808" s="75">
        <v>20</v>
      </c>
      <c r="J808" s="43"/>
      <c r="K808" s="43"/>
      <c r="L808" s="43"/>
      <c r="M808" s="43"/>
    </row>
    <row r="809" spans="1:13" x14ac:dyDescent="0.25">
      <c r="B809" s="74"/>
      <c r="C809" s="74"/>
      <c r="D809" s="75"/>
      <c r="E809" s="75">
        <v>5</v>
      </c>
      <c r="F809" s="76" t="s">
        <v>679</v>
      </c>
      <c r="G809" s="75" t="s">
        <v>2953</v>
      </c>
      <c r="H809" s="75">
        <v>0</v>
      </c>
      <c r="I809" s="75">
        <v>20</v>
      </c>
      <c r="J809" s="43"/>
      <c r="K809" s="43"/>
      <c r="L809" s="43"/>
      <c r="M809" s="43"/>
    </row>
    <row r="810" spans="1:13" x14ac:dyDescent="0.25">
      <c r="B810" s="74"/>
      <c r="C810" s="74"/>
      <c r="D810" s="75"/>
      <c r="E810" s="75">
        <v>6</v>
      </c>
      <c r="F810" s="76" t="s">
        <v>680</v>
      </c>
      <c r="G810" s="75" t="s">
        <v>2954</v>
      </c>
      <c r="H810" s="75">
        <v>0</v>
      </c>
      <c r="I810" s="75">
        <v>20</v>
      </c>
      <c r="J810" s="43"/>
      <c r="K810" s="43"/>
      <c r="L810" s="43"/>
      <c r="M810" s="43"/>
    </row>
    <row r="811" spans="1:13" x14ac:dyDescent="0.25">
      <c r="B811" s="74"/>
      <c r="C811" s="74"/>
      <c r="D811" s="75"/>
      <c r="E811" s="75">
        <v>7</v>
      </c>
      <c r="F811" s="76" t="s">
        <v>61</v>
      </c>
      <c r="G811" s="75" t="s">
        <v>2955</v>
      </c>
      <c r="H811" s="75">
        <v>0</v>
      </c>
      <c r="I811" s="75">
        <v>20</v>
      </c>
      <c r="J811" s="43"/>
      <c r="K811" s="43"/>
      <c r="L811" s="43"/>
      <c r="M811" s="43"/>
    </row>
    <row r="812" spans="1:13" x14ac:dyDescent="0.25">
      <c r="B812" s="74"/>
      <c r="C812" s="74"/>
      <c r="D812" s="75"/>
      <c r="E812" s="75">
        <v>8</v>
      </c>
      <c r="F812" s="76" t="s">
        <v>62</v>
      </c>
      <c r="G812" s="75" t="s">
        <v>2956</v>
      </c>
      <c r="H812" s="75">
        <v>0</v>
      </c>
      <c r="I812" s="75">
        <v>20</v>
      </c>
      <c r="J812" s="43"/>
      <c r="K812" s="43"/>
      <c r="L812" s="43"/>
      <c r="M812" s="43"/>
    </row>
    <row r="813" spans="1:13" x14ac:dyDescent="0.25">
      <c r="B813" s="74"/>
      <c r="C813" s="74"/>
      <c r="D813" s="75"/>
      <c r="E813" s="75">
        <v>9</v>
      </c>
      <c r="F813" s="76" t="s">
        <v>63</v>
      </c>
      <c r="G813" s="75" t="s">
        <v>2957</v>
      </c>
      <c r="H813" s="75">
        <v>0</v>
      </c>
      <c r="I813" s="75">
        <v>20</v>
      </c>
      <c r="J813" s="43"/>
      <c r="K813" s="43"/>
      <c r="L813" s="43"/>
      <c r="M813" s="43"/>
    </row>
    <row r="814" spans="1:13" x14ac:dyDescent="0.25">
      <c r="B814" s="74"/>
      <c r="C814" s="74"/>
      <c r="D814" s="75"/>
      <c r="E814" s="75">
        <v>10</v>
      </c>
      <c r="F814" s="76" t="s">
        <v>64</v>
      </c>
      <c r="G814" s="75" t="s">
        <v>2958</v>
      </c>
      <c r="H814" s="75">
        <v>0</v>
      </c>
      <c r="I814" s="75">
        <v>20</v>
      </c>
      <c r="J814" s="43"/>
      <c r="K814" s="43"/>
      <c r="L814" s="43"/>
      <c r="M814" s="43"/>
    </row>
    <row r="815" spans="1:13" x14ac:dyDescent="0.25">
      <c r="B815" s="74"/>
      <c r="C815" s="74"/>
      <c r="D815" s="75"/>
      <c r="E815" s="75">
        <v>11</v>
      </c>
      <c r="F815" s="76" t="s">
        <v>65</v>
      </c>
      <c r="G815" s="75" t="s">
        <v>2959</v>
      </c>
      <c r="H815" s="75">
        <v>0</v>
      </c>
      <c r="I815" s="75">
        <v>20</v>
      </c>
      <c r="J815" s="43"/>
      <c r="K815" s="43"/>
      <c r="L815" s="43"/>
      <c r="M815" s="43"/>
    </row>
    <row r="816" spans="1:13" x14ac:dyDescent="0.25">
      <c r="B816" s="74"/>
      <c r="C816" s="74"/>
      <c r="D816" s="75"/>
      <c r="E816" s="75">
        <v>12</v>
      </c>
      <c r="F816" s="76" t="s">
        <v>66</v>
      </c>
      <c r="G816" s="75" t="s">
        <v>2960</v>
      </c>
      <c r="H816" s="75">
        <v>0</v>
      </c>
      <c r="I816" s="75">
        <v>20</v>
      </c>
      <c r="J816" s="43"/>
      <c r="K816" s="43"/>
      <c r="L816" s="43"/>
      <c r="M816" s="43"/>
    </row>
    <row r="817" spans="2:13" x14ac:dyDescent="0.25">
      <c r="B817" s="74"/>
      <c r="C817" s="74"/>
      <c r="D817" s="75"/>
      <c r="E817" s="75">
        <v>13</v>
      </c>
      <c r="F817" s="76" t="s">
        <v>1255</v>
      </c>
      <c r="G817" s="75" t="s">
        <v>2961</v>
      </c>
      <c r="H817" s="75">
        <v>0</v>
      </c>
      <c r="I817" s="75">
        <v>20</v>
      </c>
      <c r="J817" s="43"/>
      <c r="K817" s="43"/>
      <c r="L817" s="43"/>
      <c r="M817" s="43"/>
    </row>
    <row r="818" spans="2:13" x14ac:dyDescent="0.25">
      <c r="B818" s="74"/>
      <c r="C818" s="74"/>
      <c r="D818" s="75"/>
      <c r="E818" s="75">
        <v>14</v>
      </c>
      <c r="F818" s="76" t="s">
        <v>1256</v>
      </c>
      <c r="G818" s="75" t="s">
        <v>2962</v>
      </c>
      <c r="H818" s="75">
        <v>0</v>
      </c>
      <c r="I818" s="75">
        <v>20</v>
      </c>
      <c r="J818" s="43"/>
      <c r="K818" s="43"/>
      <c r="L818" s="43"/>
      <c r="M818" s="43"/>
    </row>
    <row r="819" spans="2:13" x14ac:dyDescent="0.25">
      <c r="B819" s="74"/>
      <c r="C819" s="74"/>
      <c r="D819" s="75"/>
      <c r="E819" s="75">
        <v>15</v>
      </c>
      <c r="F819" s="76" t="s">
        <v>1257</v>
      </c>
      <c r="G819" s="75" t="s">
        <v>2963</v>
      </c>
      <c r="H819" s="75">
        <v>0</v>
      </c>
      <c r="I819" s="75">
        <v>20</v>
      </c>
      <c r="J819" s="43"/>
      <c r="K819" s="43"/>
      <c r="L819" s="43"/>
      <c r="M819" s="43"/>
    </row>
    <row r="820" spans="2:13" x14ac:dyDescent="0.25">
      <c r="B820" s="74"/>
      <c r="C820" s="74"/>
      <c r="D820" s="75"/>
      <c r="E820" s="75">
        <v>16</v>
      </c>
      <c r="F820" s="76" t="s">
        <v>1258</v>
      </c>
      <c r="G820" s="75" t="s">
        <v>2964</v>
      </c>
      <c r="H820" s="75">
        <v>0</v>
      </c>
      <c r="I820" s="75">
        <v>20</v>
      </c>
      <c r="J820" s="43"/>
      <c r="K820" s="43"/>
      <c r="L820" s="43"/>
      <c r="M820" s="43"/>
    </row>
    <row r="821" spans="2:13" x14ac:dyDescent="0.25">
      <c r="B821" s="74"/>
      <c r="C821" s="74"/>
      <c r="D821" s="75"/>
      <c r="E821" s="75">
        <v>17</v>
      </c>
      <c r="F821" s="76" t="s">
        <v>1259</v>
      </c>
      <c r="G821" s="75" t="s">
        <v>2965</v>
      </c>
      <c r="H821" s="75">
        <v>0</v>
      </c>
      <c r="I821" s="75">
        <v>20</v>
      </c>
      <c r="J821" s="43"/>
      <c r="K821" s="43"/>
      <c r="L821" s="43"/>
      <c r="M821" s="43"/>
    </row>
    <row r="822" spans="2:13" x14ac:dyDescent="0.25">
      <c r="B822" s="74"/>
      <c r="C822" s="74"/>
      <c r="D822" s="75"/>
      <c r="E822" s="75">
        <v>18</v>
      </c>
      <c r="F822" s="76" t="s">
        <v>1260</v>
      </c>
      <c r="G822" s="75" t="s">
        <v>2966</v>
      </c>
      <c r="H822" s="75">
        <v>0</v>
      </c>
      <c r="I822" s="75">
        <v>20</v>
      </c>
      <c r="J822" s="43"/>
      <c r="K822" s="43"/>
      <c r="L822" s="43"/>
      <c r="M822" s="43"/>
    </row>
    <row r="823" spans="2:13" x14ac:dyDescent="0.25">
      <c r="B823" s="74"/>
      <c r="C823" s="74"/>
      <c r="D823" s="75"/>
      <c r="E823" s="75">
        <v>19</v>
      </c>
      <c r="F823" s="76" t="s">
        <v>1261</v>
      </c>
      <c r="G823" s="75" t="s">
        <v>2967</v>
      </c>
      <c r="H823" s="75">
        <v>0</v>
      </c>
      <c r="I823" s="75">
        <v>20</v>
      </c>
      <c r="J823" s="43"/>
      <c r="K823" s="43"/>
      <c r="L823" s="43"/>
      <c r="M823" s="43"/>
    </row>
    <row r="824" spans="2:13" x14ac:dyDescent="0.25">
      <c r="B824" s="74"/>
      <c r="C824" s="74"/>
      <c r="D824" s="75"/>
      <c r="E824" s="75">
        <v>20</v>
      </c>
      <c r="F824" s="76" t="s">
        <v>1262</v>
      </c>
      <c r="G824" s="75" t="s">
        <v>2968</v>
      </c>
      <c r="H824" s="75">
        <v>0</v>
      </c>
      <c r="I824" s="75">
        <v>20</v>
      </c>
      <c r="J824" s="43"/>
      <c r="K824" s="43"/>
      <c r="L824" s="43"/>
      <c r="M824" s="43"/>
    </row>
    <row r="825" spans="2:13" x14ac:dyDescent="0.25">
      <c r="B825" s="74"/>
      <c r="C825" s="74"/>
      <c r="D825" s="75"/>
      <c r="E825" s="75">
        <v>21</v>
      </c>
      <c r="F825" s="76" t="s">
        <v>1263</v>
      </c>
      <c r="G825" s="75" t="s">
        <v>2969</v>
      </c>
      <c r="H825" s="75">
        <v>0</v>
      </c>
      <c r="I825" s="75">
        <v>20</v>
      </c>
      <c r="J825" s="43"/>
      <c r="K825" s="43"/>
      <c r="L825" s="43"/>
      <c r="M825" s="43"/>
    </row>
    <row r="826" spans="2:13" x14ac:dyDescent="0.25">
      <c r="B826" s="74"/>
      <c r="C826" s="74"/>
      <c r="D826" s="75"/>
      <c r="E826" s="75">
        <v>22</v>
      </c>
      <c r="F826" s="76" t="s">
        <v>1264</v>
      </c>
      <c r="G826" s="75" t="s">
        <v>2970</v>
      </c>
      <c r="H826" s="75">
        <v>0</v>
      </c>
      <c r="I826" s="75">
        <v>20</v>
      </c>
      <c r="J826" s="43"/>
      <c r="K826" s="43"/>
      <c r="L826" s="43"/>
      <c r="M826" s="43"/>
    </row>
    <row r="827" spans="2:13" x14ac:dyDescent="0.25">
      <c r="B827" s="74"/>
      <c r="C827" s="74"/>
      <c r="D827" s="75"/>
      <c r="E827" s="75">
        <v>23</v>
      </c>
      <c r="F827" s="76" t="s">
        <v>1265</v>
      </c>
      <c r="G827" s="75" t="s">
        <v>2971</v>
      </c>
      <c r="H827" s="75">
        <v>0</v>
      </c>
      <c r="I827" s="75">
        <v>20</v>
      </c>
      <c r="J827" s="43"/>
      <c r="K827" s="43"/>
      <c r="L827" s="43"/>
      <c r="M827" s="43"/>
    </row>
    <row r="828" spans="2:13" x14ac:dyDescent="0.25">
      <c r="B828" s="74"/>
      <c r="C828" s="74"/>
      <c r="D828" s="77"/>
      <c r="E828" s="75">
        <v>24</v>
      </c>
      <c r="F828" s="76" t="s">
        <v>1266</v>
      </c>
      <c r="G828" s="75" t="s">
        <v>2972</v>
      </c>
      <c r="H828" s="75">
        <v>0</v>
      </c>
      <c r="I828" s="75">
        <v>20</v>
      </c>
      <c r="J828" s="43"/>
      <c r="K828" s="43"/>
      <c r="L828" s="43"/>
      <c r="M828" s="43"/>
    </row>
    <row r="829" spans="2:13" x14ac:dyDescent="0.25">
      <c r="B829" s="74"/>
      <c r="C829" s="74"/>
      <c r="D829" s="77"/>
      <c r="E829" s="75">
        <v>25</v>
      </c>
      <c r="F829" s="76" t="s">
        <v>1267</v>
      </c>
      <c r="G829" s="75" t="s">
        <v>2973</v>
      </c>
      <c r="H829" s="75">
        <v>0</v>
      </c>
      <c r="I829" s="75">
        <v>20</v>
      </c>
      <c r="J829" s="43"/>
      <c r="K829" s="43"/>
      <c r="L829" s="43"/>
      <c r="M829" s="43"/>
    </row>
    <row r="830" spans="2:13" x14ac:dyDescent="0.25">
      <c r="B830" s="74"/>
      <c r="C830" s="74"/>
      <c r="D830" s="77"/>
      <c r="E830" s="75">
        <v>26</v>
      </c>
      <c r="F830" s="76" t="s">
        <v>1268</v>
      </c>
      <c r="G830" s="75" t="s">
        <v>2974</v>
      </c>
      <c r="H830" s="75">
        <v>0</v>
      </c>
      <c r="I830" s="75">
        <v>20</v>
      </c>
      <c r="J830" s="43"/>
      <c r="K830" s="43"/>
      <c r="L830" s="43"/>
      <c r="M830" s="43"/>
    </row>
    <row r="831" spans="2:13" x14ac:dyDescent="0.25">
      <c r="B831" s="74"/>
      <c r="C831" s="74"/>
      <c r="D831" s="77"/>
      <c r="E831" s="75">
        <v>27</v>
      </c>
      <c r="F831" s="76" t="s">
        <v>1269</v>
      </c>
      <c r="G831" s="75" t="s">
        <v>2975</v>
      </c>
      <c r="H831" s="75">
        <v>0</v>
      </c>
      <c r="I831" s="75">
        <v>20</v>
      </c>
      <c r="J831" s="43"/>
      <c r="K831" s="43"/>
      <c r="L831" s="43"/>
      <c r="M831" s="43"/>
    </row>
    <row r="832" spans="2:13" x14ac:dyDescent="0.25">
      <c r="B832" s="74"/>
      <c r="C832" s="74"/>
      <c r="D832" s="77"/>
      <c r="E832" s="75">
        <v>28</v>
      </c>
      <c r="F832" s="76" t="s">
        <v>1270</v>
      </c>
      <c r="G832" s="75" t="s">
        <v>2976</v>
      </c>
      <c r="H832" s="75">
        <v>0</v>
      </c>
      <c r="I832" s="75">
        <v>20</v>
      </c>
      <c r="J832" s="43"/>
      <c r="K832" s="43"/>
      <c r="L832" s="43"/>
      <c r="M832" s="43"/>
    </row>
    <row r="833" spans="1:17" x14ac:dyDescent="0.25">
      <c r="B833" s="74"/>
      <c r="C833" s="74"/>
      <c r="D833" s="77"/>
      <c r="E833" s="75">
        <v>29</v>
      </c>
      <c r="F833" s="76" t="s">
        <v>1271</v>
      </c>
      <c r="G833" s="75" t="s">
        <v>2977</v>
      </c>
      <c r="H833" s="75">
        <v>0</v>
      </c>
      <c r="I833" s="75">
        <v>20</v>
      </c>
      <c r="J833" s="43"/>
      <c r="K833" s="43"/>
      <c r="L833" s="43"/>
      <c r="M833" s="43"/>
    </row>
    <row r="834" spans="1:17" x14ac:dyDescent="0.25">
      <c r="B834" s="74"/>
      <c r="C834" s="74"/>
      <c r="D834" s="77"/>
      <c r="E834" s="75">
        <v>30</v>
      </c>
      <c r="F834" s="76" t="s">
        <v>1272</v>
      </c>
      <c r="G834" s="75" t="s">
        <v>2978</v>
      </c>
      <c r="H834" s="75">
        <v>0</v>
      </c>
      <c r="I834" s="75">
        <v>20</v>
      </c>
    </row>
    <row r="835" spans="1:17" x14ac:dyDescent="0.25">
      <c r="B835" s="74"/>
      <c r="C835" s="74"/>
      <c r="D835" s="77"/>
      <c r="E835" s="75">
        <v>31</v>
      </c>
      <c r="F835" s="76" t="s">
        <v>1273</v>
      </c>
      <c r="G835" s="75" t="s">
        <v>2979</v>
      </c>
      <c r="H835" s="75">
        <v>0</v>
      </c>
      <c r="I835" s="75">
        <v>20</v>
      </c>
    </row>
    <row r="836" spans="1:17" x14ac:dyDescent="0.25">
      <c r="B836" s="74"/>
      <c r="C836" s="74"/>
      <c r="D836" s="77"/>
      <c r="E836" s="75">
        <v>32</v>
      </c>
      <c r="F836" s="76" t="s">
        <v>1274</v>
      </c>
      <c r="G836" s="75" t="s">
        <v>2980</v>
      </c>
      <c r="H836" s="75">
        <v>0</v>
      </c>
      <c r="I836" s="75">
        <v>20</v>
      </c>
    </row>
    <row r="837" spans="1:17" x14ac:dyDescent="0.25">
      <c r="B837" s="74"/>
      <c r="C837" s="74"/>
      <c r="D837" s="77"/>
      <c r="E837" s="75">
        <v>33</v>
      </c>
      <c r="F837" s="76" t="s">
        <v>1275</v>
      </c>
      <c r="G837" s="75" t="s">
        <v>2981</v>
      </c>
      <c r="H837" s="75">
        <v>0</v>
      </c>
      <c r="I837" s="75">
        <v>20</v>
      </c>
    </row>
    <row r="838" spans="1:17" x14ac:dyDescent="0.25">
      <c r="B838" s="74"/>
      <c r="C838" s="74"/>
      <c r="D838" s="77"/>
      <c r="E838" s="75">
        <v>34</v>
      </c>
      <c r="F838" s="76" t="s">
        <v>1276</v>
      </c>
      <c r="G838" s="75" t="s">
        <v>2982</v>
      </c>
      <c r="H838" s="75">
        <v>0</v>
      </c>
      <c r="I838" s="75">
        <v>20</v>
      </c>
    </row>
    <row r="839" spans="1:17" x14ac:dyDescent="0.25">
      <c r="B839" s="74"/>
      <c r="C839" s="74"/>
      <c r="D839" s="77"/>
      <c r="E839" s="75">
        <v>35</v>
      </c>
      <c r="F839" s="76" t="s">
        <v>1277</v>
      </c>
      <c r="G839" s="75" t="s">
        <v>2983</v>
      </c>
      <c r="H839" s="75">
        <v>0</v>
      </c>
      <c r="I839" s="75">
        <v>20</v>
      </c>
    </row>
    <row r="840" spans="1:17" x14ac:dyDescent="0.25">
      <c r="B840" s="74"/>
      <c r="C840" s="74"/>
      <c r="D840" s="77"/>
      <c r="E840" s="75">
        <v>36</v>
      </c>
      <c r="F840" s="76" t="s">
        <v>1278</v>
      </c>
      <c r="G840" s="75" t="s">
        <v>2984</v>
      </c>
      <c r="H840" s="75">
        <v>0</v>
      </c>
      <c r="I840" s="75">
        <v>20</v>
      </c>
    </row>
    <row r="841" spans="1:17" x14ac:dyDescent="0.25">
      <c r="B841" s="74"/>
      <c r="C841" s="74"/>
      <c r="D841" s="77"/>
      <c r="E841" s="75">
        <v>37</v>
      </c>
      <c r="F841" s="76" t="s">
        <v>1279</v>
      </c>
      <c r="G841" s="75" t="s">
        <v>2985</v>
      </c>
      <c r="H841" s="75">
        <v>0</v>
      </c>
      <c r="I841" s="75">
        <v>20</v>
      </c>
    </row>
    <row r="842" spans="1:17" x14ac:dyDescent="0.25">
      <c r="B842" s="74"/>
      <c r="C842" s="74"/>
      <c r="D842" s="77"/>
      <c r="E842" s="75">
        <v>38</v>
      </c>
      <c r="F842" s="76" t="s">
        <v>1280</v>
      </c>
      <c r="G842" s="75" t="s">
        <v>2986</v>
      </c>
      <c r="H842" s="75">
        <v>0</v>
      </c>
      <c r="I842" s="75">
        <v>20</v>
      </c>
    </row>
    <row r="843" spans="1:17" x14ac:dyDescent="0.25">
      <c r="B843" s="74"/>
      <c r="C843" s="74"/>
      <c r="D843" s="77"/>
      <c r="E843" s="75">
        <v>39</v>
      </c>
      <c r="F843" s="76" t="s">
        <v>1281</v>
      </c>
      <c r="G843" s="75" t="s">
        <v>2987</v>
      </c>
      <c r="H843" s="75">
        <v>0</v>
      </c>
      <c r="I843" s="75">
        <v>20</v>
      </c>
    </row>
    <row r="844" spans="1:17" x14ac:dyDescent="0.25">
      <c r="B844" s="74"/>
      <c r="C844" s="74"/>
      <c r="D844" s="77"/>
      <c r="E844" s="75">
        <v>40</v>
      </c>
      <c r="F844" s="76" t="s">
        <v>1282</v>
      </c>
      <c r="G844" s="75" t="s">
        <v>2988</v>
      </c>
      <c r="H844" s="75">
        <v>0</v>
      </c>
      <c r="I844" s="75">
        <v>20</v>
      </c>
    </row>
    <row r="845" spans="1:17" ht="15" customHeight="1" x14ac:dyDescent="0.25">
      <c r="A845" s="60"/>
      <c r="B845" s="60"/>
      <c r="C845" s="60">
        <v>106</v>
      </c>
      <c r="D845" s="58" t="s">
        <v>4797</v>
      </c>
      <c r="E845" s="58">
        <v>1</v>
      </c>
      <c r="F845" s="58" t="s">
        <v>5000</v>
      </c>
      <c r="G845" s="58" t="s">
        <v>4798</v>
      </c>
      <c r="H845" s="58">
        <v>0</v>
      </c>
      <c r="I845" s="58">
        <v>20</v>
      </c>
      <c r="J845" s="58" t="s">
        <v>4840</v>
      </c>
      <c r="K845" s="58" t="s">
        <v>4841</v>
      </c>
      <c r="L845" s="58" t="s">
        <v>4842</v>
      </c>
      <c r="M845" s="58" t="s">
        <v>4843</v>
      </c>
      <c r="N845" s="1" t="str">
        <f>CONCATENATE("a. ",(J845))</f>
        <v>a. a. He is not happy there</v>
      </c>
      <c r="O845" s="1" t="str">
        <f>CONCATENATE("b. ",(K845))</f>
        <v>b. b. There are too many Syrians</v>
      </c>
      <c r="P845" s="1" t="str">
        <f>CONCATENATE("c. ",(L845))</f>
        <v>c. c. Things are not cheap there</v>
      </c>
      <c r="Q845" s="1" t="str">
        <f>CONCATENATE("d. ",(M845))</f>
        <v>d. d. He and his wife have no friends</v>
      </c>
    </row>
    <row r="846" spans="1:17" ht="15" customHeight="1" x14ac:dyDescent="0.25">
      <c r="A846" s="60"/>
      <c r="B846" s="60"/>
      <c r="C846" s="60"/>
      <c r="D846" s="58" t="s">
        <v>5040</v>
      </c>
      <c r="E846" s="58">
        <v>2</v>
      </c>
      <c r="F846" s="58" t="s">
        <v>5001</v>
      </c>
      <c r="G846" s="58" t="s">
        <v>4799</v>
      </c>
      <c r="H846" s="58">
        <v>0</v>
      </c>
      <c r="I846" s="58">
        <v>20</v>
      </c>
      <c r="J846" s="58" t="s">
        <v>4844</v>
      </c>
      <c r="K846" s="58" t="s">
        <v>4845</v>
      </c>
      <c r="L846" s="58" t="s">
        <v>4846</v>
      </c>
      <c r="M846" s="58" t="s">
        <v>4847</v>
      </c>
      <c r="N846" s="1" t="str">
        <f t="shared" ref="N846:N884" si="19">CONCATENATE("a. ",(J846))</f>
        <v>a. a. She is very happy in her job</v>
      </c>
      <c r="O846" s="1" t="str">
        <f t="shared" ref="O846:O884" si="20">CONCATENATE("b. ",(K846))</f>
        <v xml:space="preserve">b. b. She dislikes travelling </v>
      </c>
      <c r="P846" s="1" t="str">
        <f t="shared" ref="P846:P884" si="21">CONCATENATE("c. ",(L846))</f>
        <v>c. c. She has a small sales territory</v>
      </c>
      <c r="Q846" s="1" t="str">
        <f t="shared" ref="Q846:Q884" si="22">CONCATENATE("d. ",(M846))</f>
        <v>d. d. She is in the same place every day</v>
      </c>
    </row>
    <row r="847" spans="1:17" ht="15" customHeight="1" x14ac:dyDescent="0.25">
      <c r="A847" s="60"/>
      <c r="B847" s="60"/>
      <c r="C847" s="60"/>
      <c r="D847" s="58" t="s">
        <v>16</v>
      </c>
      <c r="E847" s="58">
        <v>3</v>
      </c>
      <c r="F847" s="58" t="s">
        <v>5002</v>
      </c>
      <c r="G847" s="58" t="s">
        <v>4800</v>
      </c>
      <c r="H847" s="58">
        <v>0</v>
      </c>
      <c r="I847" s="58">
        <v>20</v>
      </c>
      <c r="J847" s="58" t="s">
        <v>4848</v>
      </c>
      <c r="K847" s="58" t="s">
        <v>4849</v>
      </c>
      <c r="L847" s="58" t="s">
        <v>4850</v>
      </c>
      <c r="M847" s="58" t="s">
        <v>4851</v>
      </c>
      <c r="N847" s="1" t="str">
        <f t="shared" si="19"/>
        <v>a. a. He came from a rich family</v>
      </c>
      <c r="O847" s="1" t="str">
        <f t="shared" si="20"/>
        <v>b. b. Houdini is his real name</v>
      </c>
      <c r="P847" s="1" t="str">
        <f t="shared" si="21"/>
        <v>c. c. He spent some time in a circus</v>
      </c>
      <c r="Q847" s="1" t="str">
        <f t="shared" si="22"/>
        <v>d. d. He liked to fly</v>
      </c>
    </row>
    <row r="848" spans="1:17" ht="15" customHeight="1" x14ac:dyDescent="0.25">
      <c r="A848" s="60"/>
      <c r="B848" s="60"/>
      <c r="C848" s="60"/>
      <c r="D848" s="58"/>
      <c r="E848" s="58">
        <v>4</v>
      </c>
      <c r="F848" s="58" t="s">
        <v>5003</v>
      </c>
      <c r="G848" s="58" t="s">
        <v>4801</v>
      </c>
      <c r="H848" s="58">
        <v>0</v>
      </c>
      <c r="I848" s="58">
        <v>20</v>
      </c>
      <c r="J848" s="58" t="s">
        <v>4852</v>
      </c>
      <c r="K848" s="58" t="s">
        <v>4853</v>
      </c>
      <c r="L848" s="58" t="s">
        <v>4854</v>
      </c>
      <c r="M848" s="58" t="s">
        <v>4855</v>
      </c>
      <c r="N848" s="1" t="str">
        <f t="shared" si="19"/>
        <v>a. a. The departure lounge is full</v>
      </c>
      <c r="O848" s="1" t="str">
        <f t="shared" si="20"/>
        <v>b. b. A flight has been cancelled</v>
      </c>
      <c r="P848" s="1" t="str">
        <f t="shared" si="21"/>
        <v>c. c. The airport has no information screens</v>
      </c>
      <c r="Q848" s="1" t="str">
        <f t="shared" si="22"/>
        <v>d. d. The Singapore flight will leave later than planned</v>
      </c>
    </row>
    <row r="849" spans="1:17" ht="15" customHeight="1" x14ac:dyDescent="0.25">
      <c r="A849" s="60"/>
      <c r="B849" s="60"/>
      <c r="C849" s="60"/>
      <c r="D849" s="58"/>
      <c r="E849" s="58">
        <v>5</v>
      </c>
      <c r="F849" s="58" t="s">
        <v>5004</v>
      </c>
      <c r="G849" s="58" t="s">
        <v>4802</v>
      </c>
      <c r="H849" s="58">
        <v>0</v>
      </c>
      <c r="I849" s="58">
        <v>20</v>
      </c>
      <c r="J849" s="58" t="s">
        <v>4856</v>
      </c>
      <c r="K849" s="58" t="s">
        <v>4857</v>
      </c>
      <c r="L849" s="58" t="s">
        <v>4858</v>
      </c>
      <c r="M849" s="58" t="s">
        <v>4859</v>
      </c>
      <c r="N849" s="1" t="str">
        <f t="shared" si="19"/>
        <v>a. a. Different kinds of fish</v>
      </c>
      <c r="O849" s="1" t="str">
        <f t="shared" si="20"/>
        <v>b. b. What they do on Friday nights</v>
      </c>
      <c r="P849" s="1" t="str">
        <f t="shared" si="21"/>
        <v>c. c. The town they live in</v>
      </c>
      <c r="Q849" s="1" t="str">
        <f t="shared" si="22"/>
        <v>d. d. How they spent the weekend</v>
      </c>
    </row>
    <row r="850" spans="1:17" ht="15" customHeight="1" x14ac:dyDescent="0.25">
      <c r="A850" s="60"/>
      <c r="B850" s="60"/>
      <c r="C850" s="60"/>
      <c r="D850" s="58"/>
      <c r="E850" s="58">
        <v>6</v>
      </c>
      <c r="F850" s="58" t="s">
        <v>5005</v>
      </c>
      <c r="G850" s="58" t="s">
        <v>4803</v>
      </c>
      <c r="H850" s="58">
        <v>0</v>
      </c>
      <c r="I850" s="58">
        <v>20</v>
      </c>
      <c r="J850" s="58" t="s">
        <v>4860</v>
      </c>
      <c r="K850" s="58" t="s">
        <v>4861</v>
      </c>
      <c r="L850" s="58" t="s">
        <v>4862</v>
      </c>
      <c r="M850" s="58" t="s">
        <v>4863</v>
      </c>
      <c r="N850" s="1" t="str">
        <f t="shared" si="19"/>
        <v>a. a. He promised to fight terrorism</v>
      </c>
      <c r="O850" s="1" t="str">
        <f t="shared" si="20"/>
        <v>b. b. He negotiated with Afghanistan</v>
      </c>
      <c r="P850" s="1" t="str">
        <f t="shared" si="21"/>
        <v>c. c. He ended tyranny in the world</v>
      </c>
      <c r="Q850" s="1" t="str">
        <f t="shared" si="22"/>
        <v>d. d. He finished his mandate in 2005</v>
      </c>
    </row>
    <row r="851" spans="1:17" ht="15" customHeight="1" x14ac:dyDescent="0.25">
      <c r="A851" s="60"/>
      <c r="B851" s="60"/>
      <c r="C851" s="60"/>
      <c r="D851" s="58"/>
      <c r="E851" s="58">
        <v>7</v>
      </c>
      <c r="F851" s="58" t="s">
        <v>5006</v>
      </c>
      <c r="G851" s="58" t="s">
        <v>4804</v>
      </c>
      <c r="H851" s="58">
        <v>0</v>
      </c>
      <c r="I851" s="58">
        <v>20</v>
      </c>
      <c r="J851" s="58" t="s">
        <v>4864</v>
      </c>
      <c r="K851" s="58" t="s">
        <v>4865</v>
      </c>
      <c r="L851" s="58" t="s">
        <v>4866</v>
      </c>
      <c r="M851" s="58" t="s">
        <v>4867</v>
      </c>
      <c r="N851" s="1" t="str">
        <f t="shared" si="19"/>
        <v xml:space="preserve">a. a. They all have the same opinion </v>
      </c>
      <c r="O851" s="1" t="str">
        <f t="shared" si="20"/>
        <v>b. b. They are having an argument</v>
      </c>
      <c r="P851" s="1" t="str">
        <f t="shared" si="21"/>
        <v>c. c. They are discussing a film</v>
      </c>
      <c r="Q851" s="1" t="str">
        <f t="shared" si="22"/>
        <v>d. d. They are discussing an actor</v>
      </c>
    </row>
    <row r="852" spans="1:17" ht="15" customHeight="1" x14ac:dyDescent="0.25">
      <c r="A852" s="60"/>
      <c r="B852" s="60"/>
      <c r="C852" s="60"/>
      <c r="D852" s="58"/>
      <c r="E852" s="58">
        <v>8</v>
      </c>
      <c r="F852" s="58" t="s">
        <v>5007</v>
      </c>
      <c r="G852" s="58" t="s">
        <v>4805</v>
      </c>
      <c r="H852" s="58">
        <v>0</v>
      </c>
      <c r="I852" s="58">
        <v>20</v>
      </c>
      <c r="J852" s="58" t="s">
        <v>4868</v>
      </c>
      <c r="K852" s="58" t="s">
        <v>4869</v>
      </c>
      <c r="L852" s="58" t="s">
        <v>4870</v>
      </c>
      <c r="M852" s="58" t="s">
        <v>4871</v>
      </c>
      <c r="N852" s="1" t="str">
        <f t="shared" si="19"/>
        <v>a. a. The woman has acquired a new computer.</v>
      </c>
      <c r="O852" s="1" t="str">
        <f t="shared" si="20"/>
        <v>b. b. The woman is learning a new program.</v>
      </c>
      <c r="P852" s="1" t="str">
        <f t="shared" si="21"/>
        <v>c. c. The woman’s computer is an older model.</v>
      </c>
      <c r="Q852" s="1" t="str">
        <f t="shared" si="22"/>
        <v xml:space="preserve">d. d. The woman’s computer has been repaired.      </v>
      </c>
    </row>
    <row r="853" spans="1:17" ht="15" customHeight="1" x14ac:dyDescent="0.25">
      <c r="A853" s="60"/>
      <c r="B853" s="60"/>
      <c r="C853" s="60"/>
      <c r="D853" s="58"/>
      <c r="E853" s="58">
        <v>9</v>
      </c>
      <c r="F853" s="58" t="s">
        <v>5008</v>
      </c>
      <c r="G853" s="58" t="s">
        <v>4806</v>
      </c>
      <c r="H853" s="58">
        <v>0</v>
      </c>
      <c r="I853" s="58">
        <v>20</v>
      </c>
      <c r="J853" s="58" t="s">
        <v>4872</v>
      </c>
      <c r="K853" s="58" t="s">
        <v>4873</v>
      </c>
      <c r="L853" s="58" t="s">
        <v>4874</v>
      </c>
      <c r="M853" s="58" t="s">
        <v>4875</v>
      </c>
      <c r="N853" s="1" t="str">
        <f t="shared" si="19"/>
        <v>a. a. Boring occupations</v>
      </c>
      <c r="O853" s="1" t="str">
        <f t="shared" si="20"/>
        <v xml:space="preserve">b. b. The issue of employment </v>
      </c>
      <c r="P853" s="1" t="str">
        <f t="shared" si="21"/>
        <v>c. c. Creating jobs in the White House</v>
      </c>
      <c r="Q853" s="1" t="str">
        <f t="shared" si="22"/>
        <v>d. d. American people</v>
      </c>
    </row>
    <row r="854" spans="1:17" ht="15" customHeight="1" x14ac:dyDescent="0.25">
      <c r="A854" s="60"/>
      <c r="B854" s="60"/>
      <c r="C854" s="60"/>
      <c r="D854" s="58"/>
      <c r="E854" s="58">
        <v>10</v>
      </c>
      <c r="F854" s="58" t="s">
        <v>5009</v>
      </c>
      <c r="G854" s="58" t="s">
        <v>4807</v>
      </c>
      <c r="H854" s="58">
        <v>0</v>
      </c>
      <c r="I854" s="58">
        <v>20</v>
      </c>
      <c r="J854" s="58" t="s">
        <v>4876</v>
      </c>
      <c r="K854" s="58" t="s">
        <v>4877</v>
      </c>
      <c r="L854" s="58" t="s">
        <v>4878</v>
      </c>
      <c r="M854" s="58" t="s">
        <v>4879</v>
      </c>
      <c r="N854" s="1" t="str">
        <f t="shared" si="19"/>
        <v>a. a. It pays workers very well</v>
      </c>
      <c r="O854" s="1" t="str">
        <f t="shared" si="20"/>
        <v>b. b. It sends people abroad to work</v>
      </c>
      <c r="P854" s="1" t="str">
        <f t="shared" si="21"/>
        <v>c. c. It  only sends young people abroad</v>
      </c>
      <c r="Q854" s="1" t="str">
        <f t="shared" si="22"/>
        <v>d. d. Local people resent its people</v>
      </c>
    </row>
    <row r="855" spans="1:17" ht="15" customHeight="1" x14ac:dyDescent="0.25">
      <c r="A855" s="60"/>
      <c r="B855" s="60"/>
      <c r="C855" s="60"/>
      <c r="D855" s="58"/>
      <c r="E855" s="58">
        <v>11</v>
      </c>
      <c r="F855" s="58" t="s">
        <v>5010</v>
      </c>
      <c r="G855" s="58" t="s">
        <v>4808</v>
      </c>
      <c r="H855" s="58">
        <v>0</v>
      </c>
      <c r="I855" s="58">
        <v>20</v>
      </c>
      <c r="J855" s="58" t="s">
        <v>4880</v>
      </c>
      <c r="K855" s="58" t="s">
        <v>4881</v>
      </c>
      <c r="L855" s="58" t="s">
        <v>4882</v>
      </c>
      <c r="M855" s="58" t="s">
        <v>4883</v>
      </c>
      <c r="N855" s="1" t="str">
        <f t="shared" si="19"/>
        <v>a. a. Being in a contest</v>
      </c>
      <c r="O855" s="1" t="str">
        <f t="shared" si="20"/>
        <v>b. b. Having to make a big effort</v>
      </c>
      <c r="P855" s="1" t="str">
        <f t="shared" si="21"/>
        <v>c. c. Insufficient oxygen to the brain</v>
      </c>
      <c r="Q855" s="1" t="str">
        <f t="shared" si="22"/>
        <v xml:space="preserve">d. d. High blood pressure </v>
      </c>
    </row>
    <row r="856" spans="1:17" ht="15" customHeight="1" x14ac:dyDescent="0.25">
      <c r="A856" s="60"/>
      <c r="B856" s="60"/>
      <c r="C856" s="60"/>
      <c r="D856" s="58"/>
      <c r="E856" s="58">
        <v>12</v>
      </c>
      <c r="F856" s="58" t="s">
        <v>5011</v>
      </c>
      <c r="G856" s="58" t="s">
        <v>4809</v>
      </c>
      <c r="H856" s="58">
        <v>0</v>
      </c>
      <c r="I856" s="58">
        <v>20</v>
      </c>
      <c r="J856" s="58" t="s">
        <v>4884</v>
      </c>
      <c r="K856" s="58" t="s">
        <v>4885</v>
      </c>
      <c r="L856" s="58" t="s">
        <v>4886</v>
      </c>
      <c r="M856" s="58" t="s">
        <v>4887</v>
      </c>
      <c r="N856" s="1" t="str">
        <f t="shared" si="19"/>
        <v>a. a. Invest the money</v>
      </c>
      <c r="O856" s="1" t="str">
        <f t="shared" si="20"/>
        <v>b. b. Pay for things</v>
      </c>
      <c r="P856" s="1" t="str">
        <f t="shared" si="21"/>
        <v>c. c. Go on a holiday</v>
      </c>
      <c r="Q856" s="1" t="str">
        <f t="shared" si="22"/>
        <v>d. d. Wait for a rainy day</v>
      </c>
    </row>
    <row r="857" spans="1:17" ht="15" customHeight="1" x14ac:dyDescent="0.25">
      <c r="A857" s="60"/>
      <c r="B857" s="60"/>
      <c r="C857" s="60"/>
      <c r="D857" s="58"/>
      <c r="E857" s="58">
        <v>13</v>
      </c>
      <c r="F857" s="58" t="s">
        <v>5012</v>
      </c>
      <c r="G857" s="58" t="s">
        <v>4810</v>
      </c>
      <c r="H857" s="58">
        <v>0</v>
      </c>
      <c r="I857" s="58">
        <v>20</v>
      </c>
      <c r="J857" s="58" t="s">
        <v>4888</v>
      </c>
      <c r="K857" s="58" t="s">
        <v>4889</v>
      </c>
      <c r="L857" s="58" t="s">
        <v>4890</v>
      </c>
      <c r="M857" s="58" t="s">
        <v>4891</v>
      </c>
      <c r="N857" s="1" t="str">
        <f t="shared" si="19"/>
        <v>a. a. She no longer performs official duties.</v>
      </c>
      <c r="O857" s="1" t="str">
        <f t="shared" si="20"/>
        <v>b. b. She opened the Jubilee celebrations.</v>
      </c>
      <c r="P857" s="1" t="str">
        <f t="shared" si="21"/>
        <v>c. c. She viewed a website about the celebrations.</v>
      </c>
      <c r="Q857" s="1" t="str">
        <f t="shared" si="22"/>
        <v xml:space="preserve">d. d. She has been the Queen for six decades.  </v>
      </c>
    </row>
    <row r="858" spans="1:17" ht="15" customHeight="1" x14ac:dyDescent="0.25">
      <c r="A858" s="60"/>
      <c r="B858" s="60"/>
      <c r="C858" s="60"/>
      <c r="D858" s="58"/>
      <c r="E858" s="58">
        <v>14</v>
      </c>
      <c r="F858" s="58" t="s">
        <v>5013</v>
      </c>
      <c r="G858" s="58" t="s">
        <v>4811</v>
      </c>
      <c r="H858" s="58">
        <v>0</v>
      </c>
      <c r="I858" s="58">
        <v>20</v>
      </c>
      <c r="J858" s="58" t="s">
        <v>4892</v>
      </c>
      <c r="K858" s="58" t="s">
        <v>4893</v>
      </c>
      <c r="L858" s="58" t="s">
        <v>4894</v>
      </c>
      <c r="M858" s="58" t="s">
        <v>4895</v>
      </c>
      <c r="N858" s="1" t="str">
        <f t="shared" si="19"/>
        <v>a. a. He gives twenty pounds to his brother-in-law</v>
      </c>
      <c r="O858" s="1" t="str">
        <f t="shared" si="20"/>
        <v>b. b. He is working and studying at the moment</v>
      </c>
      <c r="P858" s="1" t="str">
        <f t="shared" si="21"/>
        <v xml:space="preserve">c. c. He knows a project manager </v>
      </c>
      <c r="Q858" s="1" t="str">
        <f t="shared" si="22"/>
        <v>d. d. His parents live in Shanghai</v>
      </c>
    </row>
    <row r="859" spans="1:17" ht="15" customHeight="1" x14ac:dyDescent="0.25">
      <c r="A859" s="60"/>
      <c r="B859" s="60"/>
      <c r="C859" s="60"/>
      <c r="D859" s="58"/>
      <c r="E859" s="58">
        <v>15</v>
      </c>
      <c r="F859" s="58" t="s">
        <v>5014</v>
      </c>
      <c r="G859" s="58" t="s">
        <v>4812</v>
      </c>
      <c r="H859" s="58">
        <v>0</v>
      </c>
      <c r="I859" s="58">
        <v>20</v>
      </c>
      <c r="J859" s="58" t="s">
        <v>4896</v>
      </c>
      <c r="K859" s="58" t="s">
        <v>4897</v>
      </c>
      <c r="L859" s="58" t="s">
        <v>4898</v>
      </c>
      <c r="M859" s="58" t="s">
        <v>4899</v>
      </c>
      <c r="N859" s="1" t="str">
        <f t="shared" si="19"/>
        <v>a. a. There was an accident in India in 2004</v>
      </c>
      <c r="O859" s="1" t="str">
        <f t="shared" si="20"/>
        <v>b. b. The Union Carbide Company is still operating</v>
      </c>
      <c r="P859" s="1" t="str">
        <f t="shared" si="21"/>
        <v>c. c. Over three thousand people were killed due to a gas leak</v>
      </c>
      <c r="Q859" s="1" t="str">
        <f t="shared" si="22"/>
        <v>d. d. All of the men found guilty have gone to prison</v>
      </c>
    </row>
    <row r="860" spans="1:17" ht="15" customHeight="1" x14ac:dyDescent="0.25">
      <c r="A860" s="60"/>
      <c r="B860" s="60"/>
      <c r="C860" s="60"/>
      <c r="D860" s="58"/>
      <c r="E860" s="58">
        <v>16</v>
      </c>
      <c r="F860" s="58" t="s">
        <v>5015</v>
      </c>
      <c r="G860" s="58" t="s">
        <v>4813</v>
      </c>
      <c r="H860" s="58">
        <v>0</v>
      </c>
      <c r="I860" s="58">
        <v>20</v>
      </c>
      <c r="J860" s="58" t="s">
        <v>4900</v>
      </c>
      <c r="K860" s="58" t="s">
        <v>4901</v>
      </c>
      <c r="L860" s="58" t="s">
        <v>4902</v>
      </c>
      <c r="M860" s="58" t="s">
        <v>4903</v>
      </c>
      <c r="N860" s="1" t="str">
        <f t="shared" si="19"/>
        <v xml:space="preserve">a. a. His salary was bad </v>
      </c>
      <c r="O860" s="1" t="str">
        <f t="shared" si="20"/>
        <v>b. b. He didn’t like his workmates</v>
      </c>
      <c r="P860" s="1" t="str">
        <f t="shared" si="21"/>
        <v>c. c. He has left his job</v>
      </c>
      <c r="Q860" s="1" t="str">
        <f t="shared" si="22"/>
        <v xml:space="preserve">d. d. He likes working long hours </v>
      </c>
    </row>
    <row r="861" spans="1:17" ht="15" customHeight="1" x14ac:dyDescent="0.25">
      <c r="A861" s="60"/>
      <c r="B861" s="60"/>
      <c r="C861" s="60"/>
      <c r="D861" s="58"/>
      <c r="E861" s="58">
        <v>17</v>
      </c>
      <c r="F861" s="58" t="s">
        <v>5016</v>
      </c>
      <c r="G861" s="58" t="s">
        <v>4814</v>
      </c>
      <c r="H861" s="58">
        <v>0</v>
      </c>
      <c r="I861" s="58">
        <v>20</v>
      </c>
      <c r="J861" s="58" t="s">
        <v>4904</v>
      </c>
      <c r="K861" s="58" t="s">
        <v>4905</v>
      </c>
      <c r="L861" s="58" t="s">
        <v>4906</v>
      </c>
      <c r="M861" s="58" t="s">
        <v>4907</v>
      </c>
      <c r="N861" s="1" t="str">
        <f t="shared" si="19"/>
        <v>a. a. The hurricane was not expected</v>
      </c>
      <c r="O861" s="1" t="str">
        <f t="shared" si="20"/>
        <v>b. b. People had been told to leave New Orleans</v>
      </c>
      <c r="P861" s="1" t="str">
        <f t="shared" si="21"/>
        <v>c. c. People weren’t worried about danger</v>
      </c>
      <c r="Q861" s="1" t="str">
        <f t="shared" si="22"/>
        <v>d. d. People thought the storm would pass</v>
      </c>
    </row>
    <row r="862" spans="1:17" ht="15" customHeight="1" x14ac:dyDescent="0.25">
      <c r="A862" s="60"/>
      <c r="B862" s="60"/>
      <c r="C862" s="60"/>
      <c r="D862" s="58"/>
      <c r="E862" s="58">
        <v>18</v>
      </c>
      <c r="F862" s="58" t="s">
        <v>5017</v>
      </c>
      <c r="G862" s="58" t="s">
        <v>4815</v>
      </c>
      <c r="H862" s="58">
        <v>0</v>
      </c>
      <c r="I862" s="58">
        <v>20</v>
      </c>
      <c r="J862" s="58" t="s">
        <v>4908</v>
      </c>
      <c r="K862" s="58" t="s">
        <v>4909</v>
      </c>
      <c r="L862" s="58" t="s">
        <v>4910</v>
      </c>
      <c r="M862" s="58" t="s">
        <v>4911</v>
      </c>
      <c r="N862" s="1" t="str">
        <f t="shared" si="19"/>
        <v>a. a. It’s OK to speak about personal matters</v>
      </c>
      <c r="O862" s="1" t="str">
        <f t="shared" si="20"/>
        <v>b. b. Talking about politics is permitted</v>
      </c>
      <c r="P862" s="1" t="str">
        <f t="shared" si="21"/>
        <v>c. c. Religion is an ideal topic</v>
      </c>
      <c r="Q862" s="1" t="str">
        <f t="shared" si="22"/>
        <v>d. d. You can speak about anything you want</v>
      </c>
    </row>
    <row r="863" spans="1:17" ht="15" customHeight="1" x14ac:dyDescent="0.25">
      <c r="A863" s="60"/>
      <c r="B863" s="60"/>
      <c r="C863" s="60"/>
      <c r="D863" s="58"/>
      <c r="E863" s="58">
        <v>19</v>
      </c>
      <c r="F863" s="58" t="s">
        <v>5018</v>
      </c>
      <c r="G863" s="58" t="s">
        <v>4816</v>
      </c>
      <c r="H863" s="58">
        <v>0</v>
      </c>
      <c r="I863" s="58">
        <v>20</v>
      </c>
      <c r="J863" s="58" t="s">
        <v>4912</v>
      </c>
      <c r="K863" s="58" t="s">
        <v>4913</v>
      </c>
      <c r="L863" s="58" t="s">
        <v>4914</v>
      </c>
      <c r="M863" s="58" t="s">
        <v>4915</v>
      </c>
      <c r="N863" s="1" t="str">
        <f t="shared" si="19"/>
        <v>a. a. His family</v>
      </c>
      <c r="O863" s="1" t="str">
        <f t="shared" si="20"/>
        <v>b. b. His students</v>
      </c>
      <c r="P863" s="1" t="str">
        <f t="shared" si="21"/>
        <v>c. c. His friends</v>
      </c>
      <c r="Q863" s="1" t="str">
        <f t="shared" si="22"/>
        <v>d. d. His teachers</v>
      </c>
    </row>
    <row r="864" spans="1:17" ht="15" customHeight="1" x14ac:dyDescent="0.25">
      <c r="A864" s="60"/>
      <c r="B864" s="60"/>
      <c r="C864" s="60"/>
      <c r="D864" s="58"/>
      <c r="E864" s="58">
        <v>20</v>
      </c>
      <c r="F864" s="58" t="s">
        <v>5019</v>
      </c>
      <c r="G864" s="58" t="s">
        <v>4817</v>
      </c>
      <c r="H864" s="58">
        <v>0</v>
      </c>
      <c r="I864" s="58">
        <v>20</v>
      </c>
      <c r="J864" s="58" t="s">
        <v>4916</v>
      </c>
      <c r="K864" s="58" t="s">
        <v>4917</v>
      </c>
      <c r="L864" s="58" t="s">
        <v>4918</v>
      </c>
      <c r="M864" s="58" t="s">
        <v>4919</v>
      </c>
      <c r="N864" s="1" t="str">
        <f t="shared" si="19"/>
        <v>a. a. It struggles to keep its cultural identity.</v>
      </c>
      <c r="O864" s="1" t="str">
        <f t="shared" si="20"/>
        <v>b. b. It has few historical attractions.</v>
      </c>
      <c r="P864" s="1" t="str">
        <f t="shared" si="21"/>
        <v>c. c. It attracts European tourists.</v>
      </c>
      <c r="Q864" s="1" t="str">
        <f t="shared" si="22"/>
        <v xml:space="preserve">d. d. It is of interest to archeologists.        </v>
      </c>
    </row>
    <row r="865" spans="1:17" ht="15" customHeight="1" x14ac:dyDescent="0.25">
      <c r="A865" s="60"/>
      <c r="B865" s="60"/>
      <c r="C865" s="60"/>
      <c r="D865" s="58"/>
      <c r="E865" s="58">
        <v>21</v>
      </c>
      <c r="F865" s="58" t="s">
        <v>5020</v>
      </c>
      <c r="G865" s="58" t="s">
        <v>4818</v>
      </c>
      <c r="H865" s="58">
        <v>0</v>
      </c>
      <c r="I865" s="58">
        <v>20</v>
      </c>
      <c r="J865" s="58" t="s">
        <v>4920</v>
      </c>
      <c r="K865" s="58" t="s">
        <v>4921</v>
      </c>
      <c r="L865" s="58" t="s">
        <v>4922</v>
      </c>
      <c r="M865" s="58" t="s">
        <v>4923</v>
      </c>
      <c r="N865" s="1" t="str">
        <f t="shared" si="19"/>
        <v>a. a. It has lost popularity</v>
      </c>
      <c r="O865" s="1" t="str">
        <f t="shared" si="20"/>
        <v>b. b. It has expanded</v>
      </c>
      <c r="P865" s="1" t="str">
        <f t="shared" si="21"/>
        <v>c. c. It is now held in London</v>
      </c>
      <c r="Q865" s="1" t="str">
        <f t="shared" si="22"/>
        <v>d. d. It started in 1991</v>
      </c>
    </row>
    <row r="866" spans="1:17" ht="15" customHeight="1" x14ac:dyDescent="0.25">
      <c r="A866" s="60"/>
      <c r="B866" s="60"/>
      <c r="C866" s="60"/>
      <c r="D866" s="58"/>
      <c r="E866" s="58">
        <v>22</v>
      </c>
      <c r="F866" s="58" t="s">
        <v>5021</v>
      </c>
      <c r="G866" s="58" t="s">
        <v>4819</v>
      </c>
      <c r="H866" s="58">
        <v>0</v>
      </c>
      <c r="I866" s="58">
        <v>20</v>
      </c>
      <c r="J866" s="58" t="s">
        <v>4924</v>
      </c>
      <c r="K866" s="58" t="s">
        <v>4925</v>
      </c>
      <c r="L866" s="58" t="s">
        <v>4926</v>
      </c>
      <c r="M866" s="58" t="s">
        <v>4927</v>
      </c>
      <c r="N866" s="1" t="str">
        <f t="shared" si="19"/>
        <v>a. a. He started an organization</v>
      </c>
      <c r="O866" s="1" t="str">
        <f t="shared" si="20"/>
        <v>b. b. He misused chemicals</v>
      </c>
      <c r="P866" s="1" t="str">
        <f t="shared" si="21"/>
        <v>c. c. He worked on a grape farm</v>
      </c>
      <c r="Q866" s="1" t="str">
        <f t="shared" si="22"/>
        <v>d. d. He employed migrant workers</v>
      </c>
    </row>
    <row r="867" spans="1:17" ht="15" customHeight="1" x14ac:dyDescent="0.25">
      <c r="A867" s="60"/>
      <c r="B867" s="60"/>
      <c r="C867" s="60"/>
      <c r="D867" s="58"/>
      <c r="E867" s="58">
        <v>23</v>
      </c>
      <c r="F867" s="58" t="s">
        <v>5022</v>
      </c>
      <c r="G867" s="58" t="s">
        <v>4820</v>
      </c>
      <c r="H867" s="58">
        <v>0</v>
      </c>
      <c r="I867" s="58">
        <v>20</v>
      </c>
      <c r="J867" s="58" t="s">
        <v>4928</v>
      </c>
      <c r="K867" s="58" t="s">
        <v>4929</v>
      </c>
      <c r="L867" s="58" t="s">
        <v>4930</v>
      </c>
      <c r="M867" s="58" t="s">
        <v>4931</v>
      </c>
      <c r="N867" s="1" t="str">
        <f t="shared" si="19"/>
        <v>a. a. She lived in Africa</v>
      </c>
      <c r="O867" s="1" t="str">
        <f t="shared" si="20"/>
        <v>b. b. She sang in an opera</v>
      </c>
      <c r="P867" s="1" t="str">
        <f t="shared" si="21"/>
        <v>c. c. She had a happy childhood</v>
      </c>
      <c r="Q867" s="1" t="str">
        <f t="shared" si="22"/>
        <v>d. d. She only wrote one book</v>
      </c>
    </row>
    <row r="868" spans="1:17" ht="15" customHeight="1" x14ac:dyDescent="0.25">
      <c r="A868" s="60"/>
      <c r="B868" s="60"/>
      <c r="C868" s="60"/>
      <c r="D868" s="57"/>
      <c r="E868" s="58">
        <v>24</v>
      </c>
      <c r="F868" s="58" t="s">
        <v>5023</v>
      </c>
      <c r="G868" s="58" t="s">
        <v>4821</v>
      </c>
      <c r="H868" s="58">
        <v>0</v>
      </c>
      <c r="I868" s="58">
        <v>20</v>
      </c>
      <c r="J868" s="58" t="s">
        <v>4932</v>
      </c>
      <c r="K868" s="58" t="s">
        <v>4933</v>
      </c>
      <c r="L868" s="58" t="s">
        <v>4934</v>
      </c>
      <c r="M868" s="58" t="s">
        <v>4935</v>
      </c>
      <c r="N868" s="1" t="str">
        <f t="shared" si="19"/>
        <v>a. a. They have fewer international connections.</v>
      </c>
      <c r="O868" s="1" t="str">
        <f t="shared" si="20"/>
        <v>b. b. They have a longstanding link with their soldiers.</v>
      </c>
      <c r="P868" s="1" t="str">
        <f t="shared" si="21"/>
        <v>c. c. They regularly perform ceremonies.</v>
      </c>
      <c r="Q868" s="1" t="str">
        <f t="shared" si="22"/>
        <v xml:space="preserve">d. d. They exert influence over the C.I.A.     </v>
      </c>
    </row>
    <row r="869" spans="1:17" ht="15" customHeight="1" x14ac:dyDescent="0.25">
      <c r="A869" s="60"/>
      <c r="B869" s="60"/>
      <c r="C869" s="60"/>
      <c r="D869" s="57"/>
      <c r="E869" s="58">
        <v>25</v>
      </c>
      <c r="F869" s="58" t="s">
        <v>5024</v>
      </c>
      <c r="G869" s="58" t="s">
        <v>4822</v>
      </c>
      <c r="H869" s="58">
        <v>0</v>
      </c>
      <c r="I869" s="58">
        <v>20</v>
      </c>
      <c r="J869" s="58" t="s">
        <v>4936</v>
      </c>
      <c r="K869" s="58" t="s">
        <v>4937</v>
      </c>
      <c r="L869" s="58" t="s">
        <v>4938</v>
      </c>
      <c r="M869" s="58" t="s">
        <v>4939</v>
      </c>
      <c r="N869" s="1" t="str">
        <f t="shared" si="19"/>
        <v xml:space="preserve">a. a. They didn’t want to. </v>
      </c>
      <c r="O869" s="1" t="str">
        <f t="shared" si="20"/>
        <v>b. b. They were encouraged to.</v>
      </c>
      <c r="P869" s="1" t="str">
        <f t="shared" si="21"/>
        <v>c. c.  It made their parents anxious.</v>
      </c>
      <c r="Q869" s="1" t="str">
        <f t="shared" si="22"/>
        <v xml:space="preserve">d. d. They had unfortunate experiences.    </v>
      </c>
    </row>
    <row r="870" spans="1:17" ht="15" customHeight="1" x14ac:dyDescent="0.25">
      <c r="A870" s="60"/>
      <c r="B870" s="60"/>
      <c r="C870" s="60"/>
      <c r="D870" s="57"/>
      <c r="E870" s="58">
        <v>26</v>
      </c>
      <c r="F870" s="58" t="s">
        <v>5025</v>
      </c>
      <c r="G870" s="58" t="s">
        <v>4823</v>
      </c>
      <c r="H870" s="58">
        <v>0</v>
      </c>
      <c r="I870" s="58">
        <v>20</v>
      </c>
      <c r="J870" s="58" t="s">
        <v>4940</v>
      </c>
      <c r="K870" s="58" t="s">
        <v>4941</v>
      </c>
      <c r="L870" s="58" t="s">
        <v>4942</v>
      </c>
      <c r="M870" s="58" t="s">
        <v>4943</v>
      </c>
      <c r="N870" s="1" t="str">
        <f t="shared" si="19"/>
        <v>a. a. She went to a special gymnastic school</v>
      </c>
      <c r="O870" s="1" t="str">
        <f t="shared" si="20"/>
        <v>b. b. She disliked academic work at school</v>
      </c>
      <c r="P870" s="1" t="str">
        <f t="shared" si="21"/>
        <v>c. c. She trained at gymnastics on the weekends</v>
      </c>
      <c r="Q870" s="1" t="str">
        <f t="shared" si="22"/>
        <v>d. d. She wasn’t accepted into the gymnastic school</v>
      </c>
    </row>
    <row r="871" spans="1:17" ht="15" customHeight="1" x14ac:dyDescent="0.25">
      <c r="A871" s="60"/>
      <c r="B871" s="60"/>
      <c r="C871" s="60"/>
      <c r="D871" s="57"/>
      <c r="E871" s="58">
        <v>27</v>
      </c>
      <c r="F871" s="58" t="s">
        <v>5026</v>
      </c>
      <c r="G871" s="58" t="s">
        <v>4824</v>
      </c>
      <c r="H871" s="58">
        <v>0</v>
      </c>
      <c r="I871" s="58">
        <v>20</v>
      </c>
      <c r="J871" s="58" t="s">
        <v>4944</v>
      </c>
      <c r="K871" s="58" t="s">
        <v>4945</v>
      </c>
      <c r="L871" s="58" t="s">
        <v>4946</v>
      </c>
      <c r="M871" s="58" t="s">
        <v>4947</v>
      </c>
      <c r="N871" s="1" t="str">
        <f t="shared" si="19"/>
        <v xml:space="preserve">a. a. There are  seventeen suspects </v>
      </c>
      <c r="O871" s="1" t="str">
        <f t="shared" si="20"/>
        <v>b. b. A prosecutor confessed to the crime</v>
      </c>
      <c r="P871" s="1" t="str">
        <f t="shared" si="21"/>
        <v>c. c. Students were shot in a school</v>
      </c>
      <c r="Q871" s="1" t="str">
        <f t="shared" si="22"/>
        <v>d. d. The prime suspect died</v>
      </c>
    </row>
    <row r="872" spans="1:17" ht="15" customHeight="1" x14ac:dyDescent="0.25">
      <c r="A872" s="60"/>
      <c r="B872" s="60"/>
      <c r="C872" s="60"/>
      <c r="D872" s="57"/>
      <c r="E872" s="58">
        <v>28</v>
      </c>
      <c r="F872" s="58" t="s">
        <v>5027</v>
      </c>
      <c r="G872" s="58" t="s">
        <v>4825</v>
      </c>
      <c r="H872" s="58">
        <v>0</v>
      </c>
      <c r="I872" s="58">
        <v>20</v>
      </c>
      <c r="J872" s="58" t="s">
        <v>4948</v>
      </c>
      <c r="K872" s="58" t="s">
        <v>4949</v>
      </c>
      <c r="L872" s="58" t="s">
        <v>4950</v>
      </c>
      <c r="M872" s="58" t="s">
        <v>4951</v>
      </c>
      <c r="N872" s="1" t="str">
        <f t="shared" si="19"/>
        <v>a. a. She dislikes her school dinners</v>
      </c>
      <c r="O872" s="1" t="str">
        <f t="shared" si="20"/>
        <v>b. b. She has publicized her opinion of her school dinners</v>
      </c>
      <c r="P872" s="1" t="str">
        <f t="shared" si="21"/>
        <v>c. c. She started a charity organization for poor children</v>
      </c>
      <c r="Q872" s="1" t="str">
        <f t="shared" si="22"/>
        <v>d. d. She prefers to eat dinner at home</v>
      </c>
    </row>
    <row r="873" spans="1:17" ht="15" customHeight="1" x14ac:dyDescent="0.25">
      <c r="A873" s="60"/>
      <c r="B873" s="60"/>
      <c r="C873" s="60"/>
      <c r="D873" s="57"/>
      <c r="E873" s="58">
        <v>29</v>
      </c>
      <c r="F873" s="58" t="s">
        <v>5028</v>
      </c>
      <c r="G873" s="58" t="s">
        <v>4826</v>
      </c>
      <c r="H873" s="58">
        <v>0</v>
      </c>
      <c r="I873" s="58">
        <v>20</v>
      </c>
      <c r="J873" s="58" t="s">
        <v>4952</v>
      </c>
      <c r="K873" s="58" t="s">
        <v>4953</v>
      </c>
      <c r="L873" s="58" t="s">
        <v>4954</v>
      </c>
      <c r="M873" s="58" t="s">
        <v>4955</v>
      </c>
      <c r="N873" s="1" t="str">
        <f t="shared" si="19"/>
        <v>a. a. She doesn’t like her job</v>
      </c>
      <c r="O873" s="1" t="str">
        <f t="shared" si="20"/>
        <v>b. b. She has to do her colleague’s work</v>
      </c>
      <c r="P873" s="1" t="str">
        <f t="shared" si="21"/>
        <v>c. c. She feels that the man is not helpful</v>
      </c>
      <c r="Q873" s="1" t="str">
        <f t="shared" si="22"/>
        <v>d. d. Her manager always leaves early</v>
      </c>
    </row>
    <row r="874" spans="1:17" ht="15" customHeight="1" x14ac:dyDescent="0.25">
      <c r="A874" s="60"/>
      <c r="B874" s="60"/>
      <c r="C874" s="60"/>
      <c r="D874" s="57"/>
      <c r="E874" s="58">
        <v>30</v>
      </c>
      <c r="F874" s="58" t="s">
        <v>5029</v>
      </c>
      <c r="G874" s="58" t="s">
        <v>4827</v>
      </c>
      <c r="H874" s="58">
        <v>0</v>
      </c>
      <c r="I874" s="58">
        <v>20</v>
      </c>
      <c r="J874" s="58" t="s">
        <v>4956</v>
      </c>
      <c r="K874" s="58" t="s">
        <v>4957</v>
      </c>
      <c r="L874" s="58" t="s">
        <v>4958</v>
      </c>
      <c r="M874" s="58" t="s">
        <v>4959</v>
      </c>
      <c r="N874" s="1" t="str">
        <f t="shared" si="19"/>
        <v xml:space="preserve">a. a. Recurring headaches </v>
      </c>
      <c r="O874" s="1" t="str">
        <f t="shared" si="20"/>
        <v>b. b. Experts have found a cure for severe head pain</v>
      </c>
      <c r="P874" s="1" t="str">
        <f t="shared" si="21"/>
        <v>c. c. All headaches are easy to treat</v>
      </c>
      <c r="Q874" s="1" t="str">
        <f t="shared" si="22"/>
        <v>d. d. The use of aspirin</v>
      </c>
    </row>
    <row r="875" spans="1:17" ht="15" customHeight="1" x14ac:dyDescent="0.25">
      <c r="A875" s="60"/>
      <c r="B875" s="60"/>
      <c r="C875" s="60"/>
      <c r="D875" s="57"/>
      <c r="E875" s="58">
        <v>31</v>
      </c>
      <c r="F875" s="58" t="s">
        <v>5030</v>
      </c>
      <c r="G875" s="58" t="s">
        <v>4828</v>
      </c>
      <c r="H875" s="58">
        <v>0</v>
      </c>
      <c r="I875" s="58">
        <v>20</v>
      </c>
      <c r="J875" s="58" t="s">
        <v>4960</v>
      </c>
      <c r="K875" s="58" t="s">
        <v>4961</v>
      </c>
      <c r="L875" s="58" t="s">
        <v>4962</v>
      </c>
      <c r="M875" s="58" t="s">
        <v>4963</v>
      </c>
      <c r="N875" s="1" t="str">
        <f t="shared" si="19"/>
        <v>a. a. He had been a journalist in Iraq</v>
      </c>
      <c r="O875" s="1" t="str">
        <f t="shared" si="20"/>
        <v>b. b. He did not see war first hand</v>
      </c>
      <c r="P875" s="1" t="str">
        <f t="shared" si="21"/>
        <v>c. c. He understands how the troops feel</v>
      </c>
      <c r="Q875" s="1" t="str">
        <f t="shared" si="22"/>
        <v>d. d. He would love to return to Iraq</v>
      </c>
    </row>
    <row r="876" spans="1:17" ht="15" customHeight="1" x14ac:dyDescent="0.25">
      <c r="A876" s="60"/>
      <c r="B876" s="60"/>
      <c r="C876" s="60"/>
      <c r="D876" s="57"/>
      <c r="E876" s="58">
        <v>32</v>
      </c>
      <c r="F876" s="58" t="s">
        <v>5031</v>
      </c>
      <c r="G876" s="58" t="s">
        <v>4829</v>
      </c>
      <c r="H876" s="58">
        <v>0</v>
      </c>
      <c r="I876" s="58">
        <v>20</v>
      </c>
      <c r="J876" s="58" t="s">
        <v>4964</v>
      </c>
      <c r="K876" s="58" t="s">
        <v>4965</v>
      </c>
      <c r="L876" s="58" t="s">
        <v>4966</v>
      </c>
      <c r="M876" s="58" t="s">
        <v>4967</v>
      </c>
      <c r="N876" s="1" t="str">
        <f t="shared" si="19"/>
        <v>a. a. They are still inefficient</v>
      </c>
      <c r="O876" s="1" t="str">
        <f t="shared" si="20"/>
        <v>b. b. They are bigger than conventional ones</v>
      </c>
      <c r="P876" s="1" t="str">
        <f t="shared" si="21"/>
        <v>c. c. They do not vibrate</v>
      </c>
      <c r="Q876" s="1" t="str">
        <f t="shared" si="22"/>
        <v>d. d. They are economical at the moment</v>
      </c>
    </row>
    <row r="877" spans="1:17" ht="15" customHeight="1" x14ac:dyDescent="0.25">
      <c r="A877" s="60"/>
      <c r="B877" s="60"/>
      <c r="C877" s="60"/>
      <c r="D877" s="57"/>
      <c r="E877" s="58">
        <v>33</v>
      </c>
      <c r="F877" s="58" t="s">
        <v>5032</v>
      </c>
      <c r="G877" s="58" t="s">
        <v>4830</v>
      </c>
      <c r="H877" s="58">
        <v>0</v>
      </c>
      <c r="I877" s="58">
        <v>20</v>
      </c>
      <c r="J877" s="58" t="s">
        <v>4968</v>
      </c>
      <c r="K877" s="58" t="s">
        <v>4969</v>
      </c>
      <c r="L877" s="58" t="s">
        <v>4970</v>
      </c>
      <c r="M877" s="58" t="s">
        <v>4971</v>
      </c>
      <c r="N877" s="1" t="str">
        <f t="shared" si="19"/>
        <v>a. a. Consumers prefer designer clothes</v>
      </c>
      <c r="O877" s="1" t="str">
        <f t="shared" si="20"/>
        <v>b. b. Clothes made outside the US are more in demand</v>
      </c>
      <c r="P877" s="1" t="str">
        <f t="shared" si="21"/>
        <v>c. c. Consumers now want clothes made in the US</v>
      </c>
      <c r="Q877" s="1" t="str">
        <f t="shared" si="22"/>
        <v>d. d. Textile companies do not want to change</v>
      </c>
    </row>
    <row r="878" spans="1:17" ht="15" customHeight="1" x14ac:dyDescent="0.25">
      <c r="A878" s="60"/>
      <c r="B878" s="60"/>
      <c r="C878" s="60"/>
      <c r="D878" s="57"/>
      <c r="E878" s="58">
        <v>34</v>
      </c>
      <c r="F878" s="58" t="s">
        <v>5033</v>
      </c>
      <c r="G878" s="58" t="s">
        <v>4831</v>
      </c>
      <c r="H878" s="58">
        <v>0</v>
      </c>
      <c r="I878" s="58">
        <v>20</v>
      </c>
      <c r="J878" s="58" t="s">
        <v>4972</v>
      </c>
      <c r="K878" s="58" t="s">
        <v>4973</v>
      </c>
      <c r="L878" s="58" t="s">
        <v>4974</v>
      </c>
      <c r="M878" s="58" t="s">
        <v>4975</v>
      </c>
      <c r="N878" s="1" t="str">
        <f t="shared" si="19"/>
        <v>a. a. It is Japan’s number one toymaker</v>
      </c>
      <c r="O878" s="1" t="str">
        <f t="shared" si="20"/>
        <v>b. b. It does not want to change anything</v>
      </c>
      <c r="P878" s="1" t="str">
        <f t="shared" si="21"/>
        <v>c. c. It specializes in alarm clocks</v>
      </c>
      <c r="Q878" s="1" t="str">
        <f t="shared" si="22"/>
        <v>d. d. It makes unusual gadgets now</v>
      </c>
    </row>
    <row r="879" spans="1:17" ht="15" customHeight="1" x14ac:dyDescent="0.25">
      <c r="A879" s="60"/>
      <c r="B879" s="60"/>
      <c r="C879" s="60"/>
      <c r="D879" s="57"/>
      <c r="E879" s="58">
        <v>35</v>
      </c>
      <c r="F879" s="58" t="s">
        <v>5034</v>
      </c>
      <c r="G879" s="58" t="s">
        <v>4832</v>
      </c>
      <c r="H879" s="58">
        <v>0</v>
      </c>
      <c r="I879" s="58">
        <v>20</v>
      </c>
      <c r="J879" s="58" t="s">
        <v>4976</v>
      </c>
      <c r="K879" s="58" t="s">
        <v>4977</v>
      </c>
      <c r="L879" s="58" t="s">
        <v>4978</v>
      </c>
      <c r="M879" s="58" t="s">
        <v>4979</v>
      </c>
      <c r="N879" s="1" t="str">
        <f t="shared" si="19"/>
        <v xml:space="preserve">a. a. Natural causes </v>
      </c>
      <c r="O879" s="1" t="str">
        <f t="shared" si="20"/>
        <v>b. b. Bad agricultural practices</v>
      </c>
      <c r="P879" s="1" t="str">
        <f t="shared" si="21"/>
        <v>c. c. Clearing trees</v>
      </c>
      <c r="Q879" s="1" t="str">
        <f t="shared" si="22"/>
        <v>d. d. The United Nations</v>
      </c>
    </row>
    <row r="880" spans="1:17" ht="15" customHeight="1" x14ac:dyDescent="0.25">
      <c r="A880" s="60"/>
      <c r="B880" s="60"/>
      <c r="C880" s="60"/>
      <c r="D880" s="57"/>
      <c r="E880" s="58">
        <v>36</v>
      </c>
      <c r="F880" s="58" t="s">
        <v>5035</v>
      </c>
      <c r="G880" s="58" t="s">
        <v>4833</v>
      </c>
      <c r="H880" s="58">
        <v>0</v>
      </c>
      <c r="I880" s="58">
        <v>20</v>
      </c>
      <c r="J880" s="58" t="s">
        <v>4980</v>
      </c>
      <c r="K880" s="58" t="s">
        <v>4981</v>
      </c>
      <c r="L880" s="58" t="s">
        <v>4982</v>
      </c>
      <c r="M880" s="58" t="s">
        <v>4983</v>
      </c>
      <c r="N880" s="1" t="str">
        <f t="shared" si="19"/>
        <v>a. a. They are international</v>
      </c>
      <c r="O880" s="1" t="str">
        <f t="shared" si="20"/>
        <v>b. b. One is given every year</v>
      </c>
      <c r="P880" s="1" t="str">
        <f t="shared" si="21"/>
        <v>c. c. The recipients are very creative</v>
      </c>
      <c r="Q880" s="1" t="str">
        <f t="shared" si="22"/>
        <v>d. d. The recipients are academic achievers</v>
      </c>
    </row>
    <row r="881" spans="1:17" ht="15" customHeight="1" x14ac:dyDescent="0.25">
      <c r="A881" s="60"/>
      <c r="B881" s="60"/>
      <c r="C881" s="60"/>
      <c r="D881" s="57"/>
      <c r="E881" s="58">
        <v>37</v>
      </c>
      <c r="F881" s="58" t="s">
        <v>5036</v>
      </c>
      <c r="G881" s="58" t="s">
        <v>4834</v>
      </c>
      <c r="H881" s="58">
        <v>0</v>
      </c>
      <c r="I881" s="58">
        <v>20</v>
      </c>
      <c r="J881" s="58" t="s">
        <v>4984</v>
      </c>
      <c r="K881" s="58" t="s">
        <v>4985</v>
      </c>
      <c r="L881" s="58" t="s">
        <v>4986</v>
      </c>
      <c r="M881" s="58" t="s">
        <v>4987</v>
      </c>
      <c r="N881" s="1" t="str">
        <f t="shared" si="19"/>
        <v>a. a. He is very religious.</v>
      </c>
      <c r="O881" s="1" t="str">
        <f t="shared" si="20"/>
        <v>b. b. He studied social media at Oxford.</v>
      </c>
      <c r="P881" s="1" t="str">
        <f t="shared" si="21"/>
        <v>c. c. He won a contest.</v>
      </c>
      <c r="Q881" s="1" t="str">
        <f t="shared" si="22"/>
        <v xml:space="preserve">d. d. He dislikes working.  </v>
      </c>
    </row>
    <row r="882" spans="1:17" ht="15" customHeight="1" x14ac:dyDescent="0.25">
      <c r="A882" s="60"/>
      <c r="B882" s="60"/>
      <c r="C882" s="60"/>
      <c r="D882" s="57"/>
      <c r="E882" s="58">
        <v>38</v>
      </c>
      <c r="F882" s="58" t="s">
        <v>5037</v>
      </c>
      <c r="G882" s="58" t="s">
        <v>4835</v>
      </c>
      <c r="H882" s="58">
        <v>0</v>
      </c>
      <c r="I882" s="58">
        <v>20</v>
      </c>
      <c r="J882" s="58" t="s">
        <v>4988</v>
      </c>
      <c r="K882" s="58" t="s">
        <v>4989</v>
      </c>
      <c r="L882" s="58" t="s">
        <v>4990</v>
      </c>
      <c r="M882" s="58" t="s">
        <v>4991</v>
      </c>
      <c r="N882" s="1" t="str">
        <f t="shared" si="19"/>
        <v>a. a. Abdul Nasser Garem  is schizophrenic</v>
      </c>
      <c r="O882" s="1" t="str">
        <f t="shared" si="20"/>
        <v>b. b. He attended art school in Saudi Arabia</v>
      </c>
      <c r="P882" s="1" t="str">
        <f t="shared" si="21"/>
        <v>c. c. He taught art in the Saudi Arabian Army</v>
      </c>
      <c r="Q882" s="1" t="str">
        <f t="shared" si="22"/>
        <v>d. d. He  taught himself about art</v>
      </c>
    </row>
    <row r="883" spans="1:17" ht="15" customHeight="1" x14ac:dyDescent="0.25">
      <c r="A883" s="60"/>
      <c r="B883" s="60"/>
      <c r="C883" s="60"/>
      <c r="D883" s="57"/>
      <c r="E883" s="58">
        <v>39</v>
      </c>
      <c r="F883" s="58" t="s">
        <v>5038</v>
      </c>
      <c r="G883" s="58" t="s">
        <v>4836</v>
      </c>
      <c r="H883" s="58">
        <v>0</v>
      </c>
      <c r="I883" s="58">
        <v>20</v>
      </c>
      <c r="J883" s="58" t="s">
        <v>4992</v>
      </c>
      <c r="K883" s="58" t="s">
        <v>4993</v>
      </c>
      <c r="L883" s="58" t="s">
        <v>4994</v>
      </c>
      <c r="M883" s="58" t="s">
        <v>4995</v>
      </c>
      <c r="N883" s="1" t="str">
        <f t="shared" si="19"/>
        <v>a. a. He was a follower of Slobodan Milosevic</v>
      </c>
      <c r="O883" s="1" t="str">
        <f t="shared" si="20"/>
        <v>b. b. He believes in non-violent struggle</v>
      </c>
      <c r="P883" s="1" t="str">
        <f t="shared" si="21"/>
        <v>c. c. He learned his strategies from Arab revolutionaries</v>
      </c>
      <c r="Q883" s="1" t="str">
        <f t="shared" si="22"/>
        <v>d. d. He is a preacher from Belgrade</v>
      </c>
    </row>
    <row r="884" spans="1:17" ht="15" customHeight="1" x14ac:dyDescent="0.25">
      <c r="A884" s="60"/>
      <c r="B884" s="60"/>
      <c r="C884" s="60"/>
      <c r="D884" s="57"/>
      <c r="E884" s="58">
        <v>40</v>
      </c>
      <c r="F884" s="58" t="s">
        <v>5039</v>
      </c>
      <c r="G884" s="58" t="s">
        <v>4837</v>
      </c>
      <c r="H884" s="58">
        <v>0</v>
      </c>
      <c r="I884" s="58">
        <v>20</v>
      </c>
      <c r="J884" s="58" t="s">
        <v>4996</v>
      </c>
      <c r="K884" s="58" t="s">
        <v>4997</v>
      </c>
      <c r="L884" s="58" t="s">
        <v>4998</v>
      </c>
      <c r="M884" s="58" t="s">
        <v>4999</v>
      </c>
      <c r="N884" s="1" t="str">
        <f t="shared" si="19"/>
        <v>a. a. He liked the advertisement</v>
      </c>
      <c r="O884" s="1" t="str">
        <f t="shared" si="20"/>
        <v>b. b. He didn’t recognize the Ford logo</v>
      </c>
      <c r="P884" s="1" t="str">
        <f t="shared" si="21"/>
        <v>c. c. He never remembers car ads</v>
      </c>
      <c r="Q884" s="1" t="str">
        <f t="shared" si="22"/>
        <v>d. d. He has bought a Ford car</v>
      </c>
    </row>
    <row r="885" spans="1:17" ht="24.95" customHeight="1" x14ac:dyDescent="0.25">
      <c r="A885" s="43"/>
      <c r="C885" s="38">
        <v>103</v>
      </c>
      <c r="D885" s="39" t="s">
        <v>1949</v>
      </c>
      <c r="E885" s="39">
        <v>1</v>
      </c>
      <c r="F885" s="42" t="s">
        <v>1946</v>
      </c>
      <c r="G885" s="39" t="s">
        <v>1906</v>
      </c>
      <c r="H885" s="39">
        <v>5</v>
      </c>
      <c r="I885" s="39">
        <v>5</v>
      </c>
      <c r="J885" s="9" t="s">
        <v>3762</v>
      </c>
      <c r="K885" s="9" t="s">
        <v>3763</v>
      </c>
      <c r="L885" s="9" t="s">
        <v>3764</v>
      </c>
      <c r="M885" s="9" t="s">
        <v>3765</v>
      </c>
      <c r="N885" s="1" t="str">
        <f>CONCATENATE("a. ",(J885))</f>
        <v>a. a. criticizes religious leaders more than baby boomers do.</v>
      </c>
      <c r="O885" s="1" t="str">
        <f>CONCATENATE("b. ",(K885))</f>
        <v>b. b. generally lacks religious affiliation</v>
      </c>
      <c r="P885" s="1" t="str">
        <f>CONCATENATE("c. ",(L885))</f>
        <v>c. c. are more likely to be religious than baby boomers.</v>
      </c>
      <c r="Q885" s="1" t="str">
        <f>CONCATENATE("d. ",(M885))</f>
        <v>d. d. accepts spirituality but rejects official religions.</v>
      </c>
    </row>
    <row r="886" spans="1:17" ht="24.95" customHeight="1" x14ac:dyDescent="0.25">
      <c r="A886" s="43"/>
      <c r="C886" s="38"/>
      <c r="D886" s="39" t="s">
        <v>1369</v>
      </c>
      <c r="E886" s="39">
        <v>2</v>
      </c>
      <c r="F886" s="42" t="s">
        <v>1947</v>
      </c>
      <c r="G886" s="39" t="s">
        <v>1907</v>
      </c>
      <c r="H886" s="39">
        <v>5</v>
      </c>
      <c r="I886" s="39">
        <v>5</v>
      </c>
      <c r="J886" s="9" t="s">
        <v>3767</v>
      </c>
      <c r="K886" s="9" t="s">
        <v>3768</v>
      </c>
      <c r="L886" s="9" t="s">
        <v>3769</v>
      </c>
      <c r="M886" s="9" t="s">
        <v>3770</v>
      </c>
      <c r="N886" s="1" t="str">
        <f t="shared" ref="N886:N924" si="23">CONCATENATE("a. ",(J886))</f>
        <v>a. a. showering instead of bathing can save water</v>
      </c>
      <c r="O886" s="1" t="str">
        <f t="shared" ref="O886:O924" si="24">CONCATENATE("b. ",(K886))</f>
        <v>b. b. modern showers tend to use less water.</v>
      </c>
      <c r="P886" s="1" t="str">
        <f t="shared" ref="P886:P924" si="25">CONCATENATE("c. ",(L886))</f>
        <v>c. c. the results of the study contradict popular beliefs</v>
      </c>
      <c r="Q886" s="1" t="str">
        <f t="shared" ref="Q886:Q924" si="26">CONCATENATE("d. ",(M886))</f>
        <v>d. d. the study shows people still prefer taking showers.</v>
      </c>
    </row>
    <row r="887" spans="1:17" ht="24.95" customHeight="1" x14ac:dyDescent="0.25">
      <c r="A887" s="43"/>
      <c r="C887" s="38"/>
      <c r="D887" s="39" t="s">
        <v>16</v>
      </c>
      <c r="E887" s="39">
        <v>3</v>
      </c>
      <c r="F887" s="42" t="s">
        <v>1948</v>
      </c>
      <c r="G887" s="39" t="s">
        <v>1908</v>
      </c>
      <c r="H887" s="39">
        <v>5</v>
      </c>
      <c r="I887" s="39">
        <v>5</v>
      </c>
      <c r="J887" s="9" t="s">
        <v>3772</v>
      </c>
      <c r="K887" s="9" t="s">
        <v>3773</v>
      </c>
      <c r="L887" s="9" t="s">
        <v>3774</v>
      </c>
      <c r="M887" s="9" t="s">
        <v>3775</v>
      </c>
      <c r="N887" s="1" t="str">
        <f t="shared" si="23"/>
        <v>a. a. English people were very kind to him.</v>
      </c>
      <c r="O887" s="1" t="str">
        <f t="shared" si="24"/>
        <v>b. b. arriving in Britain was an exciting experience</v>
      </c>
      <c r="P887" s="1" t="str">
        <f t="shared" si="25"/>
        <v>c. c. Britain exceeded his expectations</v>
      </c>
      <c r="Q887" s="1" t="str">
        <f t="shared" si="26"/>
        <v>d. d. his first day was sad</v>
      </c>
    </row>
    <row r="888" spans="1:17" ht="24.95" customHeight="1" x14ac:dyDescent="0.25">
      <c r="A888" s="43"/>
      <c r="C888" s="38"/>
      <c r="D888" s="39"/>
      <c r="E888" s="39">
        <v>4</v>
      </c>
      <c r="F888" s="42"/>
      <c r="G888" s="39" t="s">
        <v>1909</v>
      </c>
      <c r="H888" s="39">
        <v>5</v>
      </c>
      <c r="I888" s="39">
        <v>5</v>
      </c>
      <c r="J888" s="9" t="s">
        <v>3777</v>
      </c>
      <c r="K888" s="9" t="s">
        <v>3778</v>
      </c>
      <c r="L888" s="9" t="s">
        <v>3779</v>
      </c>
      <c r="M888" s="9" t="s">
        <v>3780</v>
      </c>
      <c r="N888" s="1" t="str">
        <f t="shared" si="23"/>
        <v>a. a. spent a period outside of his country</v>
      </c>
      <c r="O888" s="1" t="str">
        <f t="shared" si="24"/>
        <v>b. b. tried to leave his country but couldn’t</v>
      </c>
      <c r="P888" s="1" t="str">
        <f t="shared" si="25"/>
        <v>c. c. has always lived in a warlike situation</v>
      </c>
      <c r="Q888" s="1" t="str">
        <f t="shared" si="26"/>
        <v>d. d. fought against the Taliban some years ago</v>
      </c>
    </row>
    <row r="889" spans="1:17" ht="24.95" customHeight="1" x14ac:dyDescent="0.25">
      <c r="A889" s="43"/>
      <c r="C889" s="38"/>
      <c r="D889" s="39"/>
      <c r="E889" s="39">
        <v>5</v>
      </c>
      <c r="F889" s="42"/>
      <c r="G889" s="39" t="s">
        <v>1910</v>
      </c>
      <c r="H889" s="39">
        <v>5</v>
      </c>
      <c r="I889" s="39">
        <v>5</v>
      </c>
      <c r="J889" s="9" t="s">
        <v>3782</v>
      </c>
      <c r="K889" s="9" t="s">
        <v>3783</v>
      </c>
      <c r="L889" s="9" t="s">
        <v>3784</v>
      </c>
      <c r="M889" s="9" t="s">
        <v>3785</v>
      </c>
      <c r="N889" s="1" t="str">
        <f t="shared" si="23"/>
        <v>a. a. It had been worn by Monroe when she sang for Kennedy</v>
      </c>
      <c r="O889" s="1" t="str">
        <f t="shared" si="24"/>
        <v>b. b. It achieved the highest price ever for a movie dress</v>
      </c>
      <c r="P889" s="1" t="str">
        <f t="shared" si="25"/>
        <v>c. c. It was bought at an auction by a famous Hollywood star</v>
      </c>
      <c r="Q889" s="1" t="str">
        <f t="shared" si="26"/>
        <v>d. d. It had been exhibited at a museum before being sold</v>
      </c>
    </row>
    <row r="890" spans="1:17" ht="24.95" customHeight="1" x14ac:dyDescent="0.25">
      <c r="A890" s="43"/>
      <c r="C890" s="38"/>
      <c r="D890" s="39"/>
      <c r="E890" s="39">
        <v>6</v>
      </c>
      <c r="F890" s="40"/>
      <c r="G890" s="39" t="s">
        <v>1911</v>
      </c>
      <c r="H890" s="39">
        <v>5</v>
      </c>
      <c r="I890" s="39">
        <v>5</v>
      </c>
      <c r="J890" s="9" t="s">
        <v>3787</v>
      </c>
      <c r="K890" s="9" t="s">
        <v>3788</v>
      </c>
      <c r="L890" s="9" t="s">
        <v>3789</v>
      </c>
      <c r="M890" s="9" t="s">
        <v>3790</v>
      </c>
      <c r="N890" s="1" t="str">
        <f t="shared" si="23"/>
        <v>a. a. He is working as a data analyst at present</v>
      </c>
      <c r="O890" s="1" t="str">
        <f t="shared" si="24"/>
        <v>b. b. He is not qualified for the job he wants</v>
      </c>
      <c r="P890" s="1" t="str">
        <f t="shared" si="25"/>
        <v>c. c. He is overqualified for his present job</v>
      </c>
      <c r="Q890" s="1" t="str">
        <f t="shared" si="26"/>
        <v>d. d. He is afraid he’ll never find the job he wants</v>
      </c>
    </row>
    <row r="891" spans="1:17" ht="24.95" customHeight="1" x14ac:dyDescent="0.25">
      <c r="A891" s="43"/>
      <c r="C891" s="38"/>
      <c r="D891" s="39"/>
      <c r="E891" s="39">
        <v>7</v>
      </c>
      <c r="F891" s="40"/>
      <c r="G891" s="39" t="s">
        <v>1912</v>
      </c>
      <c r="H891" s="39">
        <v>5</v>
      </c>
      <c r="I891" s="39">
        <v>5</v>
      </c>
      <c r="J891" s="9" t="s">
        <v>3792</v>
      </c>
      <c r="K891" s="9" t="s">
        <v>3793</v>
      </c>
      <c r="L891" s="9" t="s">
        <v>3794</v>
      </c>
      <c r="M891" s="9" t="s">
        <v>3795</v>
      </c>
      <c r="N891" s="1" t="str">
        <f t="shared" si="23"/>
        <v>a. a. harsh.</v>
      </c>
      <c r="O891" s="1" t="str">
        <f t="shared" si="24"/>
        <v>b. b. unfair</v>
      </c>
      <c r="P891" s="1" t="str">
        <f t="shared" si="25"/>
        <v>c. c. welcoming</v>
      </c>
      <c r="Q891" s="1" t="str">
        <f t="shared" si="26"/>
        <v>d. d. unpredictable</v>
      </c>
    </row>
    <row r="892" spans="1:17" ht="24.95" customHeight="1" x14ac:dyDescent="0.25">
      <c r="A892" s="43"/>
      <c r="C892" s="38"/>
      <c r="D892" s="39"/>
      <c r="E892" s="39">
        <v>8</v>
      </c>
      <c r="F892" s="40"/>
      <c r="G892" s="39" t="s">
        <v>1913</v>
      </c>
      <c r="H892" s="39">
        <v>5</v>
      </c>
      <c r="I892" s="39">
        <v>5</v>
      </c>
      <c r="J892" s="9" t="s">
        <v>3797</v>
      </c>
      <c r="K892" s="9" t="s">
        <v>3798</v>
      </c>
      <c r="L892" s="9" t="s">
        <v>3799</v>
      </c>
      <c r="M892" s="9" t="s">
        <v>3800</v>
      </c>
      <c r="N892" s="1" t="str">
        <f t="shared" si="23"/>
        <v>a. a. Her guest was moody and uncooperative.</v>
      </c>
      <c r="O892" s="1" t="str">
        <f t="shared" si="24"/>
        <v>b. b. Her guest made disturbing noises</v>
      </c>
      <c r="P892" s="1" t="str">
        <f t="shared" si="25"/>
        <v>c. c. Her guest spoke too close to the microphone</v>
      </c>
      <c r="Q892" s="1" t="str">
        <f t="shared" si="26"/>
        <v>d. d. Her guest took her pen away</v>
      </c>
    </row>
    <row r="893" spans="1:17" ht="24.95" customHeight="1" x14ac:dyDescent="0.25">
      <c r="A893" s="43"/>
      <c r="C893" s="38"/>
      <c r="D893" s="39"/>
      <c r="E893" s="39">
        <v>9</v>
      </c>
      <c r="F893" s="40"/>
      <c r="G893" s="39" t="s">
        <v>1914</v>
      </c>
      <c r="H893" s="39">
        <v>5</v>
      </c>
      <c r="I893" s="39">
        <v>5</v>
      </c>
      <c r="J893" s="9" t="s">
        <v>3802</v>
      </c>
      <c r="K893" s="9" t="s">
        <v>3803</v>
      </c>
      <c r="L893" s="9" t="s">
        <v>3804</v>
      </c>
      <c r="M893" s="9" t="s">
        <v>3805</v>
      </c>
      <c r="N893" s="1" t="str">
        <f t="shared" si="23"/>
        <v>a. a. will be held on the twelfth of next month</v>
      </c>
      <c r="O893" s="1" t="str">
        <f t="shared" si="24"/>
        <v>b. b. are expected to be held within a year's time</v>
      </c>
      <c r="P893" s="1" t="str">
        <f t="shared" si="25"/>
        <v>c. c. will be supervised by UN peacekeepers</v>
      </c>
      <c r="Q893" s="1" t="str">
        <f t="shared" si="26"/>
        <v>d. d. have generated bloody confrontations</v>
      </c>
    </row>
    <row r="894" spans="1:17" ht="24.95" customHeight="1" x14ac:dyDescent="0.25">
      <c r="A894" s="43"/>
      <c r="C894" s="38"/>
      <c r="D894" s="39"/>
      <c r="E894" s="39">
        <v>10</v>
      </c>
      <c r="F894" s="40"/>
      <c r="G894" s="39" t="s">
        <v>1915</v>
      </c>
      <c r="H894" s="39">
        <v>5</v>
      </c>
      <c r="I894" s="39">
        <v>5</v>
      </c>
      <c r="J894" s="9" t="s">
        <v>3807</v>
      </c>
      <c r="K894" s="9" t="s">
        <v>3808</v>
      </c>
      <c r="L894" s="9" t="s">
        <v>3809</v>
      </c>
      <c r="M894" s="9" t="s">
        <v>3810</v>
      </c>
      <c r="N894" s="1" t="str">
        <f t="shared" si="23"/>
        <v>a. a. went into the hair business after finishing Law school</v>
      </c>
      <c r="O894" s="1" t="str">
        <f t="shared" si="24"/>
        <v>b. b. didn’t like the hair business at the beginning</v>
      </c>
      <c r="P894" s="1" t="str">
        <f t="shared" si="25"/>
        <v>c. c. started in the hair business for want of money</v>
      </c>
      <c r="Q894" s="1" t="str">
        <f t="shared" si="26"/>
        <v>d. d. opened her own beauty parlour after failing at college</v>
      </c>
    </row>
    <row r="895" spans="1:17" ht="24.95" customHeight="1" x14ac:dyDescent="0.25">
      <c r="A895" s="43"/>
      <c r="C895" s="38"/>
      <c r="D895" s="39"/>
      <c r="E895" s="39">
        <v>11</v>
      </c>
      <c r="F895" s="40"/>
      <c r="G895" s="39" t="s">
        <v>1916</v>
      </c>
      <c r="H895" s="39">
        <v>5</v>
      </c>
      <c r="I895" s="39">
        <v>5</v>
      </c>
      <c r="J895" s="9" t="s">
        <v>3812</v>
      </c>
      <c r="K895" s="9" t="s">
        <v>3813</v>
      </c>
      <c r="L895" s="9" t="s">
        <v>3814</v>
      </c>
      <c r="M895" s="9" t="s">
        <v>3815</v>
      </c>
      <c r="N895" s="1" t="str">
        <f t="shared" si="23"/>
        <v>a. a. Jersey tourism has become more upscale</v>
      </c>
      <c r="O895" s="1" t="str">
        <f t="shared" si="24"/>
        <v>b. b. people stay longer on Jersey than in the past.</v>
      </c>
      <c r="P895" s="1" t="str">
        <f t="shared" si="25"/>
        <v>c. c. the beaches are Jersey’s main attraction</v>
      </c>
      <c r="Q895" s="1" t="str">
        <f t="shared" si="26"/>
        <v>d. d. Jersey has improved its image through advertising</v>
      </c>
    </row>
    <row r="896" spans="1:17" ht="24.95" customHeight="1" x14ac:dyDescent="0.25">
      <c r="A896" s="43"/>
      <c r="C896" s="38"/>
      <c r="D896" s="39"/>
      <c r="E896" s="39">
        <v>12</v>
      </c>
      <c r="F896" s="40"/>
      <c r="G896" s="39" t="s">
        <v>1917</v>
      </c>
      <c r="H896" s="39">
        <v>5</v>
      </c>
      <c r="I896" s="39">
        <v>5</v>
      </c>
      <c r="J896" s="9" t="s">
        <v>3817</v>
      </c>
      <c r="K896" s="9" t="s">
        <v>3818</v>
      </c>
      <c r="L896" s="9" t="s">
        <v>3819</v>
      </c>
      <c r="M896" s="9" t="s">
        <v>3820</v>
      </c>
      <c r="N896" s="1" t="str">
        <f t="shared" si="23"/>
        <v>a. a. The Chinese buy most luxury goods abroad</v>
      </c>
      <c r="O896" s="1" t="str">
        <f t="shared" si="24"/>
        <v>b. b. China exports many luxury goods to Japan</v>
      </c>
      <c r="P896" s="1" t="str">
        <f t="shared" si="25"/>
        <v>c. c. China is the biggest producer of fake products</v>
      </c>
      <c r="Q896" s="1" t="str">
        <f t="shared" si="26"/>
        <v>d. d. The sale of luxury goods in China is increasing</v>
      </c>
    </row>
    <row r="897" spans="1:17" ht="24.95" customHeight="1" x14ac:dyDescent="0.25">
      <c r="A897" s="43"/>
      <c r="C897" s="38"/>
      <c r="D897" s="39"/>
      <c r="E897" s="39">
        <v>13</v>
      </c>
      <c r="F897" s="40"/>
      <c r="G897" s="39" t="s">
        <v>1918</v>
      </c>
      <c r="H897" s="39">
        <v>5</v>
      </c>
      <c r="I897" s="39">
        <v>5</v>
      </c>
      <c r="J897" s="9" t="s">
        <v>3822</v>
      </c>
      <c r="K897" s="9" t="s">
        <v>3823</v>
      </c>
      <c r="L897" s="9" t="s">
        <v>3824</v>
      </c>
      <c r="M897" s="9" t="s">
        <v>3825</v>
      </c>
      <c r="N897" s="1" t="str">
        <f t="shared" si="23"/>
        <v>a. a. society is losing interest in the illness</v>
      </c>
      <c r="O897" s="1" t="str">
        <f t="shared" si="24"/>
        <v>b. b. new research on schizophrenia has been started</v>
      </c>
      <c r="P897" s="1" t="str">
        <f t="shared" si="25"/>
        <v>c. c. the symptoms of the illness can vary.</v>
      </c>
      <c r="Q897" s="1" t="str">
        <f t="shared" si="26"/>
        <v>d. d. there is no known treatment for schizophrenia</v>
      </c>
    </row>
    <row r="898" spans="1:17" ht="24.95" customHeight="1" x14ac:dyDescent="0.25">
      <c r="A898" s="43"/>
      <c r="C898" s="38"/>
      <c r="D898" s="39"/>
      <c r="E898" s="39">
        <v>14</v>
      </c>
      <c r="F898" s="40"/>
      <c r="G898" s="39" t="s">
        <v>1919</v>
      </c>
      <c r="H898" s="39">
        <v>5</v>
      </c>
      <c r="I898" s="39">
        <v>5</v>
      </c>
      <c r="J898" s="9" t="s">
        <v>3827</v>
      </c>
      <c r="K898" s="9" t="s">
        <v>3828</v>
      </c>
      <c r="L898" s="9" t="s">
        <v>3829</v>
      </c>
      <c r="M898" s="9" t="s">
        <v>3830</v>
      </c>
      <c r="N898" s="1" t="str">
        <f t="shared" si="23"/>
        <v>a. a. know how to manage anxiety well.</v>
      </c>
      <c r="O898" s="1" t="str">
        <f t="shared" si="24"/>
        <v>b. b. have never suffered a major disaster</v>
      </c>
      <c r="P898" s="1" t="str">
        <f t="shared" si="25"/>
        <v>c. c. don’t have to cope with problems</v>
      </c>
      <c r="Q898" s="1" t="str">
        <f t="shared" si="26"/>
        <v>d. d. experience a certain degree of adversity</v>
      </c>
    </row>
    <row r="899" spans="1:17" ht="24.95" customHeight="1" x14ac:dyDescent="0.25">
      <c r="A899" s="43"/>
      <c r="C899" s="38"/>
      <c r="D899" s="39"/>
      <c r="E899" s="39">
        <v>15</v>
      </c>
      <c r="F899" s="40"/>
      <c r="G899" s="39" t="s">
        <v>1920</v>
      </c>
      <c r="H899" s="39">
        <v>5</v>
      </c>
      <c r="I899" s="39">
        <v>5</v>
      </c>
      <c r="J899" s="9" t="s">
        <v>3832</v>
      </c>
      <c r="K899" s="9" t="s">
        <v>3833</v>
      </c>
      <c r="L899" s="9" t="s">
        <v>3834</v>
      </c>
      <c r="M899" s="9" t="s">
        <v>3835</v>
      </c>
      <c r="N899" s="1" t="str">
        <f t="shared" si="23"/>
        <v>a. a. spent three days cliff-walking</v>
      </c>
      <c r="O899" s="1" t="str">
        <f t="shared" si="24"/>
        <v>b. b. met many people on his journey</v>
      </c>
      <c r="P899" s="1" t="str">
        <f t="shared" si="25"/>
        <v>c. c. spent a lot of time in solitude</v>
      </c>
      <c r="Q899" s="1" t="str">
        <f t="shared" si="26"/>
        <v>d. d. walked through a famous national park</v>
      </c>
    </row>
    <row r="900" spans="1:17" ht="24.95" customHeight="1" x14ac:dyDescent="0.25">
      <c r="A900" s="43"/>
      <c r="C900" s="38"/>
      <c r="D900" s="39"/>
      <c r="E900" s="39">
        <v>16</v>
      </c>
      <c r="F900" s="40"/>
      <c r="G900" s="39" t="s">
        <v>1921</v>
      </c>
      <c r="H900" s="39">
        <v>5</v>
      </c>
      <c r="I900" s="39">
        <v>5</v>
      </c>
      <c r="J900" s="9" t="s">
        <v>3837</v>
      </c>
      <c r="K900" s="9" t="s">
        <v>3838</v>
      </c>
      <c r="L900" s="9" t="s">
        <v>3839</v>
      </c>
      <c r="M900" s="9" t="s">
        <v>3840</v>
      </c>
      <c r="N900" s="1" t="str">
        <f t="shared" si="23"/>
        <v>a. a. says Israel should trade occupied land for peace treaties</v>
      </c>
      <c r="O900" s="1" t="str">
        <f t="shared" si="24"/>
        <v>b. b. says Israel should occupy all territories described in the Bible</v>
      </c>
      <c r="P900" s="1" t="str">
        <f t="shared" si="25"/>
        <v>c. c. feels entitled to live on the West Bank</v>
      </c>
      <c r="Q900" s="1" t="str">
        <f t="shared" si="26"/>
        <v>d. d. is tired of confrontations with Palestinians</v>
      </c>
    </row>
    <row r="901" spans="1:17" ht="24.95" customHeight="1" x14ac:dyDescent="0.25">
      <c r="A901" s="43"/>
      <c r="C901" s="38"/>
      <c r="D901" s="39"/>
      <c r="E901" s="39">
        <v>17</v>
      </c>
      <c r="F901" s="40"/>
      <c r="G901" s="39" t="s">
        <v>1922</v>
      </c>
      <c r="H901" s="39">
        <v>5</v>
      </c>
      <c r="I901" s="39">
        <v>5</v>
      </c>
      <c r="J901" s="9" t="s">
        <v>3842</v>
      </c>
      <c r="K901" s="9" t="s">
        <v>3843</v>
      </c>
      <c r="L901" s="9" t="s">
        <v>3844</v>
      </c>
      <c r="M901" s="9" t="s">
        <v>3845</v>
      </c>
      <c r="N901" s="1" t="str">
        <f t="shared" si="23"/>
        <v>a. a. An oil deposit found off the Cypriot coast.</v>
      </c>
      <c r="O901" s="1" t="str">
        <f t="shared" si="24"/>
        <v>b. b. Turkey’s search for oil off the Cypriot coast.</v>
      </c>
      <c r="P901" s="1" t="str">
        <f t="shared" si="25"/>
        <v>c. c. Cyprus’ search for resources in the sea</v>
      </c>
      <c r="Q901" s="1" t="str">
        <f t="shared" si="26"/>
        <v>d. d. Cyprus’ denial to supply gas to North Cyprus</v>
      </c>
    </row>
    <row r="902" spans="1:17" ht="24.95" customHeight="1" x14ac:dyDescent="0.25">
      <c r="A902" s="43"/>
      <c r="C902" s="38"/>
      <c r="D902" s="39"/>
      <c r="E902" s="39">
        <v>18</v>
      </c>
      <c r="F902" s="40"/>
      <c r="G902" s="39" t="s">
        <v>1923</v>
      </c>
      <c r="H902" s="39">
        <v>5</v>
      </c>
      <c r="I902" s="39">
        <v>5</v>
      </c>
      <c r="J902" s="9" t="s">
        <v>3847</v>
      </c>
      <c r="K902" s="9" t="s">
        <v>3848</v>
      </c>
      <c r="L902" s="9" t="s">
        <v>3849</v>
      </c>
      <c r="M902" s="9" t="s">
        <v>3850</v>
      </c>
      <c r="N902" s="1" t="str">
        <f t="shared" si="23"/>
        <v>a. a. a lot of space debris</v>
      </c>
      <c r="O902" s="1" t="str">
        <f t="shared" si="24"/>
        <v>b. b. the creation of two moons</v>
      </c>
      <c r="P902" s="1" t="str">
        <f t="shared" si="25"/>
        <v>c. c. the formation of the craters of the moon</v>
      </c>
      <c r="Q902" s="1" t="str">
        <f t="shared" si="26"/>
        <v>d. d. the highlands on the visible side of the moon</v>
      </c>
    </row>
    <row r="903" spans="1:17" ht="24.95" customHeight="1" x14ac:dyDescent="0.25">
      <c r="A903" s="43"/>
      <c r="C903" s="38"/>
      <c r="D903" s="39"/>
      <c r="E903" s="39">
        <v>19</v>
      </c>
      <c r="F903" s="40"/>
      <c r="G903" s="39" t="s">
        <v>1924</v>
      </c>
      <c r="H903" s="39">
        <v>5</v>
      </c>
      <c r="I903" s="39">
        <v>5</v>
      </c>
      <c r="J903" s="9" t="s">
        <v>3852</v>
      </c>
      <c r="K903" s="9" t="s">
        <v>3853</v>
      </c>
      <c r="L903" s="9" t="s">
        <v>3854</v>
      </c>
      <c r="M903" s="9" t="s">
        <v>3855</v>
      </c>
      <c r="N903" s="1" t="str">
        <f t="shared" si="23"/>
        <v>a. a. fought with freedom fighters against the Fascists</v>
      </c>
      <c r="O903" s="1" t="str">
        <f t="shared" si="24"/>
        <v>b. b. played a part in the liberation of his village</v>
      </c>
      <c r="P903" s="1" t="str">
        <f t="shared" si="25"/>
        <v>c. c. amazed everyone with his superb trumpet playing</v>
      </c>
      <c r="Q903" s="1" t="str">
        <f t="shared" si="26"/>
        <v>d. d. played a simple piece at the fighters’ funeral</v>
      </c>
    </row>
    <row r="904" spans="1:17" ht="24.95" customHeight="1" x14ac:dyDescent="0.25">
      <c r="A904" s="43"/>
      <c r="C904" s="38"/>
      <c r="D904" s="39"/>
      <c r="E904" s="39">
        <v>20</v>
      </c>
      <c r="F904" s="40"/>
      <c r="G904" s="39" t="s">
        <v>1925</v>
      </c>
      <c r="H904" s="39">
        <v>5</v>
      </c>
      <c r="I904" s="39">
        <v>5</v>
      </c>
      <c r="J904" s="9" t="s">
        <v>3857</v>
      </c>
      <c r="K904" s="9" t="s">
        <v>3858</v>
      </c>
      <c r="L904" s="9" t="s">
        <v>3859</v>
      </c>
      <c r="M904" s="9" t="s">
        <v>3860</v>
      </c>
      <c r="N904" s="1" t="str">
        <f t="shared" si="23"/>
        <v>a. a. The fast talkers were the most successful</v>
      </c>
      <c r="O904" s="1" t="str">
        <f t="shared" si="24"/>
        <v>b. b. Pausing between words is not a good idea</v>
      </c>
      <c r="P904" s="1" t="str">
        <f t="shared" si="25"/>
        <v>c. c. Variations in pitch make one sound more convincing</v>
      </c>
      <c r="Q904" s="1" t="str">
        <f t="shared" si="26"/>
        <v>d. d. The right speed is neither too fast nor too slow</v>
      </c>
    </row>
    <row r="905" spans="1:17" ht="24.95" customHeight="1" x14ac:dyDescent="0.25">
      <c r="A905" s="43"/>
      <c r="C905" s="38"/>
      <c r="D905" s="39"/>
      <c r="E905" s="39">
        <v>21</v>
      </c>
      <c r="F905" s="40"/>
      <c r="G905" s="39" t="s">
        <v>1926</v>
      </c>
      <c r="H905" s="39">
        <v>5</v>
      </c>
      <c r="I905" s="39">
        <v>5</v>
      </c>
      <c r="J905" s="9" t="s">
        <v>3862</v>
      </c>
      <c r="K905" s="9" t="s">
        <v>3863</v>
      </c>
      <c r="L905" s="9" t="s">
        <v>3864</v>
      </c>
      <c r="M905" s="9" t="s">
        <v>3865</v>
      </c>
      <c r="N905" s="1" t="str">
        <f t="shared" si="23"/>
        <v>a. a. many characters come across as too modern.</v>
      </c>
      <c r="O905" s="1" t="str">
        <f t="shared" si="24"/>
        <v>b. b. readers like to identify with characters</v>
      </c>
      <c r="P905" s="1" t="str">
        <f t="shared" si="25"/>
        <v>c. c. creating historically authentic characters isn’t her main purpose</v>
      </c>
      <c r="Q905" s="1" t="str">
        <f t="shared" si="26"/>
        <v>d. d. we wouldn’t understand authentic historical characters</v>
      </c>
    </row>
    <row r="906" spans="1:17" ht="24.95" customHeight="1" x14ac:dyDescent="0.25">
      <c r="A906" s="43"/>
      <c r="C906" s="38"/>
      <c r="D906" s="39"/>
      <c r="E906" s="39">
        <v>22</v>
      </c>
      <c r="F906" s="40"/>
      <c r="G906" s="39" t="s">
        <v>1927</v>
      </c>
      <c r="H906" s="39">
        <v>5</v>
      </c>
      <c r="I906" s="39">
        <v>5</v>
      </c>
      <c r="J906" s="9" t="s">
        <v>3867</v>
      </c>
      <c r="K906" s="9" t="s">
        <v>3868</v>
      </c>
      <c r="L906" s="9" t="s">
        <v>3869</v>
      </c>
      <c r="M906" s="9" t="s">
        <v>3870</v>
      </c>
      <c r="N906" s="1" t="str">
        <f t="shared" si="23"/>
        <v>a. a. his book was successful because of its ironic tone.</v>
      </c>
      <c r="O906" s="1" t="str">
        <f t="shared" si="24"/>
        <v>b. b. pointing out grammar mistakes made him unpopular</v>
      </c>
      <c r="P906" s="1" t="str">
        <f t="shared" si="25"/>
        <v>c. c. the book is based on an analysis of errors in newspapers</v>
      </c>
      <c r="Q906" s="1" t="str">
        <f t="shared" si="26"/>
        <v>d. d. the book deals with grammar mistakes in a stern way</v>
      </c>
    </row>
    <row r="907" spans="1:17" ht="24.95" customHeight="1" x14ac:dyDescent="0.25">
      <c r="A907" s="43"/>
      <c r="C907" s="38"/>
      <c r="D907" s="39"/>
      <c r="E907" s="39">
        <v>23</v>
      </c>
      <c r="F907" s="40"/>
      <c r="G907" s="39" t="s">
        <v>1928</v>
      </c>
      <c r="H907" s="39">
        <v>5</v>
      </c>
      <c r="I907" s="39">
        <v>5</v>
      </c>
      <c r="J907" s="9" t="s">
        <v>3872</v>
      </c>
      <c r="K907" s="9" t="s">
        <v>3873</v>
      </c>
      <c r="L907" s="9" t="s">
        <v>3874</v>
      </c>
      <c r="M907" s="9" t="s">
        <v>3875</v>
      </c>
      <c r="N907" s="1" t="str">
        <f t="shared" si="23"/>
        <v>a. a. of his fondness for reading mystery novels</v>
      </c>
      <c r="O907" s="1" t="str">
        <f t="shared" si="24"/>
        <v>b. b. of the size and glamour of the cases</v>
      </c>
      <c r="P907" s="1" t="str">
        <f t="shared" si="25"/>
        <v>c. c. of the complexity and cunning of the schemes</v>
      </c>
      <c r="Q907" s="1" t="str">
        <f t="shared" si="26"/>
        <v>d. d. of the excitement and risky nature of it</v>
      </c>
    </row>
    <row r="908" spans="1:17" ht="24.95" customHeight="1" x14ac:dyDescent="0.25">
      <c r="A908" s="43"/>
      <c r="C908" s="38"/>
      <c r="D908" s="41"/>
      <c r="E908" s="39">
        <v>24</v>
      </c>
      <c r="F908" s="40"/>
      <c r="G908" s="39" t="s">
        <v>1929</v>
      </c>
      <c r="H908" s="39">
        <v>5</v>
      </c>
      <c r="I908" s="39">
        <v>5</v>
      </c>
      <c r="J908" s="9" t="s">
        <v>3877</v>
      </c>
      <c r="K908" s="9" t="s">
        <v>3878</v>
      </c>
      <c r="L908" s="9" t="s">
        <v>3879</v>
      </c>
      <c r="M908" s="9" t="s">
        <v>3880</v>
      </c>
      <c r="N908" s="1" t="str">
        <f t="shared" si="23"/>
        <v>a. a. it could damage Bill Clinton’s reputation</v>
      </c>
      <c r="O908" s="1" t="str">
        <f t="shared" si="24"/>
        <v>b. b. it would establish a dangerous precedent</v>
      </c>
      <c r="P908" s="1" t="str">
        <f t="shared" si="25"/>
        <v>c. c. the investigation was politically motivated</v>
      </c>
      <c r="Q908" s="1" t="str">
        <f t="shared" si="26"/>
        <v>d. d. the results would be too unpredictable</v>
      </c>
    </row>
    <row r="909" spans="1:17" ht="24.95" customHeight="1" x14ac:dyDescent="0.25">
      <c r="A909" s="43"/>
      <c r="C909" s="38"/>
      <c r="D909" s="41"/>
      <c r="E909" s="39">
        <v>25</v>
      </c>
      <c r="F909" s="40"/>
      <c r="G909" s="39" t="s">
        <v>1930</v>
      </c>
      <c r="H909" s="39">
        <v>5</v>
      </c>
      <c r="I909" s="39">
        <v>5</v>
      </c>
      <c r="J909" s="9" t="s">
        <v>3882</v>
      </c>
      <c r="K909" s="9" t="s">
        <v>3883</v>
      </c>
      <c r="L909" s="9" t="s">
        <v>3884</v>
      </c>
      <c r="M909" s="9" t="s">
        <v>3885</v>
      </c>
      <c r="N909" s="1" t="str">
        <f t="shared" si="23"/>
        <v>a. a. the lack of transparency in the exams</v>
      </c>
      <c r="O909" s="1" t="str">
        <f t="shared" si="24"/>
        <v>b. b. the lack of objectivity in the selection process</v>
      </c>
      <c r="P909" s="1" t="str">
        <f t="shared" si="25"/>
        <v>c. c. that many students tend to lie during interviews</v>
      </c>
      <c r="Q909" s="1" t="str">
        <f t="shared" si="26"/>
        <v>d. d. that students are subject to an absurd procedure</v>
      </c>
    </row>
    <row r="910" spans="1:17" ht="24.95" customHeight="1" x14ac:dyDescent="0.25">
      <c r="A910" s="43"/>
      <c r="C910" s="38"/>
      <c r="D910" s="41"/>
      <c r="E910" s="39">
        <v>26</v>
      </c>
      <c r="F910" s="40"/>
      <c r="G910" s="39" t="s">
        <v>1931</v>
      </c>
      <c r="H910" s="39">
        <v>5</v>
      </c>
      <c r="I910" s="39">
        <v>5</v>
      </c>
      <c r="J910" s="9" t="s">
        <v>3887</v>
      </c>
      <c r="K910" s="9" t="s">
        <v>3888</v>
      </c>
      <c r="L910" s="9" t="s">
        <v>3889</v>
      </c>
      <c r="M910" s="9" t="s">
        <v>3890</v>
      </c>
      <c r="N910" s="1" t="str">
        <f t="shared" si="23"/>
        <v>a. a. Small changes in people's everyday life can make a big difference</v>
      </c>
      <c r="O910" s="1" t="str">
        <f t="shared" si="24"/>
        <v>b. b. What people say are small sacrifices are actually big efforts</v>
      </c>
      <c r="P910" s="1" t="str">
        <f t="shared" si="25"/>
        <v>c. c. His effotts will be pointless if certain countries don't reduce their emissions</v>
      </c>
      <c r="Q910" s="1" t="str">
        <f t="shared" si="26"/>
        <v>d. d. Any effort to cut down on emissions and save the planet is futile</v>
      </c>
    </row>
    <row r="911" spans="1:17" ht="24.95" customHeight="1" x14ac:dyDescent="0.25">
      <c r="A911" s="43"/>
      <c r="C911" s="38"/>
      <c r="D911" s="41"/>
      <c r="E911" s="39">
        <v>27</v>
      </c>
      <c r="F911" s="40"/>
      <c r="G911" s="39" t="s">
        <v>1932</v>
      </c>
      <c r="H911" s="39">
        <v>5</v>
      </c>
      <c r="I911" s="39">
        <v>5</v>
      </c>
      <c r="J911" s="9" t="s">
        <v>3892</v>
      </c>
      <c r="K911" s="9" t="s">
        <v>3893</v>
      </c>
      <c r="L911" s="9" t="s">
        <v>3894</v>
      </c>
      <c r="M911" s="9" t="s">
        <v>3895</v>
      </c>
      <c r="N911" s="1" t="str">
        <f t="shared" si="23"/>
        <v>a. a. was influenced by Protestantism in matters of conscience</v>
      </c>
      <c r="O911" s="1" t="str">
        <f t="shared" si="24"/>
        <v>b. b. believed in the divinity of Christ</v>
      </c>
      <c r="P911" s="1" t="str">
        <f t="shared" si="25"/>
        <v>c. c. was against the establishment of a national religion</v>
      </c>
      <c r="Q911" s="1" t="str">
        <f t="shared" si="26"/>
        <v>d. d. was critical of the Church</v>
      </c>
    </row>
    <row r="912" spans="1:17" ht="24.95" customHeight="1" x14ac:dyDescent="0.25">
      <c r="A912" s="43"/>
      <c r="C912" s="38"/>
      <c r="D912" s="41"/>
      <c r="E912" s="39">
        <v>28</v>
      </c>
      <c r="F912" s="40"/>
      <c r="G912" s="39" t="s">
        <v>1933</v>
      </c>
      <c r="H912" s="39">
        <v>5</v>
      </c>
      <c r="I912" s="39">
        <v>5</v>
      </c>
      <c r="J912" s="9" t="s">
        <v>3897</v>
      </c>
      <c r="K912" s="9" t="s">
        <v>3898</v>
      </c>
      <c r="L912" s="9" t="s">
        <v>3899</v>
      </c>
      <c r="M912" s="9" t="s">
        <v>3900</v>
      </c>
      <c r="N912" s="1" t="str">
        <f t="shared" si="23"/>
        <v>a. a. It has been widely misinterpreted.</v>
      </c>
      <c r="O912" s="1" t="str">
        <f t="shared" si="24"/>
        <v>b. b. It teaches a productive approach to conflict.</v>
      </c>
      <c r="P912" s="1" t="str">
        <f t="shared" si="25"/>
        <v>c. c. It can lead to intransigent political positions</v>
      </c>
      <c r="Q912" s="1" t="str">
        <f t="shared" si="26"/>
        <v>d. d. It can lead to more ethical political behavior</v>
      </c>
    </row>
    <row r="913" spans="1:17" ht="24.95" customHeight="1" x14ac:dyDescent="0.25">
      <c r="A913" s="43"/>
      <c r="C913" s="38"/>
      <c r="D913" s="41"/>
      <c r="E913" s="39">
        <v>29</v>
      </c>
      <c r="F913" s="40"/>
      <c r="G913" s="39" t="s">
        <v>1934</v>
      </c>
      <c r="H913" s="39">
        <v>5</v>
      </c>
      <c r="I913" s="39">
        <v>5</v>
      </c>
      <c r="J913" s="9" t="s">
        <v>3902</v>
      </c>
      <c r="K913" s="9" t="s">
        <v>3903</v>
      </c>
      <c r="L913" s="9" t="s">
        <v>3904</v>
      </c>
      <c r="M913" s="9" t="s">
        <v>3905</v>
      </c>
      <c r="N913" s="1" t="str">
        <f t="shared" si="23"/>
        <v>a. a. is not enough to remember the fallen</v>
      </c>
      <c r="O913" s="1" t="str">
        <f t="shared" si="24"/>
        <v>b. b. idealizes war, which is despicable</v>
      </c>
      <c r="P913" s="1" t="str">
        <f t="shared" si="25"/>
        <v>c. c. has become politicized</v>
      </c>
      <c r="Q913" s="1" t="str">
        <f t="shared" si="26"/>
        <v>d. d. has lost its original meaning</v>
      </c>
    </row>
    <row r="914" spans="1:17" ht="24.95" customHeight="1" x14ac:dyDescent="0.25">
      <c r="A914" s="43"/>
      <c r="C914" s="38"/>
      <c r="D914" s="41"/>
      <c r="E914" s="39">
        <v>30</v>
      </c>
      <c r="F914" s="40"/>
      <c r="G914" s="39" t="s">
        <v>1935</v>
      </c>
      <c r="H914" s="39">
        <v>5</v>
      </c>
      <c r="I914" s="39">
        <v>5</v>
      </c>
      <c r="J914" s="9" t="s">
        <v>3907</v>
      </c>
      <c r="K914" s="9" t="s">
        <v>3908</v>
      </c>
      <c r="L914" s="9" t="s">
        <v>3909</v>
      </c>
      <c r="M914" s="9" t="s">
        <v>3910</v>
      </c>
      <c r="N914" s="1" t="str">
        <f t="shared" si="23"/>
        <v>a. a. describe major events such as war on a human scale</v>
      </c>
      <c r="O914" s="1" t="str">
        <f t="shared" si="24"/>
        <v>b. b. limit the scope to a short time period.</v>
      </c>
      <c r="P914" s="1" t="str">
        <f t="shared" si="25"/>
        <v>c. c. portray historical heroes in an objective way.</v>
      </c>
      <c r="Q914" s="1" t="str">
        <f t="shared" si="26"/>
        <v>d. d. show events the way people experienced them at the time.</v>
      </c>
    </row>
    <row r="915" spans="1:17" ht="24.95" customHeight="1" x14ac:dyDescent="0.25">
      <c r="A915" s="43"/>
      <c r="C915" s="38"/>
      <c r="D915" s="41"/>
      <c r="E915" s="39">
        <v>31</v>
      </c>
      <c r="F915" s="40"/>
      <c r="G915" s="39" t="s">
        <v>1936</v>
      </c>
      <c r="H915" s="39">
        <v>5</v>
      </c>
      <c r="I915" s="39">
        <v>5</v>
      </c>
      <c r="J915" s="9" t="s">
        <v>3912</v>
      </c>
      <c r="K915" s="9" t="s">
        <v>3913</v>
      </c>
      <c r="L915" s="9" t="s">
        <v>3914</v>
      </c>
      <c r="M915" s="9" t="s">
        <v>3915</v>
      </c>
      <c r="N915" s="1" t="str">
        <f t="shared" si="23"/>
        <v>a. a. need the satisfaction given by material goods.</v>
      </c>
      <c r="O915" s="1" t="str">
        <f t="shared" si="24"/>
        <v>b. b. fear losing their living standard due to the crisis.</v>
      </c>
      <c r="P915" s="1" t="str">
        <f t="shared" si="25"/>
        <v>c. c. demand greater social justice in times of crisis.</v>
      </c>
      <c r="Q915" s="1" t="str">
        <f t="shared" si="26"/>
        <v>d. d. show acceptance towards limiting consumerism.</v>
      </c>
    </row>
    <row r="916" spans="1:17" ht="24.95" customHeight="1" x14ac:dyDescent="0.25">
      <c r="A916" s="43"/>
      <c r="C916" s="38"/>
      <c r="D916" s="41"/>
      <c r="E916" s="39">
        <v>32</v>
      </c>
      <c r="F916" s="40"/>
      <c r="G916" s="39" t="s">
        <v>1937</v>
      </c>
      <c r="H916" s="39">
        <v>5</v>
      </c>
      <c r="I916" s="39">
        <v>5</v>
      </c>
      <c r="J916" s="9" t="s">
        <v>3917</v>
      </c>
      <c r="K916" s="9" t="s">
        <v>3918</v>
      </c>
      <c r="L916" s="9" t="s">
        <v>3919</v>
      </c>
      <c r="M916" s="9" t="s">
        <v>3920</v>
      </c>
      <c r="N916" s="1" t="str">
        <f t="shared" si="23"/>
        <v>a. a. does not include a variety of voices</v>
      </c>
      <c r="O916" s="1" t="str">
        <f t="shared" si="24"/>
        <v>b. b. shows only one side of the issues.</v>
      </c>
      <c r="P916" s="1" t="str">
        <f t="shared" si="25"/>
        <v>c. c. prioritizes profit over substance</v>
      </c>
      <c r="Q916" s="1" t="str">
        <f t="shared" si="26"/>
        <v>d. d. lacks popular appeal</v>
      </c>
    </row>
    <row r="917" spans="1:17" ht="24.95" customHeight="1" x14ac:dyDescent="0.25">
      <c r="A917" s="43"/>
      <c r="C917" s="38"/>
      <c r="D917" s="41"/>
      <c r="E917" s="39">
        <v>33</v>
      </c>
      <c r="F917" s="40"/>
      <c r="G917" s="39" t="s">
        <v>1938</v>
      </c>
      <c r="H917" s="39">
        <v>5</v>
      </c>
      <c r="I917" s="39">
        <v>5</v>
      </c>
      <c r="J917" s="9" t="s">
        <v>3922</v>
      </c>
      <c r="K917" s="9" t="s">
        <v>3923</v>
      </c>
      <c r="L917" s="9" t="s">
        <v>3924</v>
      </c>
      <c r="M917" s="9" t="s">
        <v>3925</v>
      </c>
      <c r="N917" s="1" t="str">
        <f t="shared" si="23"/>
        <v>a. a. have a number of priority values.</v>
      </c>
      <c r="O917" s="1" t="str">
        <f t="shared" si="24"/>
        <v>b. b. are a moral example for Iraqi civilians.</v>
      </c>
      <c r="P917" s="1" t="str">
        <f t="shared" si="25"/>
        <v>c. c. are neglecting moral values.</v>
      </c>
      <c r="Q917" s="1" t="str">
        <f t="shared" si="26"/>
        <v>d. d. require high-ranking officers to have special values.</v>
      </c>
    </row>
    <row r="918" spans="1:17" ht="24.95" customHeight="1" x14ac:dyDescent="0.25">
      <c r="A918" s="43"/>
      <c r="C918" s="38"/>
      <c r="D918" s="41"/>
      <c r="E918" s="39">
        <v>34</v>
      </c>
      <c r="F918" s="40"/>
      <c r="G918" s="39" t="s">
        <v>1939</v>
      </c>
      <c r="H918" s="39">
        <v>5</v>
      </c>
      <c r="I918" s="39">
        <v>5</v>
      </c>
      <c r="J918" s="9" t="s">
        <v>3927</v>
      </c>
      <c r="K918" s="9" t="s">
        <v>3928</v>
      </c>
      <c r="L918" s="9" t="s">
        <v>3929</v>
      </c>
      <c r="M918" s="9" t="s">
        <v>3930</v>
      </c>
      <c r="N918" s="1" t="str">
        <f t="shared" si="23"/>
        <v>a. a. has created a niche market.</v>
      </c>
      <c r="O918" s="1" t="str">
        <f t="shared" si="24"/>
        <v>b. b. causes marital discontent.</v>
      </c>
      <c r="P918" s="1" t="str">
        <f t="shared" si="25"/>
        <v>c. c. is also suffered by women.</v>
      </c>
      <c r="Q918" s="1" t="str">
        <f t="shared" si="26"/>
        <v>d. d. makes men behave childishly.</v>
      </c>
    </row>
    <row r="919" spans="1:17" ht="24.95" customHeight="1" x14ac:dyDescent="0.25">
      <c r="A919" s="43"/>
      <c r="C919" s="38"/>
      <c r="D919" s="41"/>
      <c r="E919" s="39">
        <v>35</v>
      </c>
      <c r="F919" s="40"/>
      <c r="G919" s="39" t="s">
        <v>1940</v>
      </c>
      <c r="H919" s="39">
        <v>5</v>
      </c>
      <c r="I919" s="39">
        <v>5</v>
      </c>
      <c r="J919" s="9" t="s">
        <v>3932</v>
      </c>
      <c r="K919" s="9" t="s">
        <v>3933</v>
      </c>
      <c r="L919" s="9" t="s">
        <v>3934</v>
      </c>
      <c r="M919" s="9" t="s">
        <v>3935</v>
      </c>
      <c r="N919" s="1" t="str">
        <f t="shared" si="23"/>
        <v>a. a. lead.</v>
      </c>
      <c r="O919" s="1" t="str">
        <f t="shared" si="24"/>
        <v>b. b. facilitate.</v>
      </c>
      <c r="P919" s="1" t="str">
        <f t="shared" si="25"/>
        <v>c. c. incentivize.</v>
      </c>
      <c r="Q919" s="1" t="str">
        <f t="shared" si="26"/>
        <v>d. d. educate.</v>
      </c>
    </row>
    <row r="920" spans="1:17" ht="24.95" customHeight="1" x14ac:dyDescent="0.25">
      <c r="A920" s="43"/>
      <c r="C920" s="38"/>
      <c r="D920" s="41"/>
      <c r="E920" s="39">
        <v>36</v>
      </c>
      <c r="F920" s="40"/>
      <c r="G920" s="39" t="s">
        <v>1941</v>
      </c>
      <c r="H920" s="39">
        <v>5</v>
      </c>
      <c r="I920" s="39">
        <v>5</v>
      </c>
      <c r="J920" s="9" t="s">
        <v>3937</v>
      </c>
      <c r="K920" s="9" t="s">
        <v>3938</v>
      </c>
      <c r="L920" s="9" t="s">
        <v>3939</v>
      </c>
      <c r="M920" s="9" t="s">
        <v>3940</v>
      </c>
      <c r="N920" s="1" t="str">
        <f t="shared" si="23"/>
        <v>a. a. may be progressive.</v>
      </c>
      <c r="O920" s="1" t="str">
        <f t="shared" si="24"/>
        <v>b. b. may be based on incorrect assumptions.</v>
      </c>
      <c r="P920" s="1" t="str">
        <f t="shared" si="25"/>
        <v>c. c. may not be obvious.</v>
      </c>
      <c r="Q920" s="1" t="str">
        <f t="shared" si="26"/>
        <v>d. d. may not represent their congregations.</v>
      </c>
    </row>
    <row r="921" spans="1:17" ht="24.95" customHeight="1" x14ac:dyDescent="0.25">
      <c r="A921" s="43"/>
      <c r="C921" s="38"/>
      <c r="D921" s="41"/>
      <c r="E921" s="39">
        <v>37</v>
      </c>
      <c r="F921" s="40"/>
      <c r="G921" s="39" t="s">
        <v>1942</v>
      </c>
      <c r="H921" s="39">
        <v>5</v>
      </c>
      <c r="I921" s="39">
        <v>5</v>
      </c>
      <c r="J921" s="9" t="s">
        <v>3942</v>
      </c>
      <c r="K921" s="9" t="s">
        <v>3943</v>
      </c>
      <c r="L921" s="9" t="s">
        <v>3944</v>
      </c>
      <c r="M921" s="9" t="s">
        <v>3945</v>
      </c>
      <c r="N921" s="1" t="str">
        <f t="shared" si="23"/>
        <v>a. a. The FDA should have approved it.</v>
      </c>
      <c r="O921" s="1" t="str">
        <f t="shared" si="24"/>
        <v>b. b. The FDA should have studied it more carefully.</v>
      </c>
      <c r="P921" s="1" t="str">
        <f t="shared" si="25"/>
        <v>c. c. The scientific review panel should have recommended it.</v>
      </c>
      <c r="Q921" s="1" t="str">
        <f t="shared" si="26"/>
        <v>d. d. The scientific review panel was politically motivated.</v>
      </c>
    </row>
    <row r="922" spans="1:17" ht="24.95" customHeight="1" x14ac:dyDescent="0.25">
      <c r="A922" s="43"/>
      <c r="C922" s="38"/>
      <c r="D922" s="41"/>
      <c r="E922" s="39">
        <v>38</v>
      </c>
      <c r="F922" s="40"/>
      <c r="G922" s="39" t="s">
        <v>1943</v>
      </c>
      <c r="H922" s="39">
        <v>5</v>
      </c>
      <c r="I922" s="39">
        <v>5</v>
      </c>
      <c r="J922" s="9" t="s">
        <v>3947</v>
      </c>
      <c r="K922" s="9" t="s">
        <v>3948</v>
      </c>
      <c r="L922" s="9" t="s">
        <v>3949</v>
      </c>
      <c r="M922" s="9" t="s">
        <v>3950</v>
      </c>
      <c r="N922" s="1" t="str">
        <f t="shared" si="23"/>
        <v>a. a. They show little understanding for Tibetan rituals</v>
      </c>
      <c r="O922" s="1" t="str">
        <f t="shared" si="24"/>
        <v>b. b. They are fascinated by Tibetan mysticism</v>
      </c>
      <c r="P922" s="1" t="str">
        <f t="shared" si="25"/>
        <v>c. c. They interpret Tibetan traditions from their own viewpoint</v>
      </c>
      <c r="Q922" s="1" t="str">
        <f t="shared" si="26"/>
        <v>d. d. They have surprisingly few prejudices about Tibet</v>
      </c>
    </row>
    <row r="923" spans="1:17" ht="24.95" customHeight="1" x14ac:dyDescent="0.25">
      <c r="A923" s="43"/>
      <c r="C923" s="38"/>
      <c r="D923" s="41"/>
      <c r="E923" s="39">
        <v>39</v>
      </c>
      <c r="F923" s="40"/>
      <c r="G923" s="39" t="s">
        <v>1944</v>
      </c>
      <c r="H923" s="39">
        <v>5</v>
      </c>
      <c r="I923" s="39">
        <v>5</v>
      </c>
      <c r="J923" s="9" t="s">
        <v>3952</v>
      </c>
      <c r="K923" s="9" t="s">
        <v>3953</v>
      </c>
      <c r="L923" s="9" t="s">
        <v>3954</v>
      </c>
      <c r="M923" s="9" t="s">
        <v>3955</v>
      </c>
      <c r="N923" s="1" t="str">
        <f t="shared" si="23"/>
        <v>a. a. All modern ideals of beauty stem from fascism.</v>
      </c>
      <c r="O923" s="1" t="str">
        <f t="shared" si="24"/>
        <v>b. b. Too much emphasis is placed on outward beauty</v>
      </c>
      <c r="P923" s="1" t="str">
        <f t="shared" si="25"/>
        <v>c. c. Beauty should not matter in the modern age.</v>
      </c>
      <c r="Q923" s="1" t="str">
        <f t="shared" si="26"/>
        <v>d. d. Beauty is perceived differently by everyone</v>
      </c>
    </row>
    <row r="924" spans="1:17" ht="24.95" customHeight="1" x14ac:dyDescent="0.25">
      <c r="C924" s="38"/>
      <c r="D924" s="41"/>
      <c r="E924" s="39">
        <v>40</v>
      </c>
      <c r="F924" s="40"/>
      <c r="G924" s="39" t="s">
        <v>1945</v>
      </c>
      <c r="H924" s="39">
        <v>5</v>
      </c>
      <c r="I924" s="39">
        <v>5</v>
      </c>
      <c r="J924" s="9" t="s">
        <v>3957</v>
      </c>
      <c r="K924" s="9" t="s">
        <v>3958</v>
      </c>
      <c r="L924" s="9" t="s">
        <v>3959</v>
      </c>
      <c r="M924" s="9" t="s">
        <v>3960</v>
      </c>
      <c r="N924" s="1" t="str">
        <f t="shared" si="23"/>
        <v>a. a. They rebel against them and try to find a remedy</v>
      </c>
      <c r="O924" s="1" t="str">
        <f t="shared" si="24"/>
        <v>b. b. They start pitying themselves</v>
      </c>
      <c r="P924" s="1" t="str">
        <f t="shared" si="25"/>
        <v>c. c. They project their own failures onto others</v>
      </c>
      <c r="Q924" s="1" t="str">
        <f t="shared" si="26"/>
        <v>d. d. They look for possible faults in their past behaviour</v>
      </c>
    </row>
    <row r="925" spans="1:17" ht="24.95" customHeight="1" x14ac:dyDescent="0.25">
      <c r="A925" s="9"/>
      <c r="B925" s="9"/>
      <c r="C925" s="9">
        <v>1001</v>
      </c>
      <c r="D925" s="9" t="s">
        <v>3760</v>
      </c>
      <c r="E925" s="9">
        <v>1</v>
      </c>
      <c r="F925" s="9" t="s">
        <v>4649</v>
      </c>
      <c r="G925" s="9" t="s">
        <v>3761</v>
      </c>
      <c r="H925" s="9">
        <v>1</v>
      </c>
      <c r="I925" s="9">
        <v>20</v>
      </c>
      <c r="J925" s="51" t="s">
        <v>4690</v>
      </c>
      <c r="K925" s="51" t="s">
        <v>4691</v>
      </c>
      <c r="L925" s="51" t="s">
        <v>4692</v>
      </c>
      <c r="M925" s="51" t="s">
        <v>4693</v>
      </c>
    </row>
    <row r="926" spans="1:17" ht="24.95" customHeight="1" x14ac:dyDescent="0.25">
      <c r="A926" s="9"/>
      <c r="B926" s="9"/>
      <c r="C926" s="9"/>
      <c r="D926" s="9"/>
      <c r="E926" s="9">
        <v>2</v>
      </c>
      <c r="F926" s="9" t="s">
        <v>4650</v>
      </c>
      <c r="G926" s="9" t="s">
        <v>3766</v>
      </c>
      <c r="H926" s="9">
        <v>1</v>
      </c>
      <c r="I926" s="9">
        <v>20</v>
      </c>
      <c r="J926" s="51" t="s">
        <v>4695</v>
      </c>
      <c r="K926" s="51" t="s">
        <v>4696</v>
      </c>
      <c r="L926" s="51" t="s">
        <v>4697</v>
      </c>
      <c r="M926" s="51" t="s">
        <v>4698</v>
      </c>
    </row>
    <row r="927" spans="1:17" ht="24.95" customHeight="1" x14ac:dyDescent="0.25">
      <c r="A927" s="9"/>
      <c r="B927" s="9"/>
      <c r="C927" s="9"/>
      <c r="D927" s="9" t="s">
        <v>16</v>
      </c>
      <c r="E927" s="9">
        <v>3</v>
      </c>
      <c r="F927" s="9" t="s">
        <v>4651</v>
      </c>
      <c r="G927" s="9" t="s">
        <v>3771</v>
      </c>
      <c r="H927" s="9">
        <v>1</v>
      </c>
      <c r="I927" s="9">
        <v>20</v>
      </c>
      <c r="J927" s="51" t="s">
        <v>4700</v>
      </c>
      <c r="K927" s="51" t="s">
        <v>4701</v>
      </c>
      <c r="L927" s="51" t="s">
        <v>4702</v>
      </c>
      <c r="M927" s="51" t="s">
        <v>4703</v>
      </c>
    </row>
    <row r="928" spans="1:17" ht="24.95" customHeight="1" x14ac:dyDescent="0.25">
      <c r="A928" s="9"/>
      <c r="B928" s="9"/>
      <c r="C928" s="9"/>
      <c r="D928" s="9"/>
      <c r="E928" s="9">
        <v>4</v>
      </c>
      <c r="F928" s="9" t="s">
        <v>4652</v>
      </c>
      <c r="G928" s="9" t="s">
        <v>3776</v>
      </c>
      <c r="H928" s="9">
        <v>1</v>
      </c>
      <c r="I928" s="9">
        <v>20</v>
      </c>
      <c r="J928" s="51" t="s">
        <v>4705</v>
      </c>
      <c r="K928" s="51" t="s">
        <v>4706</v>
      </c>
      <c r="L928" s="51" t="s">
        <v>4707</v>
      </c>
      <c r="M928" s="51" t="s">
        <v>4708</v>
      </c>
    </row>
    <row r="929" spans="1:13" ht="24.95" customHeight="1" x14ac:dyDescent="0.25">
      <c r="A929" s="9"/>
      <c r="B929" s="9"/>
      <c r="C929" s="9"/>
      <c r="D929" s="9"/>
      <c r="E929" s="9">
        <v>5</v>
      </c>
      <c r="F929" s="9" t="s">
        <v>4653</v>
      </c>
      <c r="G929" s="9" t="s">
        <v>3781</v>
      </c>
      <c r="H929" s="9">
        <v>1</v>
      </c>
      <c r="I929" s="9">
        <v>20</v>
      </c>
      <c r="J929" s="51" t="s">
        <v>4710</v>
      </c>
      <c r="K929" s="51" t="s">
        <v>4711</v>
      </c>
      <c r="L929" s="51" t="s">
        <v>4712</v>
      </c>
      <c r="M929" s="51" t="s">
        <v>4713</v>
      </c>
    </row>
    <row r="930" spans="1:13" ht="24.95" customHeight="1" x14ac:dyDescent="0.25">
      <c r="A930" s="9"/>
      <c r="B930" s="9"/>
      <c r="C930" s="9"/>
      <c r="D930" s="9"/>
      <c r="E930" s="9">
        <v>6</v>
      </c>
      <c r="F930" s="9" t="s">
        <v>4654</v>
      </c>
      <c r="G930" s="9" t="s">
        <v>3786</v>
      </c>
      <c r="H930" s="9">
        <v>1</v>
      </c>
      <c r="I930" s="9">
        <v>20</v>
      </c>
      <c r="J930" s="51" t="s">
        <v>4715</v>
      </c>
      <c r="K930" s="51" t="s">
        <v>4716</v>
      </c>
      <c r="L930" s="51" t="s">
        <v>4717</v>
      </c>
      <c r="M930" s="51" t="s">
        <v>4718</v>
      </c>
    </row>
    <row r="931" spans="1:13" ht="24.95" customHeight="1" x14ac:dyDescent="0.25">
      <c r="A931" s="9"/>
      <c r="B931" s="9"/>
      <c r="C931" s="9"/>
      <c r="D931" s="9"/>
      <c r="E931" s="9">
        <v>7</v>
      </c>
      <c r="F931" s="9" t="s">
        <v>4655</v>
      </c>
      <c r="G931" s="9" t="s">
        <v>3791</v>
      </c>
      <c r="H931" s="9">
        <v>1</v>
      </c>
      <c r="I931" s="9">
        <v>20</v>
      </c>
      <c r="J931" s="51" t="s">
        <v>4720</v>
      </c>
      <c r="K931" s="51" t="s">
        <v>4721</v>
      </c>
      <c r="L931" s="51" t="s">
        <v>4722</v>
      </c>
      <c r="M931" s="51" t="s">
        <v>4723</v>
      </c>
    </row>
    <row r="932" spans="1:13" ht="24.95" customHeight="1" x14ac:dyDescent="0.25">
      <c r="A932" s="9"/>
      <c r="B932" s="9"/>
      <c r="C932" s="9"/>
      <c r="D932" s="9"/>
      <c r="E932" s="9">
        <v>8</v>
      </c>
      <c r="F932" s="9" t="s">
        <v>4656</v>
      </c>
      <c r="G932" s="9" t="s">
        <v>3796</v>
      </c>
      <c r="H932" s="9">
        <v>1</v>
      </c>
      <c r="I932" s="9">
        <v>20</v>
      </c>
      <c r="J932" s="51" t="s">
        <v>4725</v>
      </c>
      <c r="K932" s="51" t="s">
        <v>4726</v>
      </c>
      <c r="L932" s="51" t="s">
        <v>4727</v>
      </c>
      <c r="M932" s="51" t="s">
        <v>4728</v>
      </c>
    </row>
    <row r="933" spans="1:13" ht="24.95" customHeight="1" x14ac:dyDescent="0.25">
      <c r="A933" s="9"/>
      <c r="B933" s="9"/>
      <c r="C933" s="9"/>
      <c r="D933" s="9"/>
      <c r="E933" s="9">
        <v>9</v>
      </c>
      <c r="F933" s="9" t="s">
        <v>4657</v>
      </c>
      <c r="G933" s="9" t="s">
        <v>3801</v>
      </c>
      <c r="H933" s="9">
        <v>1</v>
      </c>
      <c r="I933" s="9">
        <v>20</v>
      </c>
      <c r="J933" s="51" t="s">
        <v>4730</v>
      </c>
      <c r="K933" s="51" t="s">
        <v>4731</v>
      </c>
      <c r="L933" s="51" t="s">
        <v>4732</v>
      </c>
      <c r="M933" s="51" t="s">
        <v>4733</v>
      </c>
    </row>
    <row r="934" spans="1:13" ht="24.95" customHeight="1" x14ac:dyDescent="0.25">
      <c r="A934" s="9"/>
      <c r="B934" s="9"/>
      <c r="C934" s="9"/>
      <c r="D934" s="9"/>
      <c r="E934" s="9">
        <v>10</v>
      </c>
      <c r="F934" s="9" t="s">
        <v>4658</v>
      </c>
      <c r="G934" s="9" t="s">
        <v>3806</v>
      </c>
      <c r="H934" s="9">
        <v>1</v>
      </c>
      <c r="I934" s="9">
        <v>20</v>
      </c>
      <c r="J934" s="51" t="s">
        <v>4735</v>
      </c>
      <c r="K934" s="51" t="s">
        <v>4736</v>
      </c>
      <c r="L934" s="51" t="s">
        <v>4737</v>
      </c>
      <c r="M934" s="51" t="s">
        <v>4738</v>
      </c>
    </row>
    <row r="935" spans="1:13" ht="24.95" customHeight="1" x14ac:dyDescent="0.25">
      <c r="A935" s="9"/>
      <c r="B935" s="9"/>
      <c r="C935" s="9"/>
      <c r="D935" s="9"/>
      <c r="E935" s="9">
        <v>11</v>
      </c>
      <c r="F935" s="9" t="s">
        <v>4659</v>
      </c>
      <c r="G935" s="9" t="s">
        <v>3811</v>
      </c>
      <c r="H935" s="9">
        <v>1</v>
      </c>
      <c r="I935" s="9">
        <v>20</v>
      </c>
      <c r="J935" s="51" t="s">
        <v>4740</v>
      </c>
      <c r="K935" s="51" t="s">
        <v>4741</v>
      </c>
      <c r="L935" s="51" t="s">
        <v>4742</v>
      </c>
      <c r="M935" s="51" t="s">
        <v>4743</v>
      </c>
    </row>
    <row r="936" spans="1:13" ht="24.95" customHeight="1" x14ac:dyDescent="0.25">
      <c r="A936" s="9"/>
      <c r="B936" s="9"/>
      <c r="C936" s="9"/>
      <c r="D936" s="9"/>
      <c r="E936" s="9">
        <v>12</v>
      </c>
      <c r="F936" s="9" t="s">
        <v>4660</v>
      </c>
      <c r="G936" s="9" t="s">
        <v>3816</v>
      </c>
      <c r="H936" s="9">
        <v>1</v>
      </c>
      <c r="I936" s="9">
        <v>20</v>
      </c>
      <c r="J936" s="51" t="s">
        <v>4745</v>
      </c>
      <c r="K936" s="51" t="s">
        <v>4746</v>
      </c>
      <c r="L936" s="51" t="s">
        <v>4747</v>
      </c>
      <c r="M936" s="51" t="s">
        <v>4748</v>
      </c>
    </row>
    <row r="937" spans="1:13" ht="24.95" customHeight="1" x14ac:dyDescent="0.25">
      <c r="A937" s="9"/>
      <c r="B937" s="9"/>
      <c r="C937" s="9"/>
      <c r="D937" s="9"/>
      <c r="E937" s="9">
        <v>13</v>
      </c>
      <c r="F937" s="9" t="s">
        <v>4661</v>
      </c>
      <c r="G937" s="9" t="s">
        <v>3821</v>
      </c>
      <c r="H937" s="9">
        <v>1</v>
      </c>
      <c r="I937" s="9">
        <v>20</v>
      </c>
      <c r="J937" s="51" t="s">
        <v>4750</v>
      </c>
      <c r="K937" s="51" t="s">
        <v>4751</v>
      </c>
      <c r="L937" s="51" t="s">
        <v>4752</v>
      </c>
      <c r="M937" s="51" t="s">
        <v>4753</v>
      </c>
    </row>
    <row r="938" spans="1:13" ht="24.95" customHeight="1" x14ac:dyDescent="0.25">
      <c r="A938" s="9"/>
      <c r="B938" s="9"/>
      <c r="C938" s="9"/>
      <c r="D938" s="9"/>
      <c r="E938" s="9">
        <v>14</v>
      </c>
      <c r="F938" s="9" t="s">
        <v>4662</v>
      </c>
      <c r="G938" s="9" t="s">
        <v>3826</v>
      </c>
      <c r="H938" s="9">
        <v>1</v>
      </c>
      <c r="I938" s="9">
        <v>20</v>
      </c>
      <c r="J938" s="51" t="s">
        <v>4755</v>
      </c>
      <c r="K938" s="51" t="s">
        <v>4756</v>
      </c>
      <c r="L938" s="51" t="s">
        <v>4757</v>
      </c>
      <c r="M938" s="51" t="s">
        <v>4758</v>
      </c>
    </row>
    <row r="939" spans="1:13" ht="24.95" customHeight="1" x14ac:dyDescent="0.25">
      <c r="A939" s="9"/>
      <c r="B939" s="9"/>
      <c r="C939" s="9"/>
      <c r="D939" s="9"/>
      <c r="E939" s="9">
        <v>15</v>
      </c>
      <c r="F939" s="9" t="s">
        <v>4663</v>
      </c>
      <c r="G939" s="9" t="s">
        <v>3831</v>
      </c>
      <c r="H939" s="9">
        <v>1</v>
      </c>
      <c r="I939" s="9">
        <v>20</v>
      </c>
      <c r="J939" s="51" t="s">
        <v>4760</v>
      </c>
      <c r="K939" s="51" t="s">
        <v>4761</v>
      </c>
      <c r="L939" s="51" t="s">
        <v>4762</v>
      </c>
      <c r="M939" s="51" t="s">
        <v>4763</v>
      </c>
    </row>
    <row r="940" spans="1:13" ht="24.95" customHeight="1" x14ac:dyDescent="0.25">
      <c r="A940" s="9"/>
      <c r="B940" s="9"/>
      <c r="C940" s="9"/>
      <c r="D940" s="9"/>
      <c r="E940" s="9">
        <v>16</v>
      </c>
      <c r="F940" s="9" t="s">
        <v>4664</v>
      </c>
      <c r="G940" s="9" t="s">
        <v>3836</v>
      </c>
      <c r="H940" s="9">
        <v>1</v>
      </c>
      <c r="I940" s="9">
        <v>20</v>
      </c>
      <c r="J940" s="51" t="s">
        <v>4765</v>
      </c>
      <c r="K940" s="51" t="s">
        <v>4766</v>
      </c>
      <c r="L940" s="51" t="s">
        <v>4767</v>
      </c>
      <c r="M940" s="51" t="s">
        <v>4768</v>
      </c>
    </row>
    <row r="941" spans="1:13" ht="24.95" customHeight="1" x14ac:dyDescent="0.25">
      <c r="A941" s="9"/>
      <c r="B941" s="9"/>
      <c r="C941" s="9"/>
      <c r="D941" s="9"/>
      <c r="E941" s="9">
        <v>17</v>
      </c>
      <c r="F941" s="9" t="s">
        <v>4665</v>
      </c>
      <c r="G941" s="9" t="s">
        <v>3841</v>
      </c>
      <c r="H941" s="9">
        <v>1</v>
      </c>
      <c r="I941" s="9">
        <v>20</v>
      </c>
      <c r="J941" s="51" t="s">
        <v>4770</v>
      </c>
      <c r="K941" s="51" t="s">
        <v>4771</v>
      </c>
      <c r="L941" s="51" t="s">
        <v>4772</v>
      </c>
      <c r="M941" s="51" t="s">
        <v>4773</v>
      </c>
    </row>
    <row r="942" spans="1:13" ht="24.95" customHeight="1" x14ac:dyDescent="0.25">
      <c r="A942" s="9"/>
      <c r="B942" s="9"/>
      <c r="C942" s="9"/>
      <c r="D942" s="9"/>
      <c r="E942" s="9">
        <v>18</v>
      </c>
      <c r="F942" s="9" t="s">
        <v>4666</v>
      </c>
      <c r="G942" s="9" t="s">
        <v>3846</v>
      </c>
      <c r="H942" s="9">
        <v>1</v>
      </c>
      <c r="I942" s="9">
        <v>20</v>
      </c>
      <c r="J942" s="51" t="s">
        <v>4775</v>
      </c>
      <c r="K942" s="51" t="s">
        <v>4776</v>
      </c>
      <c r="L942" s="51" t="s">
        <v>4777</v>
      </c>
      <c r="M942" s="51" t="s">
        <v>4778</v>
      </c>
    </row>
    <row r="943" spans="1:13" ht="24.95" customHeight="1" x14ac:dyDescent="0.25">
      <c r="A943" s="9"/>
      <c r="B943" s="9"/>
      <c r="C943" s="9"/>
      <c r="D943" s="9"/>
      <c r="E943" s="9">
        <v>19</v>
      </c>
      <c r="F943" s="9" t="s">
        <v>4667</v>
      </c>
      <c r="G943" s="9" t="s">
        <v>3851</v>
      </c>
      <c r="H943" s="9">
        <v>1</v>
      </c>
      <c r="I943" s="9">
        <v>20</v>
      </c>
      <c r="J943" s="95" t="s">
        <v>4780</v>
      </c>
      <c r="K943" s="95" t="s">
        <v>4781</v>
      </c>
      <c r="L943" s="95" t="s">
        <v>4782</v>
      </c>
      <c r="M943" s="95" t="s">
        <v>4783</v>
      </c>
    </row>
    <row r="944" spans="1:13" ht="24.95" customHeight="1" x14ac:dyDescent="0.25">
      <c r="A944" s="9"/>
      <c r="B944" s="9"/>
      <c r="C944" s="9"/>
      <c r="D944" s="9"/>
      <c r="E944" s="9">
        <v>20</v>
      </c>
      <c r="F944" s="9" t="s">
        <v>4668</v>
      </c>
      <c r="G944" s="9" t="s">
        <v>3856</v>
      </c>
      <c r="H944" s="9">
        <v>1</v>
      </c>
      <c r="I944" s="9">
        <v>20</v>
      </c>
      <c r="J944" s="95" t="s">
        <v>4785</v>
      </c>
      <c r="K944" s="95" t="s">
        <v>4786</v>
      </c>
      <c r="L944" s="95" t="s">
        <v>4787</v>
      </c>
      <c r="M944" s="96" t="s">
        <v>4788</v>
      </c>
    </row>
    <row r="945" spans="1:13" ht="24.95" customHeight="1" x14ac:dyDescent="0.25">
      <c r="A945" s="9"/>
      <c r="B945" s="9"/>
      <c r="C945" s="9"/>
      <c r="D945" s="9"/>
      <c r="E945" s="9">
        <v>21</v>
      </c>
      <c r="F945" s="9" t="s">
        <v>4669</v>
      </c>
      <c r="G945" s="9" t="s">
        <v>3861</v>
      </c>
      <c r="H945" s="9">
        <v>1</v>
      </c>
      <c r="I945" s="9">
        <v>20</v>
      </c>
      <c r="J945" s="48"/>
      <c r="K945" s="48"/>
      <c r="L945" s="48"/>
      <c r="M945" s="48"/>
    </row>
    <row r="946" spans="1:13" ht="24.95" customHeight="1" x14ac:dyDescent="0.25">
      <c r="A946" s="9"/>
      <c r="B946" s="9"/>
      <c r="C946" s="9"/>
      <c r="D946" s="9"/>
      <c r="E946" s="9">
        <v>22</v>
      </c>
      <c r="F946" s="9" t="s">
        <v>4670</v>
      </c>
      <c r="G946" s="9" t="s">
        <v>3866</v>
      </c>
      <c r="H946" s="9">
        <v>1</v>
      </c>
      <c r="I946" s="9">
        <v>20</v>
      </c>
      <c r="J946" s="48"/>
      <c r="K946" s="48"/>
      <c r="L946" s="48"/>
      <c r="M946" s="48"/>
    </row>
    <row r="947" spans="1:13" ht="24.95" customHeight="1" x14ac:dyDescent="0.25">
      <c r="A947" s="9"/>
      <c r="B947" s="9"/>
      <c r="C947" s="9"/>
      <c r="D947" s="9"/>
      <c r="E947" s="9">
        <v>23</v>
      </c>
      <c r="F947" s="9" t="s">
        <v>4671</v>
      </c>
      <c r="G947" s="9" t="s">
        <v>3871</v>
      </c>
      <c r="H947" s="9">
        <v>1</v>
      </c>
      <c r="I947" s="9">
        <v>20</v>
      </c>
      <c r="J947" s="48"/>
      <c r="K947" s="48"/>
      <c r="L947" s="48"/>
      <c r="M947" s="48"/>
    </row>
    <row r="948" spans="1:13" ht="24.95" customHeight="1" x14ac:dyDescent="0.25">
      <c r="A948" s="9"/>
      <c r="B948" s="9"/>
      <c r="C948" s="9"/>
      <c r="D948" s="9"/>
      <c r="E948" s="9">
        <v>24</v>
      </c>
      <c r="F948" s="10" t="s">
        <v>4672</v>
      </c>
      <c r="G948" s="9" t="s">
        <v>3876</v>
      </c>
      <c r="H948" s="9">
        <v>1</v>
      </c>
      <c r="I948" s="9">
        <v>20</v>
      </c>
      <c r="J948" s="48"/>
      <c r="K948" s="48"/>
      <c r="L948" s="48"/>
      <c r="M948" s="48"/>
    </row>
    <row r="949" spans="1:13" ht="24.95" customHeight="1" x14ac:dyDescent="0.25">
      <c r="A949" s="9"/>
      <c r="B949" s="9"/>
      <c r="C949" s="9"/>
      <c r="D949" s="9"/>
      <c r="E949" s="9">
        <v>25</v>
      </c>
      <c r="F949" s="9" t="s">
        <v>4673</v>
      </c>
      <c r="G949" s="9" t="s">
        <v>3881</v>
      </c>
      <c r="H949" s="9">
        <v>1</v>
      </c>
      <c r="I949" s="9">
        <v>20</v>
      </c>
      <c r="J949" s="48"/>
      <c r="K949" s="48"/>
      <c r="L949" s="48"/>
      <c r="M949" s="48"/>
    </row>
    <row r="950" spans="1:13" ht="24.95" customHeight="1" x14ac:dyDescent="0.25">
      <c r="A950" s="9"/>
      <c r="B950" s="9"/>
      <c r="C950" s="9"/>
      <c r="D950" s="9"/>
      <c r="E950" s="9">
        <v>26</v>
      </c>
      <c r="F950" s="9" t="s">
        <v>4674</v>
      </c>
      <c r="G950" s="9" t="s">
        <v>3886</v>
      </c>
      <c r="H950" s="9">
        <v>1</v>
      </c>
      <c r="I950" s="9">
        <v>20</v>
      </c>
      <c r="J950" s="48"/>
      <c r="K950" s="48"/>
      <c r="L950" s="48"/>
      <c r="M950" s="48"/>
    </row>
    <row r="951" spans="1:13" ht="24.95" customHeight="1" x14ac:dyDescent="0.25">
      <c r="A951" s="9"/>
      <c r="B951" s="9"/>
      <c r="C951" s="9"/>
      <c r="D951" s="9"/>
      <c r="E951" s="9">
        <v>27</v>
      </c>
      <c r="F951" s="9" t="s">
        <v>4675</v>
      </c>
      <c r="G951" s="9" t="s">
        <v>3891</v>
      </c>
      <c r="H951" s="9">
        <v>1</v>
      </c>
      <c r="I951" s="9">
        <v>20</v>
      </c>
      <c r="J951" s="48"/>
      <c r="K951" s="48"/>
      <c r="L951" s="48"/>
      <c r="M951" s="48"/>
    </row>
    <row r="952" spans="1:13" ht="24.95" customHeight="1" x14ac:dyDescent="0.25">
      <c r="A952" s="9"/>
      <c r="B952" s="9"/>
      <c r="C952" s="9"/>
      <c r="D952" s="9"/>
      <c r="E952" s="9">
        <v>28</v>
      </c>
      <c r="F952" s="9" t="s">
        <v>4676</v>
      </c>
      <c r="G952" s="9" t="s">
        <v>3896</v>
      </c>
      <c r="H952" s="9">
        <v>1</v>
      </c>
      <c r="I952" s="9">
        <v>20</v>
      </c>
      <c r="J952" s="48"/>
      <c r="K952" s="48"/>
      <c r="L952" s="48"/>
      <c r="M952" s="48"/>
    </row>
    <row r="953" spans="1:13" ht="24.95" customHeight="1" x14ac:dyDescent="0.25">
      <c r="A953" s="9"/>
      <c r="B953" s="9"/>
      <c r="C953" s="9"/>
      <c r="D953" s="9"/>
      <c r="E953" s="9">
        <v>29</v>
      </c>
      <c r="F953" s="9" t="s">
        <v>4677</v>
      </c>
      <c r="G953" s="9" t="s">
        <v>3901</v>
      </c>
      <c r="H953" s="9">
        <v>1</v>
      </c>
      <c r="I953" s="9">
        <v>20</v>
      </c>
      <c r="J953" s="48"/>
      <c r="K953" s="48"/>
      <c r="L953" s="48"/>
      <c r="M953" s="48"/>
    </row>
    <row r="954" spans="1:13" ht="24.95" customHeight="1" x14ac:dyDescent="0.25">
      <c r="A954" s="9"/>
      <c r="B954" s="9"/>
      <c r="C954" s="9"/>
      <c r="D954" s="9"/>
      <c r="E954" s="9">
        <v>30</v>
      </c>
      <c r="F954" s="9" t="s">
        <v>4678</v>
      </c>
      <c r="G954" s="9" t="s">
        <v>3906</v>
      </c>
      <c r="H954" s="9">
        <v>1</v>
      </c>
      <c r="I954" s="9">
        <v>20</v>
      </c>
      <c r="J954" s="48"/>
      <c r="K954" s="48"/>
      <c r="L954" s="48"/>
      <c r="M954" s="48"/>
    </row>
    <row r="955" spans="1:13" ht="24.95" customHeight="1" x14ac:dyDescent="0.25">
      <c r="A955" s="9"/>
      <c r="B955" s="9"/>
      <c r="C955" s="9"/>
      <c r="D955" s="9"/>
      <c r="E955" s="9">
        <v>31</v>
      </c>
      <c r="F955" s="9" t="s">
        <v>4679</v>
      </c>
      <c r="G955" s="9" t="s">
        <v>3911</v>
      </c>
      <c r="H955" s="9">
        <v>1</v>
      </c>
      <c r="I955" s="9">
        <v>20</v>
      </c>
      <c r="J955" s="48"/>
      <c r="K955" s="48"/>
      <c r="L955" s="48"/>
      <c r="M955" s="48"/>
    </row>
    <row r="956" spans="1:13" ht="24.95" customHeight="1" x14ac:dyDescent="0.25">
      <c r="A956" s="9"/>
      <c r="B956" s="9"/>
      <c r="C956" s="9"/>
      <c r="D956" s="9"/>
      <c r="E956" s="9">
        <v>32</v>
      </c>
      <c r="F956" s="9" t="s">
        <v>4680</v>
      </c>
      <c r="G956" s="9" t="s">
        <v>3916</v>
      </c>
      <c r="H956" s="9">
        <v>1</v>
      </c>
      <c r="I956" s="9">
        <v>20</v>
      </c>
      <c r="J956" s="48"/>
      <c r="K956" s="48"/>
      <c r="L956" s="48"/>
      <c r="M956" s="48"/>
    </row>
    <row r="957" spans="1:13" ht="24.95" customHeight="1" x14ac:dyDescent="0.25">
      <c r="A957" s="9"/>
      <c r="B957" s="9"/>
      <c r="C957" s="9"/>
      <c r="D957" s="9"/>
      <c r="E957" s="9">
        <v>33</v>
      </c>
      <c r="F957" s="9" t="s">
        <v>4681</v>
      </c>
      <c r="G957" s="9" t="s">
        <v>3921</v>
      </c>
      <c r="H957" s="9">
        <v>1</v>
      </c>
      <c r="I957" s="9">
        <v>20</v>
      </c>
      <c r="J957" s="48"/>
      <c r="K957" s="48"/>
      <c r="L957" s="48"/>
      <c r="M957" s="48"/>
    </row>
    <row r="958" spans="1:13" ht="24.95" customHeight="1" x14ac:dyDescent="0.25">
      <c r="A958" s="9"/>
      <c r="B958" s="9"/>
      <c r="C958" s="10"/>
      <c r="D958" s="10"/>
      <c r="E958" s="10">
        <v>34</v>
      </c>
      <c r="F958" s="10" t="s">
        <v>4682</v>
      </c>
      <c r="G958" s="10" t="s">
        <v>3926</v>
      </c>
      <c r="H958" s="10">
        <v>1</v>
      </c>
      <c r="I958" s="9">
        <v>20</v>
      </c>
      <c r="J958" s="48"/>
      <c r="K958" s="48"/>
      <c r="L958" s="48"/>
      <c r="M958" s="48"/>
    </row>
    <row r="959" spans="1:13" ht="24.95" customHeight="1" x14ac:dyDescent="0.25">
      <c r="A959" s="9"/>
      <c r="B959" s="9"/>
      <c r="C959" s="10"/>
      <c r="D959" s="10"/>
      <c r="E959" s="10">
        <v>35</v>
      </c>
      <c r="F959" s="10" t="s">
        <v>4683</v>
      </c>
      <c r="G959" s="10" t="s">
        <v>3931</v>
      </c>
      <c r="H959" s="10">
        <v>1</v>
      </c>
      <c r="I959" s="9">
        <v>20</v>
      </c>
      <c r="J959" s="48"/>
      <c r="K959" s="48"/>
      <c r="L959" s="48"/>
      <c r="M959" s="48"/>
    </row>
    <row r="960" spans="1:13" ht="24.95" customHeight="1" x14ac:dyDescent="0.25">
      <c r="A960" s="9"/>
      <c r="B960" s="9"/>
      <c r="C960" s="10"/>
      <c r="D960" s="10"/>
      <c r="E960" s="10">
        <v>36</v>
      </c>
      <c r="F960" s="10" t="s">
        <v>4684</v>
      </c>
      <c r="G960" s="10" t="s">
        <v>3936</v>
      </c>
      <c r="H960" s="10">
        <v>1</v>
      </c>
      <c r="I960" s="9">
        <v>20</v>
      </c>
      <c r="J960" s="48"/>
      <c r="K960" s="48"/>
      <c r="L960" s="48"/>
      <c r="M960" s="48"/>
    </row>
    <row r="961" spans="1:13" ht="24.95" customHeight="1" x14ac:dyDescent="0.25">
      <c r="A961" s="9"/>
      <c r="B961" s="9"/>
      <c r="C961" s="10"/>
      <c r="D961" s="10"/>
      <c r="E961" s="10">
        <v>37</v>
      </c>
      <c r="F961" s="10" t="s">
        <v>4685</v>
      </c>
      <c r="G961" s="10" t="s">
        <v>3941</v>
      </c>
      <c r="H961" s="10">
        <v>1</v>
      </c>
      <c r="I961" s="9">
        <v>20</v>
      </c>
      <c r="J961" s="48"/>
      <c r="K961" s="48"/>
      <c r="L961" s="48"/>
      <c r="M961" s="48"/>
    </row>
    <row r="962" spans="1:13" ht="24.95" customHeight="1" x14ac:dyDescent="0.25">
      <c r="A962" s="9"/>
      <c r="B962" s="9"/>
      <c r="C962" s="10"/>
      <c r="D962" s="10"/>
      <c r="E962" s="10">
        <v>38</v>
      </c>
      <c r="F962" s="10" t="s">
        <v>4686</v>
      </c>
      <c r="G962" s="10" t="s">
        <v>3946</v>
      </c>
      <c r="H962" s="10">
        <v>1</v>
      </c>
      <c r="I962" s="9">
        <v>20</v>
      </c>
      <c r="J962" s="48"/>
      <c r="K962" s="48"/>
      <c r="L962" s="48"/>
      <c r="M962" s="48"/>
    </row>
    <row r="963" spans="1:13" ht="24.95" customHeight="1" x14ac:dyDescent="0.25">
      <c r="A963" s="9"/>
      <c r="B963" s="9"/>
      <c r="C963" s="10"/>
      <c r="D963" s="10"/>
      <c r="E963" s="10">
        <v>39</v>
      </c>
      <c r="F963" s="10" t="s">
        <v>4687</v>
      </c>
      <c r="G963" s="10" t="s">
        <v>3951</v>
      </c>
      <c r="H963" s="10">
        <v>1</v>
      </c>
      <c r="I963" s="9">
        <v>20</v>
      </c>
      <c r="J963" s="48"/>
      <c r="K963" s="48"/>
      <c r="L963" s="48"/>
      <c r="M963" s="48"/>
    </row>
    <row r="964" spans="1:13" ht="24.95" customHeight="1" x14ac:dyDescent="0.25">
      <c r="A964" s="9"/>
      <c r="B964" s="9"/>
      <c r="C964" s="10"/>
      <c r="D964" s="10"/>
      <c r="E964" s="10">
        <v>40</v>
      </c>
      <c r="F964" s="10" t="s">
        <v>4688</v>
      </c>
      <c r="G964" s="10" t="s">
        <v>3956</v>
      </c>
      <c r="H964" s="10">
        <v>1</v>
      </c>
      <c r="I964" s="9">
        <v>20</v>
      </c>
      <c r="J964" s="48"/>
      <c r="K964" s="48"/>
      <c r="L964" s="48"/>
      <c r="M964" s="48"/>
    </row>
    <row r="965" spans="1:13" ht="24.95" customHeight="1" x14ac:dyDescent="0.25">
      <c r="A965" s="48"/>
      <c r="B965" s="48"/>
      <c r="C965" s="48">
        <v>2001</v>
      </c>
      <c r="D965" s="48" t="s">
        <v>3961</v>
      </c>
      <c r="E965" s="48">
        <v>1</v>
      </c>
      <c r="F965" s="51" t="s">
        <v>4689</v>
      </c>
      <c r="G965" s="48" t="s">
        <v>3962</v>
      </c>
      <c r="H965" s="48">
        <v>1</v>
      </c>
      <c r="I965" s="48">
        <v>20</v>
      </c>
      <c r="J965" s="9"/>
      <c r="K965" s="9"/>
      <c r="L965" s="9"/>
      <c r="M965" s="9"/>
    </row>
    <row r="966" spans="1:13" ht="24.95" customHeight="1" x14ac:dyDescent="0.25">
      <c r="A966" s="48"/>
      <c r="B966" s="48"/>
      <c r="C966" s="48"/>
      <c r="D966" s="48"/>
      <c r="E966" s="48">
        <v>2</v>
      </c>
      <c r="F966" s="51" t="s">
        <v>4694</v>
      </c>
      <c r="G966" s="48" t="s">
        <v>3963</v>
      </c>
      <c r="H966" s="48">
        <v>1</v>
      </c>
      <c r="I966" s="48">
        <v>20</v>
      </c>
      <c r="J966" s="9"/>
      <c r="K966" s="9"/>
      <c r="L966" s="9"/>
      <c r="M966" s="9"/>
    </row>
    <row r="967" spans="1:13" ht="24.95" customHeight="1" x14ac:dyDescent="0.25">
      <c r="A967" s="48"/>
      <c r="B967" s="48"/>
      <c r="C967" s="48"/>
      <c r="D967" s="48" t="s">
        <v>16</v>
      </c>
      <c r="E967" s="48">
        <v>3</v>
      </c>
      <c r="F967" s="51" t="s">
        <v>4699</v>
      </c>
      <c r="G967" s="48" t="s">
        <v>3964</v>
      </c>
      <c r="H967" s="48">
        <v>1</v>
      </c>
      <c r="I967" s="48">
        <v>20</v>
      </c>
      <c r="J967" s="9"/>
      <c r="K967" s="9"/>
      <c r="L967" s="9"/>
      <c r="M967" s="9"/>
    </row>
    <row r="968" spans="1:13" ht="24.95" customHeight="1" x14ac:dyDescent="0.25">
      <c r="A968" s="48"/>
      <c r="B968" s="48"/>
      <c r="C968" s="48"/>
      <c r="D968" s="48"/>
      <c r="E968" s="48">
        <v>4</v>
      </c>
      <c r="F968" s="51" t="s">
        <v>4704</v>
      </c>
      <c r="G968" s="48" t="s">
        <v>3965</v>
      </c>
      <c r="H968" s="48">
        <v>1</v>
      </c>
      <c r="I968" s="48">
        <v>20</v>
      </c>
      <c r="J968" s="9"/>
      <c r="K968" s="9"/>
      <c r="L968" s="9"/>
      <c r="M968" s="9"/>
    </row>
    <row r="969" spans="1:13" ht="24.95" customHeight="1" x14ac:dyDescent="0.25">
      <c r="A969" s="48"/>
      <c r="B969" s="48"/>
      <c r="C969" s="48"/>
      <c r="D969" s="48"/>
      <c r="E969" s="48">
        <v>5</v>
      </c>
      <c r="F969" s="51" t="s">
        <v>4709</v>
      </c>
      <c r="G969" s="48" t="s">
        <v>3966</v>
      </c>
      <c r="H969" s="48">
        <v>1</v>
      </c>
      <c r="I969" s="48">
        <v>20</v>
      </c>
      <c r="J969" s="9"/>
      <c r="K969" s="9"/>
      <c r="L969" s="9"/>
      <c r="M969" s="9"/>
    </row>
    <row r="970" spans="1:13" ht="24.95" customHeight="1" x14ac:dyDescent="0.25">
      <c r="A970" s="48"/>
      <c r="B970" s="48"/>
      <c r="C970" s="48"/>
      <c r="D970" s="48"/>
      <c r="E970" s="48">
        <v>6</v>
      </c>
      <c r="F970" s="51" t="s">
        <v>4714</v>
      </c>
      <c r="G970" s="48" t="s">
        <v>3967</v>
      </c>
      <c r="H970" s="48">
        <v>1</v>
      </c>
      <c r="I970" s="48">
        <v>20</v>
      </c>
      <c r="J970" s="9"/>
      <c r="K970" s="9"/>
      <c r="L970" s="9"/>
      <c r="M970" s="9"/>
    </row>
    <row r="971" spans="1:13" ht="24.95" customHeight="1" x14ac:dyDescent="0.25">
      <c r="A971" s="48"/>
      <c r="B971" s="48"/>
      <c r="C971" s="48"/>
      <c r="D971" s="48"/>
      <c r="E971" s="48">
        <v>7</v>
      </c>
      <c r="F971" s="51" t="s">
        <v>4719</v>
      </c>
      <c r="G971" s="48" t="s">
        <v>3968</v>
      </c>
      <c r="H971" s="48">
        <v>1</v>
      </c>
      <c r="I971" s="48">
        <v>20</v>
      </c>
      <c r="J971" s="9"/>
      <c r="K971" s="9"/>
      <c r="L971" s="9"/>
      <c r="M971" s="9"/>
    </row>
    <row r="972" spans="1:13" ht="24.95" customHeight="1" x14ac:dyDescent="0.25">
      <c r="A972" s="48"/>
      <c r="B972" s="48"/>
      <c r="C972" s="48"/>
      <c r="D972" s="48"/>
      <c r="E972" s="48">
        <v>8</v>
      </c>
      <c r="F972" s="51" t="s">
        <v>4724</v>
      </c>
      <c r="G972" s="48" t="s">
        <v>3969</v>
      </c>
      <c r="H972" s="48">
        <v>1</v>
      </c>
      <c r="I972" s="48">
        <v>20</v>
      </c>
      <c r="J972" s="9"/>
      <c r="K972" s="9"/>
      <c r="L972" s="9"/>
      <c r="M972" s="9"/>
    </row>
    <row r="973" spans="1:13" ht="24.95" customHeight="1" x14ac:dyDescent="0.25">
      <c r="A973" s="48"/>
      <c r="B973" s="48"/>
      <c r="C973" s="48"/>
      <c r="D973" s="48"/>
      <c r="E973" s="48">
        <v>9</v>
      </c>
      <c r="F973" s="51" t="s">
        <v>4729</v>
      </c>
      <c r="G973" s="48" t="s">
        <v>3970</v>
      </c>
      <c r="H973" s="48">
        <v>1</v>
      </c>
      <c r="I973" s="48">
        <v>20</v>
      </c>
      <c r="J973" s="9"/>
      <c r="K973" s="9"/>
      <c r="L973" s="9"/>
      <c r="M973" s="9"/>
    </row>
    <row r="974" spans="1:13" ht="24.95" customHeight="1" x14ac:dyDescent="0.25">
      <c r="A974" s="48"/>
      <c r="B974" s="48"/>
      <c r="C974" s="48"/>
      <c r="D974" s="48"/>
      <c r="E974" s="48">
        <v>10</v>
      </c>
      <c r="F974" s="51" t="s">
        <v>4734</v>
      </c>
      <c r="G974" s="48" t="s">
        <v>3971</v>
      </c>
      <c r="H974" s="48">
        <v>1</v>
      </c>
      <c r="I974" s="48">
        <v>20</v>
      </c>
      <c r="J974" s="9"/>
      <c r="K974" s="9"/>
      <c r="L974" s="9"/>
      <c r="M974" s="9"/>
    </row>
    <row r="975" spans="1:13" ht="24.95" customHeight="1" x14ac:dyDescent="0.25">
      <c r="A975" s="48"/>
      <c r="B975" s="48"/>
      <c r="C975" s="48"/>
      <c r="D975" s="48"/>
      <c r="E975" s="48">
        <v>11</v>
      </c>
      <c r="F975" s="51" t="s">
        <v>4739</v>
      </c>
      <c r="G975" s="48" t="s">
        <v>3972</v>
      </c>
      <c r="H975" s="48">
        <v>1</v>
      </c>
      <c r="I975" s="48">
        <v>20</v>
      </c>
      <c r="J975" s="9"/>
      <c r="K975" s="9"/>
      <c r="L975" s="9"/>
      <c r="M975" s="9"/>
    </row>
    <row r="976" spans="1:13" ht="24.95" customHeight="1" x14ac:dyDescent="0.25">
      <c r="A976" s="48"/>
      <c r="B976" s="48"/>
      <c r="C976" s="48"/>
      <c r="D976" s="48"/>
      <c r="E976" s="48">
        <v>12</v>
      </c>
      <c r="F976" s="51" t="s">
        <v>4744</v>
      </c>
      <c r="G976" s="48" t="s">
        <v>3973</v>
      </c>
      <c r="H976" s="48">
        <v>1</v>
      </c>
      <c r="I976" s="48">
        <v>20</v>
      </c>
      <c r="J976" s="9"/>
      <c r="K976" s="9"/>
      <c r="L976" s="9"/>
      <c r="M976" s="9"/>
    </row>
    <row r="977" spans="1:13" ht="24.95" customHeight="1" x14ac:dyDescent="0.25">
      <c r="A977" s="48"/>
      <c r="B977" s="48"/>
      <c r="C977" s="48"/>
      <c r="D977" s="48"/>
      <c r="E977" s="48">
        <v>13</v>
      </c>
      <c r="F977" s="51" t="s">
        <v>4749</v>
      </c>
      <c r="G977" s="48" t="s">
        <v>3974</v>
      </c>
      <c r="H977" s="48">
        <v>1</v>
      </c>
      <c r="I977" s="48">
        <v>20</v>
      </c>
      <c r="J977" s="9"/>
      <c r="K977" s="9"/>
      <c r="L977" s="9"/>
      <c r="M977" s="9"/>
    </row>
    <row r="978" spans="1:13" ht="24.95" customHeight="1" x14ac:dyDescent="0.25">
      <c r="A978" s="48"/>
      <c r="B978" s="48"/>
      <c r="C978" s="48"/>
      <c r="D978" s="48"/>
      <c r="E978" s="48">
        <v>14</v>
      </c>
      <c r="F978" s="51" t="s">
        <v>4754</v>
      </c>
      <c r="G978" s="48" t="s">
        <v>3975</v>
      </c>
      <c r="H978" s="48">
        <v>1</v>
      </c>
      <c r="I978" s="48">
        <v>20</v>
      </c>
      <c r="J978" s="9"/>
      <c r="K978" s="9"/>
      <c r="L978" s="9"/>
      <c r="M978" s="9"/>
    </row>
    <row r="979" spans="1:13" ht="24.95" customHeight="1" x14ac:dyDescent="0.25">
      <c r="A979" s="48"/>
      <c r="B979" s="48"/>
      <c r="C979" s="48"/>
      <c r="D979" s="48"/>
      <c r="E979" s="48">
        <v>15</v>
      </c>
      <c r="F979" s="51" t="s">
        <v>4759</v>
      </c>
      <c r="G979" s="48" t="s">
        <v>3976</v>
      </c>
      <c r="H979" s="48">
        <v>1</v>
      </c>
      <c r="I979" s="48">
        <v>20</v>
      </c>
      <c r="J979" s="9"/>
      <c r="K979" s="9"/>
      <c r="L979" s="9"/>
      <c r="M979" s="9"/>
    </row>
    <row r="980" spans="1:13" ht="24.95" customHeight="1" x14ac:dyDescent="0.25">
      <c r="A980" s="48"/>
      <c r="B980" s="48"/>
      <c r="C980" s="48"/>
      <c r="D980" s="48"/>
      <c r="E980" s="48">
        <v>16</v>
      </c>
      <c r="F980" s="51" t="s">
        <v>4764</v>
      </c>
      <c r="G980" s="48" t="s">
        <v>3977</v>
      </c>
      <c r="H980" s="48">
        <v>1</v>
      </c>
      <c r="I980" s="48">
        <v>20</v>
      </c>
      <c r="J980" s="9"/>
      <c r="K980" s="9"/>
      <c r="L980" s="9"/>
      <c r="M980" s="9"/>
    </row>
    <row r="981" spans="1:13" ht="24.95" customHeight="1" x14ac:dyDescent="0.25">
      <c r="A981" s="48"/>
      <c r="B981" s="48"/>
      <c r="C981" s="48"/>
      <c r="D981" s="48"/>
      <c r="E981" s="48">
        <v>17</v>
      </c>
      <c r="F981" s="51" t="s">
        <v>4769</v>
      </c>
      <c r="G981" s="48" t="s">
        <v>3978</v>
      </c>
      <c r="H981" s="48">
        <v>1</v>
      </c>
      <c r="I981" s="48">
        <v>20</v>
      </c>
      <c r="J981" s="9"/>
      <c r="K981" s="9"/>
      <c r="L981" s="9"/>
      <c r="M981" s="9"/>
    </row>
    <row r="982" spans="1:13" ht="24.95" customHeight="1" x14ac:dyDescent="0.25">
      <c r="A982" s="48"/>
      <c r="B982" s="48"/>
      <c r="C982" s="48"/>
      <c r="D982" s="48"/>
      <c r="E982" s="48">
        <v>18</v>
      </c>
      <c r="F982" s="51" t="s">
        <v>4774</v>
      </c>
      <c r="G982" s="48" t="s">
        <v>3979</v>
      </c>
      <c r="H982" s="48">
        <v>1</v>
      </c>
      <c r="I982" s="48">
        <v>20</v>
      </c>
      <c r="J982" s="9"/>
      <c r="K982" s="9"/>
      <c r="L982" s="9"/>
      <c r="M982" s="9"/>
    </row>
    <row r="983" spans="1:13" ht="24.95" customHeight="1" x14ac:dyDescent="0.25">
      <c r="A983" s="48"/>
      <c r="B983" s="48"/>
      <c r="C983" s="48"/>
      <c r="D983" s="48"/>
      <c r="E983" s="48">
        <v>19</v>
      </c>
      <c r="F983" s="51" t="s">
        <v>4779</v>
      </c>
      <c r="G983" s="48" t="s">
        <v>3980</v>
      </c>
      <c r="H983" s="48">
        <v>1</v>
      </c>
      <c r="I983" s="48">
        <v>20</v>
      </c>
      <c r="J983" s="9"/>
      <c r="K983" s="9"/>
      <c r="L983" s="9"/>
      <c r="M983" s="9"/>
    </row>
    <row r="984" spans="1:13" ht="24.95" customHeight="1" x14ac:dyDescent="0.25">
      <c r="A984" s="48"/>
      <c r="B984" s="48"/>
      <c r="C984" s="48"/>
      <c r="D984" s="48"/>
      <c r="E984" s="48">
        <v>20</v>
      </c>
      <c r="F984" s="95" t="s">
        <v>4784</v>
      </c>
      <c r="G984" s="48" t="s">
        <v>3981</v>
      </c>
      <c r="H984" s="48">
        <v>1</v>
      </c>
      <c r="I984" s="48">
        <v>20</v>
      </c>
      <c r="J984" s="9"/>
      <c r="K984" s="9"/>
      <c r="L984" s="9"/>
      <c r="M984" s="9"/>
    </row>
    <row r="985" spans="1:13" ht="24.95" customHeight="1" x14ac:dyDescent="0.25">
      <c r="A985" s="48"/>
      <c r="B985" s="48"/>
      <c r="C985" s="48"/>
      <c r="D985" s="48"/>
      <c r="E985" s="48">
        <v>21</v>
      </c>
      <c r="F985" s="48"/>
      <c r="G985" s="48" t="s">
        <v>3982</v>
      </c>
      <c r="H985" s="48">
        <v>1</v>
      </c>
      <c r="I985" s="48">
        <v>20</v>
      </c>
      <c r="J985" s="9"/>
      <c r="K985" s="9"/>
      <c r="L985" s="9"/>
      <c r="M985" s="9"/>
    </row>
    <row r="986" spans="1:13" ht="24.95" customHeight="1" x14ac:dyDescent="0.25">
      <c r="A986" s="48"/>
      <c r="B986" s="48"/>
      <c r="C986" s="48"/>
      <c r="D986" s="48"/>
      <c r="E986" s="48">
        <v>22</v>
      </c>
      <c r="F986" s="48"/>
      <c r="G986" s="48" t="s">
        <v>3983</v>
      </c>
      <c r="H986" s="48">
        <v>1</v>
      </c>
      <c r="I986" s="48">
        <v>20</v>
      </c>
      <c r="J986" s="9"/>
      <c r="K986" s="9"/>
      <c r="L986" s="9"/>
      <c r="M986" s="9"/>
    </row>
    <row r="987" spans="1:13" ht="24.95" customHeight="1" x14ac:dyDescent="0.25">
      <c r="A987" s="48"/>
      <c r="B987" s="48"/>
      <c r="C987" s="48"/>
      <c r="D987" s="48"/>
      <c r="E987" s="48">
        <v>23</v>
      </c>
      <c r="F987" s="48"/>
      <c r="G987" s="48" t="s">
        <v>3984</v>
      </c>
      <c r="H987" s="48">
        <v>1</v>
      </c>
      <c r="I987" s="48">
        <v>20</v>
      </c>
      <c r="J987" s="9"/>
      <c r="K987" s="9"/>
      <c r="L987" s="9"/>
      <c r="M987" s="9"/>
    </row>
    <row r="988" spans="1:13" ht="24.95" customHeight="1" x14ac:dyDescent="0.25">
      <c r="A988" s="48"/>
      <c r="B988" s="48"/>
      <c r="C988" s="48"/>
      <c r="D988" s="48"/>
      <c r="E988" s="48">
        <v>24</v>
      </c>
      <c r="F988" s="51"/>
      <c r="G988" s="48" t="s">
        <v>3985</v>
      </c>
      <c r="H988" s="48">
        <v>1</v>
      </c>
      <c r="I988" s="48">
        <v>20</v>
      </c>
      <c r="J988" s="9"/>
      <c r="K988" s="9"/>
      <c r="L988" s="9"/>
      <c r="M988" s="9"/>
    </row>
    <row r="989" spans="1:13" ht="24.95" customHeight="1" x14ac:dyDescent="0.25">
      <c r="A989" s="48"/>
      <c r="B989" s="48"/>
      <c r="C989" s="48"/>
      <c r="D989" s="48"/>
      <c r="E989" s="48">
        <v>25</v>
      </c>
      <c r="F989" s="48"/>
      <c r="G989" s="48" t="s">
        <v>3986</v>
      </c>
      <c r="H989" s="48">
        <v>1</v>
      </c>
      <c r="I989" s="48">
        <v>20</v>
      </c>
      <c r="J989" s="9"/>
      <c r="K989" s="9"/>
      <c r="L989" s="9"/>
      <c r="M989" s="9"/>
    </row>
    <row r="990" spans="1:13" ht="24.95" customHeight="1" x14ac:dyDescent="0.25">
      <c r="A990" s="48"/>
      <c r="B990" s="48"/>
      <c r="C990" s="48"/>
      <c r="D990" s="48"/>
      <c r="E990" s="48">
        <v>26</v>
      </c>
      <c r="F990" s="48"/>
      <c r="G990" s="48" t="s">
        <v>3987</v>
      </c>
      <c r="H990" s="48">
        <v>1</v>
      </c>
      <c r="I990" s="48">
        <v>20</v>
      </c>
      <c r="J990" s="9"/>
      <c r="K990" s="9"/>
      <c r="L990" s="9"/>
      <c r="M990" s="9"/>
    </row>
    <row r="991" spans="1:13" ht="24.95" customHeight="1" x14ac:dyDescent="0.25">
      <c r="A991" s="48"/>
      <c r="B991" s="48"/>
      <c r="C991" s="48"/>
      <c r="D991" s="48"/>
      <c r="E991" s="48">
        <v>27</v>
      </c>
      <c r="F991" s="48"/>
      <c r="G991" s="48" t="s">
        <v>3988</v>
      </c>
      <c r="H991" s="48">
        <v>1</v>
      </c>
      <c r="I991" s="48">
        <v>20</v>
      </c>
      <c r="J991" s="9"/>
      <c r="K991" s="9"/>
      <c r="L991" s="9"/>
      <c r="M991" s="9"/>
    </row>
    <row r="992" spans="1:13" ht="24.95" customHeight="1" x14ac:dyDescent="0.25">
      <c r="A992" s="48"/>
      <c r="B992" s="48"/>
      <c r="C992" s="48"/>
      <c r="D992" s="48"/>
      <c r="E992" s="48">
        <v>28</v>
      </c>
      <c r="F992" s="48"/>
      <c r="G992" s="48" t="s">
        <v>3989</v>
      </c>
      <c r="H992" s="48">
        <v>1</v>
      </c>
      <c r="I992" s="48">
        <v>20</v>
      </c>
      <c r="J992" s="9"/>
      <c r="K992" s="9"/>
      <c r="L992" s="9"/>
      <c r="M992" s="9"/>
    </row>
    <row r="993" spans="1:13" ht="24.95" customHeight="1" x14ac:dyDescent="0.25">
      <c r="A993" s="48"/>
      <c r="B993" s="48"/>
      <c r="C993" s="48"/>
      <c r="D993" s="48"/>
      <c r="E993" s="48">
        <v>29</v>
      </c>
      <c r="F993" s="48"/>
      <c r="G993" s="48" t="s">
        <v>3990</v>
      </c>
      <c r="H993" s="48">
        <v>1</v>
      </c>
      <c r="I993" s="48">
        <v>20</v>
      </c>
      <c r="J993" s="9"/>
      <c r="K993" s="9"/>
      <c r="L993" s="9"/>
      <c r="M993" s="9"/>
    </row>
    <row r="994" spans="1:13" ht="24.95" customHeight="1" x14ac:dyDescent="0.25">
      <c r="A994" s="48"/>
      <c r="B994" s="48"/>
      <c r="C994" s="48"/>
      <c r="D994" s="48"/>
      <c r="E994" s="48">
        <v>30</v>
      </c>
      <c r="F994" s="48"/>
      <c r="G994" s="48" t="s">
        <v>3991</v>
      </c>
      <c r="H994" s="48">
        <v>1</v>
      </c>
      <c r="I994" s="48">
        <v>20</v>
      </c>
      <c r="J994" s="9"/>
      <c r="K994" s="9"/>
      <c r="L994" s="9"/>
      <c r="M994" s="9"/>
    </row>
    <row r="995" spans="1:13" ht="24.95" customHeight="1" x14ac:dyDescent="0.25">
      <c r="A995" s="48"/>
      <c r="B995" s="48"/>
      <c r="C995" s="48"/>
      <c r="D995" s="48"/>
      <c r="E995" s="48">
        <v>31</v>
      </c>
      <c r="F995" s="48"/>
      <c r="G995" s="48" t="s">
        <v>3992</v>
      </c>
      <c r="H995" s="48">
        <v>1</v>
      </c>
      <c r="I995" s="48">
        <v>20</v>
      </c>
      <c r="J995" s="9"/>
      <c r="K995" s="9"/>
      <c r="L995" s="9"/>
      <c r="M995" s="9"/>
    </row>
    <row r="996" spans="1:13" ht="24.95" customHeight="1" x14ac:dyDescent="0.25">
      <c r="A996" s="48"/>
      <c r="B996" s="48"/>
      <c r="C996" s="48"/>
      <c r="D996" s="48"/>
      <c r="E996" s="48">
        <v>32</v>
      </c>
      <c r="F996" s="48"/>
      <c r="G996" s="48" t="s">
        <v>3993</v>
      </c>
      <c r="H996" s="48">
        <v>1</v>
      </c>
      <c r="I996" s="48">
        <v>20</v>
      </c>
      <c r="J996" s="9"/>
      <c r="K996" s="9"/>
      <c r="L996" s="9"/>
      <c r="M996" s="9"/>
    </row>
    <row r="997" spans="1:13" ht="24.95" customHeight="1" x14ac:dyDescent="0.25">
      <c r="A997" s="48"/>
      <c r="B997" s="48"/>
      <c r="C997" s="48"/>
      <c r="D997" s="48"/>
      <c r="E997" s="48">
        <v>33</v>
      </c>
      <c r="F997" s="48"/>
      <c r="G997" s="48" t="s">
        <v>3994</v>
      </c>
      <c r="H997" s="48">
        <v>1</v>
      </c>
      <c r="I997" s="48">
        <v>20</v>
      </c>
      <c r="J997" s="9"/>
      <c r="K997" s="9"/>
      <c r="L997" s="9"/>
      <c r="M997" s="9"/>
    </row>
    <row r="998" spans="1:13" ht="24.95" customHeight="1" x14ac:dyDescent="0.25">
      <c r="A998" s="48"/>
      <c r="B998" s="48"/>
      <c r="C998" s="51"/>
      <c r="D998" s="51"/>
      <c r="E998" s="51">
        <v>34</v>
      </c>
      <c r="F998" s="51"/>
      <c r="G998" s="51" t="s">
        <v>3995</v>
      </c>
      <c r="H998" s="51">
        <v>1</v>
      </c>
      <c r="I998" s="48">
        <v>20</v>
      </c>
      <c r="J998" s="9"/>
      <c r="K998" s="9"/>
      <c r="L998" s="9"/>
      <c r="M998" s="9"/>
    </row>
    <row r="999" spans="1:13" ht="24.95" customHeight="1" x14ac:dyDescent="0.25">
      <c r="A999" s="48"/>
      <c r="B999" s="48"/>
      <c r="C999" s="51"/>
      <c r="D999" s="51"/>
      <c r="E999" s="51">
        <v>35</v>
      </c>
      <c r="F999" s="51"/>
      <c r="G999" s="51" t="s">
        <v>3996</v>
      </c>
      <c r="H999" s="51">
        <v>1</v>
      </c>
      <c r="I999" s="48">
        <v>20</v>
      </c>
      <c r="J999" s="9"/>
      <c r="K999" s="9"/>
      <c r="L999" s="9"/>
      <c r="M999" s="9"/>
    </row>
    <row r="1000" spans="1:13" ht="24.95" customHeight="1" x14ac:dyDescent="0.25">
      <c r="A1000" s="48"/>
      <c r="B1000" s="48"/>
      <c r="C1000" s="51"/>
      <c r="D1000" s="51"/>
      <c r="E1000" s="51">
        <v>36</v>
      </c>
      <c r="F1000" s="51"/>
      <c r="G1000" s="51" t="s">
        <v>3997</v>
      </c>
      <c r="H1000" s="51">
        <v>1</v>
      </c>
      <c r="I1000" s="48">
        <v>20</v>
      </c>
      <c r="J1000" s="9"/>
      <c r="K1000" s="9"/>
      <c r="L1000" s="9"/>
      <c r="M1000" s="9"/>
    </row>
    <row r="1001" spans="1:13" ht="24.95" customHeight="1" x14ac:dyDescent="0.25">
      <c r="A1001" s="48"/>
      <c r="B1001" s="48"/>
      <c r="C1001" s="51"/>
      <c r="D1001" s="51"/>
      <c r="E1001" s="51">
        <v>37</v>
      </c>
      <c r="F1001" s="51"/>
      <c r="G1001" s="51" t="s">
        <v>3998</v>
      </c>
      <c r="H1001" s="51">
        <v>1</v>
      </c>
      <c r="I1001" s="48">
        <v>20</v>
      </c>
      <c r="J1001" s="9"/>
      <c r="K1001" s="9"/>
      <c r="L1001" s="9"/>
      <c r="M1001" s="9"/>
    </row>
    <row r="1002" spans="1:13" ht="24.95" customHeight="1" x14ac:dyDescent="0.25">
      <c r="A1002" s="48"/>
      <c r="B1002" s="48"/>
      <c r="C1002" s="51"/>
      <c r="D1002" s="51"/>
      <c r="E1002" s="51">
        <v>38</v>
      </c>
      <c r="F1002" s="51"/>
      <c r="G1002" s="51" t="s">
        <v>3999</v>
      </c>
      <c r="H1002" s="51">
        <v>1</v>
      </c>
      <c r="I1002" s="48">
        <v>20</v>
      </c>
      <c r="J1002" s="9"/>
      <c r="K1002" s="9"/>
      <c r="L1002" s="9"/>
      <c r="M1002" s="9"/>
    </row>
    <row r="1003" spans="1:13" ht="24.95" customHeight="1" x14ac:dyDescent="0.25">
      <c r="A1003" s="48"/>
      <c r="B1003" s="48"/>
      <c r="C1003" s="51"/>
      <c r="D1003" s="51"/>
      <c r="E1003" s="51">
        <v>39</v>
      </c>
      <c r="F1003" s="51"/>
      <c r="G1003" s="51" t="s">
        <v>4000</v>
      </c>
      <c r="H1003" s="51">
        <v>1</v>
      </c>
      <c r="I1003" s="48">
        <v>20</v>
      </c>
      <c r="J1003" s="9"/>
      <c r="K1003" s="9"/>
      <c r="L1003" s="9"/>
      <c r="M1003" s="9"/>
    </row>
    <row r="1004" spans="1:13" x14ac:dyDescent="0.25">
      <c r="A1004" s="48"/>
      <c r="B1004" s="48"/>
      <c r="C1004" s="51"/>
      <c r="D1004" s="51"/>
      <c r="E1004" s="51">
        <v>40</v>
      </c>
      <c r="F1004" s="51"/>
      <c r="G1004" s="51" t="s">
        <v>4001</v>
      </c>
      <c r="H1004" s="51">
        <v>1</v>
      </c>
      <c r="I1004" s="48">
        <v>20</v>
      </c>
    </row>
    <row r="1005" spans="1:13" x14ac:dyDescent="0.25">
      <c r="A1005" s="9"/>
      <c r="B1005" s="9"/>
      <c r="C1005" s="9"/>
      <c r="D1005" s="9"/>
      <c r="E1005" s="9"/>
      <c r="F1005" s="9"/>
      <c r="G1005" s="9"/>
      <c r="H1005" s="9"/>
      <c r="I1005" s="9"/>
    </row>
    <row r="1006" spans="1:13" x14ac:dyDescent="0.25">
      <c r="A1006" s="9"/>
      <c r="B1006" s="9"/>
      <c r="C1006" s="9"/>
      <c r="D1006" s="9"/>
      <c r="E1006" s="9"/>
      <c r="F1006" s="9"/>
      <c r="G1006" s="9"/>
      <c r="H1006" s="9"/>
      <c r="I1006" s="9"/>
    </row>
    <row r="1007" spans="1:13" x14ac:dyDescent="0.25">
      <c r="A1007" s="9"/>
      <c r="B1007" s="9"/>
      <c r="C1007" s="9"/>
      <c r="D1007" s="9"/>
      <c r="E1007" s="9"/>
      <c r="F1007" s="9"/>
      <c r="G1007" s="9"/>
      <c r="H1007" s="9"/>
      <c r="I1007" s="9"/>
    </row>
    <row r="1008" spans="1:13" x14ac:dyDescent="0.25">
      <c r="A1008" s="9"/>
      <c r="B1008" s="9"/>
      <c r="C1008" s="9"/>
      <c r="D1008" s="9"/>
      <c r="E1008" s="9"/>
      <c r="F1008" s="9"/>
      <c r="G1008" s="9"/>
      <c r="H1008" s="9"/>
      <c r="I1008" s="9"/>
    </row>
    <row r="1009" spans="1:9" x14ac:dyDescent="0.25">
      <c r="A1009" s="9"/>
      <c r="B1009" s="9"/>
      <c r="C1009" s="9"/>
      <c r="D1009" s="9"/>
      <c r="E1009" s="9"/>
      <c r="F1009" s="9"/>
      <c r="G1009" s="9"/>
      <c r="H1009" s="9"/>
      <c r="I1009" s="9"/>
    </row>
    <row r="1010" spans="1:9" x14ac:dyDescent="0.25">
      <c r="A1010" s="9"/>
      <c r="B1010" s="9"/>
      <c r="C1010" s="9"/>
      <c r="D1010" s="9"/>
      <c r="E1010" s="9"/>
      <c r="F1010" s="9"/>
      <c r="G1010" s="9"/>
      <c r="H1010" s="9"/>
      <c r="I1010" s="9"/>
    </row>
    <row r="1011" spans="1:9" x14ac:dyDescent="0.25">
      <c r="A1011" s="9"/>
      <c r="B1011" s="9"/>
      <c r="C1011" s="9"/>
      <c r="D1011" s="9"/>
      <c r="E1011" s="9"/>
      <c r="F1011" s="9"/>
      <c r="G1011" s="9"/>
      <c r="H1011" s="9"/>
      <c r="I1011" s="9"/>
    </row>
    <row r="1012" spans="1:9" x14ac:dyDescent="0.25">
      <c r="A1012" s="9"/>
      <c r="B1012" s="9"/>
      <c r="C1012" s="9"/>
      <c r="D1012" s="9"/>
      <c r="E1012" s="9"/>
      <c r="F1012" s="9"/>
      <c r="G1012" s="9"/>
      <c r="H1012" s="9"/>
      <c r="I1012" s="9"/>
    </row>
    <row r="1013" spans="1:9" x14ac:dyDescent="0.25">
      <c r="A1013" s="9"/>
      <c r="B1013" s="9"/>
      <c r="C1013" s="9"/>
      <c r="D1013" s="9"/>
      <c r="E1013" s="9"/>
      <c r="F1013" s="9"/>
      <c r="G1013" s="9"/>
      <c r="H1013" s="9"/>
      <c r="I1013" s="9"/>
    </row>
    <row r="1014" spans="1:9" x14ac:dyDescent="0.25">
      <c r="A1014" s="9"/>
      <c r="B1014" s="9"/>
      <c r="C1014" s="9"/>
      <c r="D1014" s="9"/>
      <c r="E1014" s="9"/>
      <c r="F1014" s="9"/>
      <c r="G1014" s="9"/>
      <c r="H1014" s="9"/>
      <c r="I1014" s="9"/>
    </row>
    <row r="1015" spans="1:9" x14ac:dyDescent="0.25">
      <c r="A1015" s="9"/>
      <c r="B1015" s="9"/>
      <c r="C1015" s="9"/>
      <c r="D1015" s="9"/>
      <c r="E1015" s="9"/>
      <c r="F1015" s="9"/>
      <c r="G1015" s="9"/>
      <c r="H1015" s="9"/>
      <c r="I1015" s="9"/>
    </row>
    <row r="1016" spans="1:9" x14ac:dyDescent="0.25">
      <c r="A1016" s="9"/>
      <c r="B1016" s="9"/>
      <c r="C1016" s="9"/>
      <c r="D1016" s="9"/>
      <c r="E1016" s="9"/>
      <c r="F1016" s="9"/>
      <c r="G1016" s="9"/>
      <c r="H1016" s="9"/>
      <c r="I1016" s="9"/>
    </row>
    <row r="1017" spans="1:9" x14ac:dyDescent="0.25">
      <c r="A1017" s="9"/>
      <c r="B1017" s="9"/>
      <c r="C1017" s="9"/>
      <c r="D1017" s="9"/>
      <c r="E1017" s="9"/>
      <c r="F1017" s="9"/>
      <c r="G1017" s="9"/>
      <c r="H1017" s="9"/>
      <c r="I1017" s="9"/>
    </row>
    <row r="1018" spans="1:9" x14ac:dyDescent="0.25">
      <c r="A1018" s="9"/>
      <c r="B1018" s="9"/>
      <c r="C1018" s="9"/>
      <c r="D1018" s="9"/>
      <c r="E1018" s="9"/>
      <c r="F1018" s="9"/>
      <c r="G1018" s="9"/>
      <c r="H1018" s="9"/>
      <c r="I1018" s="9"/>
    </row>
    <row r="1019" spans="1:9" x14ac:dyDescent="0.25">
      <c r="A1019" s="9"/>
      <c r="B1019" s="9"/>
      <c r="C1019" s="9"/>
      <c r="D1019" s="9"/>
      <c r="E1019" s="9"/>
      <c r="F1019" s="9"/>
      <c r="G1019" s="9"/>
      <c r="H1019" s="9"/>
      <c r="I1019" s="9"/>
    </row>
    <row r="1020" spans="1:9" x14ac:dyDescent="0.25">
      <c r="A1020" s="9"/>
      <c r="B1020" s="9"/>
      <c r="C1020" s="9"/>
      <c r="D1020" s="9"/>
      <c r="E1020" s="9"/>
      <c r="F1020" s="9"/>
      <c r="G1020" s="9"/>
      <c r="H1020" s="9"/>
      <c r="I1020" s="9"/>
    </row>
    <row r="1021" spans="1:9" x14ac:dyDescent="0.25">
      <c r="A1021" s="9"/>
      <c r="B1021" s="9"/>
      <c r="C1021" s="9"/>
      <c r="D1021" s="9"/>
      <c r="E1021" s="9"/>
      <c r="F1021" s="9"/>
      <c r="G1021" s="9"/>
      <c r="H1021" s="9"/>
      <c r="I1021" s="9"/>
    </row>
    <row r="1022" spans="1:9" x14ac:dyDescent="0.25">
      <c r="A1022" s="9"/>
      <c r="B1022" s="9"/>
      <c r="C1022" s="9"/>
      <c r="D1022" s="9"/>
      <c r="E1022" s="9"/>
      <c r="F1022" s="9"/>
      <c r="G1022" s="9"/>
      <c r="H1022" s="9"/>
      <c r="I1022" s="9"/>
    </row>
    <row r="1023" spans="1:9" x14ac:dyDescent="0.25">
      <c r="A1023" s="9"/>
      <c r="B1023" s="9"/>
      <c r="C1023" s="9"/>
      <c r="D1023" s="9"/>
      <c r="E1023" s="9"/>
      <c r="F1023" s="9"/>
      <c r="G1023" s="9"/>
      <c r="H1023" s="9"/>
      <c r="I1023" s="9"/>
    </row>
    <row r="1024" spans="1:9" x14ac:dyDescent="0.25">
      <c r="A1024" s="9"/>
      <c r="B1024" s="9"/>
      <c r="C1024" s="9"/>
      <c r="D1024" s="9"/>
      <c r="E1024" s="9"/>
      <c r="F1024" s="9"/>
      <c r="G1024" s="9"/>
      <c r="H1024" s="9"/>
      <c r="I1024" s="9"/>
    </row>
    <row r="1025" spans="1:9" x14ac:dyDescent="0.25">
      <c r="A1025" s="9"/>
      <c r="B1025" s="9"/>
      <c r="C1025" s="9"/>
      <c r="D1025" s="9"/>
      <c r="E1025" s="9"/>
      <c r="F1025" s="9"/>
      <c r="G1025" s="9"/>
      <c r="H1025" s="9"/>
      <c r="I1025" s="9"/>
    </row>
    <row r="1026" spans="1:9" x14ac:dyDescent="0.25">
      <c r="A1026" s="9"/>
      <c r="B1026" s="9"/>
      <c r="C1026" s="9"/>
      <c r="D1026" s="9"/>
      <c r="E1026" s="9"/>
      <c r="F1026" s="9"/>
      <c r="G1026" s="9"/>
      <c r="H1026" s="9"/>
      <c r="I1026" s="9"/>
    </row>
    <row r="1027" spans="1:9" x14ac:dyDescent="0.25">
      <c r="A1027" s="9"/>
      <c r="B1027" s="9"/>
      <c r="C1027" s="9"/>
      <c r="D1027" s="9"/>
      <c r="E1027" s="9"/>
      <c r="F1027" s="9"/>
      <c r="G1027" s="9"/>
      <c r="H1027" s="9"/>
      <c r="I1027" s="9"/>
    </row>
    <row r="1028" spans="1:9" x14ac:dyDescent="0.25">
      <c r="A1028" s="9"/>
      <c r="B1028" s="9"/>
      <c r="C1028" s="9"/>
      <c r="D1028" s="9"/>
      <c r="E1028" s="9"/>
      <c r="F1028" s="9"/>
      <c r="G1028" s="9"/>
      <c r="H1028" s="9"/>
      <c r="I1028" s="9"/>
    </row>
    <row r="1029" spans="1:9" x14ac:dyDescent="0.25">
      <c r="A1029" s="9"/>
      <c r="B1029" s="9"/>
      <c r="C1029" s="9"/>
      <c r="D1029" s="9"/>
      <c r="E1029" s="9"/>
      <c r="F1029" s="9"/>
      <c r="G1029" s="9"/>
      <c r="H1029" s="9"/>
      <c r="I1029" s="9"/>
    </row>
    <row r="1030" spans="1:9" x14ac:dyDescent="0.25">
      <c r="A1030" s="9"/>
      <c r="B1030" s="9"/>
      <c r="C1030" s="9"/>
      <c r="D1030" s="9"/>
      <c r="E1030" s="9"/>
      <c r="F1030" s="9"/>
      <c r="G1030" s="9"/>
      <c r="H1030" s="9"/>
      <c r="I1030" s="9"/>
    </row>
    <row r="1031" spans="1:9" x14ac:dyDescent="0.25">
      <c r="A1031" s="9"/>
      <c r="B1031" s="9"/>
      <c r="C1031" s="9"/>
      <c r="D1031" s="9"/>
      <c r="E1031" s="9"/>
      <c r="F1031" s="9"/>
      <c r="G1031" s="9"/>
      <c r="H1031" s="9"/>
      <c r="I1031" s="9"/>
    </row>
    <row r="1032" spans="1:9" x14ac:dyDescent="0.25">
      <c r="A1032" s="9"/>
      <c r="B1032" s="9"/>
      <c r="C1032" s="9"/>
      <c r="D1032" s="9"/>
      <c r="E1032" s="9"/>
      <c r="F1032" s="9"/>
      <c r="G1032" s="9"/>
      <c r="H1032" s="9"/>
      <c r="I1032" s="9"/>
    </row>
    <row r="1033" spans="1:9" x14ac:dyDescent="0.25">
      <c r="A1033" s="9"/>
      <c r="B1033" s="9"/>
      <c r="C1033" s="9"/>
      <c r="D1033" s="9"/>
      <c r="E1033" s="9"/>
      <c r="F1033" s="9"/>
      <c r="G1033" s="9"/>
      <c r="H1033" s="9"/>
      <c r="I1033" s="9"/>
    </row>
    <row r="1034" spans="1:9" x14ac:dyDescent="0.25">
      <c r="A1034" s="9"/>
      <c r="B1034" s="9"/>
      <c r="C1034" s="9"/>
      <c r="D1034" s="9"/>
      <c r="E1034" s="9"/>
      <c r="F1034" s="9"/>
      <c r="G1034" s="9"/>
      <c r="H1034" s="9"/>
      <c r="I1034" s="9"/>
    </row>
    <row r="1035" spans="1:9" x14ac:dyDescent="0.25">
      <c r="A1035" s="9"/>
      <c r="B1035" s="9"/>
      <c r="C1035" s="9"/>
      <c r="D1035" s="9"/>
      <c r="E1035" s="9"/>
      <c r="F1035" s="9"/>
      <c r="G1035" s="9"/>
      <c r="H1035" s="9"/>
      <c r="I1035" s="9"/>
    </row>
    <row r="1036" spans="1:9" x14ac:dyDescent="0.25">
      <c r="A1036" s="9"/>
      <c r="B1036" s="9"/>
      <c r="C1036" s="9"/>
      <c r="D1036" s="9"/>
      <c r="E1036" s="9"/>
      <c r="F1036" s="9"/>
      <c r="G1036" s="9"/>
      <c r="H1036" s="9"/>
      <c r="I1036" s="9"/>
    </row>
    <row r="1037" spans="1:9" x14ac:dyDescent="0.25">
      <c r="A1037" s="9"/>
      <c r="B1037" s="9"/>
      <c r="C1037" s="10"/>
      <c r="D1037" s="10"/>
      <c r="E1037" s="10"/>
      <c r="F1037" s="10"/>
      <c r="G1037" s="10"/>
      <c r="H1037" s="10"/>
      <c r="I1037" s="9"/>
    </row>
    <row r="1038" spans="1:9" x14ac:dyDescent="0.25">
      <c r="A1038" s="9"/>
      <c r="B1038" s="9"/>
      <c r="C1038" s="10"/>
      <c r="D1038" s="10"/>
      <c r="E1038" s="10"/>
      <c r="F1038" s="10"/>
      <c r="G1038" s="10"/>
      <c r="H1038" s="10"/>
      <c r="I1038" s="9"/>
    </row>
    <row r="1039" spans="1:9" x14ac:dyDescent="0.25">
      <c r="A1039" s="9"/>
      <c r="B1039" s="9"/>
      <c r="C1039" s="10"/>
      <c r="D1039" s="10"/>
      <c r="E1039" s="10"/>
      <c r="F1039" s="10"/>
      <c r="G1039" s="10"/>
      <c r="H1039" s="10"/>
      <c r="I1039" s="9"/>
    </row>
    <row r="1040" spans="1:9" x14ac:dyDescent="0.25">
      <c r="A1040" s="9"/>
      <c r="B1040" s="9"/>
      <c r="C1040" s="10"/>
      <c r="D1040" s="10"/>
      <c r="E1040" s="10"/>
      <c r="F1040" s="10"/>
      <c r="G1040" s="10"/>
      <c r="H1040" s="10"/>
      <c r="I1040" s="9"/>
    </row>
    <row r="1041" spans="1:9" x14ac:dyDescent="0.25">
      <c r="A1041" s="9"/>
      <c r="B1041" s="9"/>
      <c r="C1041" s="10"/>
      <c r="D1041" s="10"/>
      <c r="E1041" s="10"/>
      <c r="F1041" s="10"/>
      <c r="G1041" s="10"/>
      <c r="H1041" s="10"/>
      <c r="I1041" s="9"/>
    </row>
    <row r="1042" spans="1:9" x14ac:dyDescent="0.25">
      <c r="A1042" s="9"/>
      <c r="B1042" s="9"/>
      <c r="C1042" s="10"/>
      <c r="D1042" s="10"/>
      <c r="E1042" s="10"/>
      <c r="F1042" s="10"/>
      <c r="G1042" s="10"/>
      <c r="H1042" s="10"/>
      <c r="I1042" s="9"/>
    </row>
    <row r="1043" spans="1:9" x14ac:dyDescent="0.25">
      <c r="A1043" s="9"/>
      <c r="B1043" s="9"/>
      <c r="C1043" s="10"/>
      <c r="D1043" s="10"/>
      <c r="E1043" s="10"/>
      <c r="F1043" s="10"/>
      <c r="G1043" s="10"/>
      <c r="H1043" s="10"/>
      <c r="I1043" s="9"/>
    </row>
  </sheetData>
  <pageMargins left="0.7" right="0.7" top="0.75" bottom="0.75"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Y449"/>
  <sheetViews>
    <sheetView zoomScale="60" zoomScaleNormal="60" workbookViewId="0">
      <pane ySplit="1" topLeftCell="A266" activePane="bottomLeft" state="frozen"/>
      <selection pane="bottomLeft" activeCell="D294" sqref="D294:D295"/>
    </sheetView>
  </sheetViews>
  <sheetFormatPr baseColWidth="10" defaultRowHeight="15" x14ac:dyDescent="0.25"/>
  <cols>
    <col min="1" max="1" width="6.42578125" style="1" customWidth="1"/>
    <col min="2" max="2" width="6.7109375" style="1" customWidth="1"/>
    <col min="3" max="3" width="24.7109375" style="1" customWidth="1"/>
    <col min="4" max="4" width="31.42578125" style="1" customWidth="1"/>
    <col min="5" max="5" width="8.140625" style="1" customWidth="1"/>
    <col min="6" max="6" width="96" style="1" customWidth="1"/>
    <col min="7" max="7" width="23.42578125" style="1" customWidth="1"/>
    <col min="8" max="8" width="22.7109375" style="1" customWidth="1"/>
    <col min="9" max="9" width="27.85546875" style="1" customWidth="1"/>
    <col min="10" max="10" width="24.140625" style="1" customWidth="1"/>
    <col min="11" max="11" width="29.5703125" style="1" customWidth="1"/>
    <col min="12" max="12" width="23.28515625" style="1" customWidth="1"/>
    <col min="13" max="13" width="21.5703125" style="1" customWidth="1"/>
    <col min="14" max="14" width="22.5703125" style="1" customWidth="1"/>
    <col min="15" max="15" width="23" style="1" customWidth="1"/>
    <col min="16" max="16" width="25.7109375" style="1" customWidth="1"/>
    <col min="17" max="17" width="15.140625" style="1" bestFit="1" customWidth="1"/>
    <col min="18" max="16384" width="11.42578125" style="1"/>
  </cols>
  <sheetData>
    <row r="1" spans="1:18" x14ac:dyDescent="0.25">
      <c r="A1" s="1" t="s">
        <v>0</v>
      </c>
      <c r="B1" s="1" t="s">
        <v>1</v>
      </c>
      <c r="C1" s="1" t="s">
        <v>8</v>
      </c>
      <c r="D1" s="1" t="s">
        <v>15</v>
      </c>
      <c r="E1" s="1" t="s">
        <v>10</v>
      </c>
      <c r="F1" s="1" t="s">
        <v>19</v>
      </c>
      <c r="G1" s="1" t="s">
        <v>17</v>
      </c>
      <c r="H1" s="1" t="s">
        <v>3</v>
      </c>
      <c r="I1" s="1" t="s">
        <v>4</v>
      </c>
      <c r="J1" s="1" t="s">
        <v>6</v>
      </c>
      <c r="K1" s="1" t="s">
        <v>7</v>
      </c>
      <c r="L1" s="1" t="s">
        <v>18</v>
      </c>
      <c r="M1" s="1" t="s">
        <v>3</v>
      </c>
      <c r="N1" s="1" t="s">
        <v>4</v>
      </c>
      <c r="O1" s="1" t="s">
        <v>6</v>
      </c>
      <c r="P1" s="1" t="s">
        <v>7</v>
      </c>
    </row>
    <row r="2" spans="1:18" s="2" customFormat="1" x14ac:dyDescent="0.25">
      <c r="A2" s="14"/>
      <c r="B2" s="14"/>
      <c r="C2" s="14"/>
      <c r="D2" s="14"/>
      <c r="E2" s="14"/>
      <c r="F2" s="14"/>
      <c r="G2" s="14"/>
      <c r="H2" s="14"/>
      <c r="I2" s="14"/>
      <c r="J2" s="14"/>
      <c r="K2" s="14"/>
      <c r="L2" s="14"/>
      <c r="M2" s="14"/>
      <c r="N2" s="14"/>
      <c r="O2" s="14"/>
      <c r="P2" s="14"/>
    </row>
    <row r="3" spans="1:18" ht="65.25" customHeight="1" x14ac:dyDescent="0.25">
      <c r="A3" s="16"/>
      <c r="B3" s="16"/>
      <c r="C3" s="16">
        <v>1</v>
      </c>
      <c r="D3" s="16" t="s">
        <v>54</v>
      </c>
      <c r="E3" s="16">
        <v>1</v>
      </c>
      <c r="F3" s="16" t="s">
        <v>1370</v>
      </c>
      <c r="G3" s="16" t="s">
        <v>1388</v>
      </c>
      <c r="H3" s="16" t="s">
        <v>1418</v>
      </c>
      <c r="I3" s="16" t="s">
        <v>1436</v>
      </c>
      <c r="J3" s="16" t="s">
        <v>1464</v>
      </c>
      <c r="K3" s="16" t="s">
        <v>1492</v>
      </c>
      <c r="L3" s="16"/>
      <c r="M3" s="16"/>
      <c r="N3" s="16"/>
      <c r="O3" s="16"/>
      <c r="P3" s="16"/>
      <c r="Q3" s="1" t="str">
        <f>CONCATENATE("d) ",(P3))</f>
        <v xml:space="preserve">d) </v>
      </c>
      <c r="R3" s="1" t="str">
        <f>CONCATENATE("b) ",I3)</f>
        <v>b) b) Most of the comics featuring Kinshasa are done by Belgium artists.</v>
      </c>
    </row>
    <row r="4" spans="1:18" ht="65.25" customHeight="1" x14ac:dyDescent="0.25">
      <c r="A4" s="16"/>
      <c r="B4" s="16"/>
      <c r="C4" s="16"/>
      <c r="D4" s="16" t="s">
        <v>2108</v>
      </c>
      <c r="E4" s="16">
        <v>2</v>
      </c>
      <c r="F4" s="16" t="s">
        <v>1371</v>
      </c>
      <c r="G4" s="16" t="s">
        <v>1396</v>
      </c>
      <c r="H4" s="16" t="s">
        <v>1419</v>
      </c>
      <c r="I4" s="16" t="s">
        <v>1437</v>
      </c>
      <c r="J4" s="16" t="s">
        <v>1465</v>
      </c>
      <c r="K4" s="16" t="s">
        <v>1493</v>
      </c>
      <c r="L4" s="16"/>
      <c r="M4" s="16"/>
      <c r="N4" s="16"/>
      <c r="O4" s="16"/>
      <c r="P4" s="16"/>
      <c r="Q4" s="1" t="str">
        <f t="shared" ref="Q4:Q7" si="0">CONCATENATE("d) ",(P4))</f>
        <v xml:space="preserve">d) </v>
      </c>
    </row>
    <row r="5" spans="1:18" ht="65.25" customHeight="1" x14ac:dyDescent="0.25">
      <c r="A5" s="16"/>
      <c r="B5" s="16"/>
      <c r="C5" s="16"/>
      <c r="D5" s="16" t="s">
        <v>359</v>
      </c>
      <c r="E5" s="16">
        <v>3</v>
      </c>
      <c r="F5" s="16" t="s">
        <v>1372</v>
      </c>
      <c r="G5" s="16" t="s">
        <v>1397</v>
      </c>
      <c r="H5" s="16" t="s">
        <v>1420</v>
      </c>
      <c r="I5" s="16" t="s">
        <v>1438</v>
      </c>
      <c r="J5" s="16" t="s">
        <v>1466</v>
      </c>
      <c r="K5" s="16" t="s">
        <v>1494</v>
      </c>
      <c r="L5" s="16"/>
      <c r="M5" s="16"/>
      <c r="N5" s="16"/>
      <c r="O5" s="16"/>
      <c r="P5" s="16"/>
      <c r="Q5" s="1" t="str">
        <f t="shared" si="0"/>
        <v xml:space="preserve">d) </v>
      </c>
    </row>
    <row r="6" spans="1:18" ht="65.25" customHeight="1" x14ac:dyDescent="0.25">
      <c r="A6" s="16"/>
      <c r="B6" s="16"/>
      <c r="C6" s="16"/>
      <c r="D6" s="16"/>
      <c r="E6" s="16">
        <v>4</v>
      </c>
      <c r="F6" s="16" t="s">
        <v>1373</v>
      </c>
      <c r="G6" s="16" t="s">
        <v>1398</v>
      </c>
      <c r="H6" s="16" t="s">
        <v>1421</v>
      </c>
      <c r="I6" s="16" t="s">
        <v>1439</v>
      </c>
      <c r="J6" s="16" t="s">
        <v>1467</v>
      </c>
      <c r="K6" s="16" t="s">
        <v>1495</v>
      </c>
      <c r="L6" s="16"/>
      <c r="M6" s="16"/>
      <c r="N6" s="16"/>
      <c r="O6" s="16"/>
      <c r="P6" s="16"/>
      <c r="Q6" s="1" t="str">
        <f t="shared" si="0"/>
        <v xml:space="preserve">d) </v>
      </c>
    </row>
    <row r="7" spans="1:18" ht="65.25" customHeight="1" x14ac:dyDescent="0.25">
      <c r="A7" s="16"/>
      <c r="B7" s="16"/>
      <c r="C7" s="16"/>
      <c r="D7" s="16"/>
      <c r="E7" s="16">
        <v>5</v>
      </c>
      <c r="F7" s="16" t="s">
        <v>1374</v>
      </c>
      <c r="G7" s="16" t="s">
        <v>1399</v>
      </c>
      <c r="H7" s="16" t="s">
        <v>1422</v>
      </c>
      <c r="I7" s="16" t="s">
        <v>1440</v>
      </c>
      <c r="J7" s="16" t="s">
        <v>1468</v>
      </c>
      <c r="K7" s="16" t="s">
        <v>1496</v>
      </c>
      <c r="L7" s="16"/>
      <c r="M7" s="16"/>
      <c r="N7" s="16"/>
      <c r="O7" s="16"/>
      <c r="P7" s="16"/>
      <c r="Q7" s="1" t="str">
        <f t="shared" si="0"/>
        <v xml:space="preserve">d) </v>
      </c>
    </row>
    <row r="8" spans="1:18" ht="65.25" customHeight="1" x14ac:dyDescent="0.25">
      <c r="A8" s="16"/>
      <c r="B8" s="16"/>
      <c r="C8" s="16"/>
      <c r="D8" s="16"/>
      <c r="E8" s="16">
        <v>6</v>
      </c>
      <c r="F8" s="16" t="s">
        <v>1375</v>
      </c>
      <c r="G8" s="16" t="s">
        <v>1400</v>
      </c>
      <c r="H8" s="16" t="s">
        <v>1423</v>
      </c>
      <c r="I8" s="16" t="s">
        <v>1441</v>
      </c>
      <c r="J8" s="16" t="s">
        <v>1469</v>
      </c>
      <c r="K8" s="16" t="s">
        <v>1497</v>
      </c>
      <c r="L8" s="16" t="s">
        <v>1389</v>
      </c>
      <c r="M8" s="16" t="s">
        <v>1523</v>
      </c>
      <c r="N8" s="16" t="s">
        <v>1454</v>
      </c>
      <c r="O8" s="16" t="s">
        <v>1481</v>
      </c>
      <c r="P8" s="16" t="s">
        <v>1510</v>
      </c>
      <c r="Q8" s="1" t="str">
        <f>CONCATENATE("a) ",M8)</f>
        <v>a) a) The main division is between the ‘old’ and ‘new’ Europe.</v>
      </c>
    </row>
    <row r="9" spans="1:18" ht="65.25" customHeight="1" x14ac:dyDescent="0.25">
      <c r="A9" s="16"/>
      <c r="B9" s="16"/>
      <c r="C9" s="16"/>
      <c r="D9" s="16"/>
      <c r="E9" s="16">
        <v>7</v>
      </c>
      <c r="F9" s="16" t="s">
        <v>1376</v>
      </c>
      <c r="G9" s="16" t="s">
        <v>1401</v>
      </c>
      <c r="H9" s="16" t="s">
        <v>1424</v>
      </c>
      <c r="I9" s="16" t="s">
        <v>1442</v>
      </c>
      <c r="J9" s="16" t="s">
        <v>1470</v>
      </c>
      <c r="K9" s="16" t="s">
        <v>1498</v>
      </c>
      <c r="L9" s="16" t="s">
        <v>1390</v>
      </c>
      <c r="M9" s="16" t="s">
        <v>1524</v>
      </c>
      <c r="N9" s="16" t="s">
        <v>1455</v>
      </c>
      <c r="O9" s="16" t="s">
        <v>1482</v>
      </c>
      <c r="P9" s="16" t="s">
        <v>1511</v>
      </c>
      <c r="Q9" s="1" t="str">
        <f t="shared" ref="Q9:Q20" si="1">CONCATENATE("a) ",M9)</f>
        <v>a) a) The use of MP3 players is limited</v>
      </c>
    </row>
    <row r="10" spans="1:18" ht="65.25" customHeight="1" x14ac:dyDescent="0.25">
      <c r="A10" s="16"/>
      <c r="B10" s="16"/>
      <c r="C10" s="16"/>
      <c r="D10" s="16"/>
      <c r="E10" s="16">
        <v>8</v>
      </c>
      <c r="F10" s="16" t="s">
        <v>1377</v>
      </c>
      <c r="G10" s="16" t="s">
        <v>1402</v>
      </c>
      <c r="H10" s="16" t="s">
        <v>1425</v>
      </c>
      <c r="I10" s="16" t="s">
        <v>1443</v>
      </c>
      <c r="J10" s="16" t="s">
        <v>1471</v>
      </c>
      <c r="K10" s="16" t="s">
        <v>1499</v>
      </c>
      <c r="L10" s="16" t="s">
        <v>1391</v>
      </c>
      <c r="M10" s="16" t="s">
        <v>1525</v>
      </c>
      <c r="N10" s="16" t="s">
        <v>1456</v>
      </c>
      <c r="O10" s="16" t="s">
        <v>1483</v>
      </c>
      <c r="P10" s="16" t="s">
        <v>1512</v>
      </c>
      <c r="Q10" s="1" t="str">
        <f t="shared" si="1"/>
        <v>a) a) A stronger military force</v>
      </c>
    </row>
    <row r="11" spans="1:18" ht="65.25" customHeight="1" x14ac:dyDescent="0.25">
      <c r="A11" s="16"/>
      <c r="B11" s="16"/>
      <c r="C11" s="16"/>
      <c r="D11" s="16"/>
      <c r="E11" s="16">
        <v>9</v>
      </c>
      <c r="F11" s="16" t="s">
        <v>1378</v>
      </c>
      <c r="G11" s="16" t="s">
        <v>1403</v>
      </c>
      <c r="H11" s="16" t="s">
        <v>1426</v>
      </c>
      <c r="I11" s="16" t="s">
        <v>1444</v>
      </c>
      <c r="J11" s="16" t="s">
        <v>1472</v>
      </c>
      <c r="K11" s="16" t="s">
        <v>1500</v>
      </c>
      <c r="L11" s="16" t="s">
        <v>1392</v>
      </c>
      <c r="M11" s="16" t="s">
        <v>20</v>
      </c>
      <c r="N11" s="16" t="s">
        <v>21</v>
      </c>
      <c r="O11" s="16" t="s">
        <v>22</v>
      </c>
      <c r="P11" s="16" t="s">
        <v>23</v>
      </c>
      <c r="Q11" s="1" t="str">
        <f t="shared" si="1"/>
        <v xml:space="preserve">a) a) be completely negative.                                                                                                                 </v>
      </c>
      <c r="R11" s="21"/>
    </row>
    <row r="12" spans="1:18" ht="65.25" customHeight="1" x14ac:dyDescent="0.25">
      <c r="A12" s="16"/>
      <c r="B12" s="16"/>
      <c r="C12" s="16"/>
      <c r="D12" s="16"/>
      <c r="E12" s="16">
        <v>10</v>
      </c>
      <c r="F12" s="16" t="s">
        <v>1379</v>
      </c>
      <c r="G12" s="16" t="s">
        <v>1404</v>
      </c>
      <c r="H12" s="16" t="s">
        <v>1427</v>
      </c>
      <c r="I12" s="16" t="s">
        <v>1445</v>
      </c>
      <c r="J12" s="16" t="s">
        <v>1473</v>
      </c>
      <c r="K12" s="16" t="s">
        <v>1501</v>
      </c>
      <c r="L12" s="16" t="s">
        <v>1393</v>
      </c>
      <c r="M12" s="16" t="s">
        <v>1526</v>
      </c>
      <c r="N12" s="16" t="s">
        <v>1457</v>
      </c>
      <c r="O12" s="16" t="s">
        <v>1484</v>
      </c>
      <c r="P12" s="16" t="s">
        <v>1513</v>
      </c>
      <c r="Q12" s="1" t="str">
        <f t="shared" si="1"/>
        <v>a) a) Be completely negative</v>
      </c>
      <c r="R12" s="21"/>
    </row>
    <row r="13" spans="1:18" ht="65.25" customHeight="1" x14ac:dyDescent="0.25">
      <c r="A13" s="16"/>
      <c r="B13" s="16"/>
      <c r="C13" s="16"/>
      <c r="D13" s="16"/>
      <c r="E13" s="16">
        <v>11</v>
      </c>
      <c r="F13" s="16" t="s">
        <v>1380</v>
      </c>
      <c r="G13" s="16" t="s">
        <v>1405</v>
      </c>
      <c r="H13" s="16" t="s">
        <v>1428</v>
      </c>
      <c r="I13" s="16" t="s">
        <v>1446</v>
      </c>
      <c r="J13" s="16" t="s">
        <v>1474</v>
      </c>
      <c r="K13" s="16" t="s">
        <v>1502</v>
      </c>
      <c r="L13" s="16" t="s">
        <v>1394</v>
      </c>
      <c r="M13" s="16" t="s">
        <v>1527</v>
      </c>
      <c r="N13" s="16" t="s">
        <v>1458</v>
      </c>
      <c r="O13" s="16" t="s">
        <v>1485</v>
      </c>
      <c r="P13" s="16" t="s">
        <v>1514</v>
      </c>
      <c r="Q13" s="1" t="str">
        <f t="shared" si="1"/>
        <v>a) a) High-speed electric trains are being developed</v>
      </c>
      <c r="R13" s="21"/>
    </row>
    <row r="14" spans="1:18" ht="65.25" customHeight="1" x14ac:dyDescent="0.25">
      <c r="A14" s="16"/>
      <c r="B14" s="16"/>
      <c r="C14" s="16"/>
      <c r="D14" s="16"/>
      <c r="E14" s="16">
        <v>12</v>
      </c>
      <c r="F14" s="16" t="s">
        <v>1381</v>
      </c>
      <c r="G14" s="16" t="s">
        <v>1406</v>
      </c>
      <c r="H14" s="16" t="s">
        <v>1429</v>
      </c>
      <c r="I14" s="16" t="s">
        <v>1447</v>
      </c>
      <c r="J14" s="16" t="s">
        <v>1521</v>
      </c>
      <c r="K14" s="16" t="s">
        <v>1503</v>
      </c>
      <c r="L14" s="16" t="s">
        <v>1395</v>
      </c>
      <c r="M14" s="16" t="s">
        <v>1528</v>
      </c>
      <c r="N14" s="16" t="s">
        <v>1522</v>
      </c>
      <c r="O14" s="16" t="s">
        <v>1486</v>
      </c>
      <c r="P14" s="16" t="s">
        <v>1515</v>
      </c>
      <c r="Q14" s="1" t="str">
        <f t="shared" si="1"/>
        <v>a) a)   The Tories would approve of French aims.</v>
      </c>
      <c r="R14" s="21"/>
    </row>
    <row r="15" spans="1:18" ht="65.25" customHeight="1" x14ac:dyDescent="0.25">
      <c r="A15" s="16"/>
      <c r="B15" s="16"/>
      <c r="C15" s="16"/>
      <c r="D15" s="16"/>
      <c r="E15" s="16">
        <v>13</v>
      </c>
      <c r="F15" s="16" t="s">
        <v>1382</v>
      </c>
      <c r="G15" s="16" t="s">
        <v>1407</v>
      </c>
      <c r="H15" s="16" t="s">
        <v>1430</v>
      </c>
      <c r="I15" s="16" t="s">
        <v>1448</v>
      </c>
      <c r="J15" s="16" t="s">
        <v>1475</v>
      </c>
      <c r="K15" s="16" t="s">
        <v>1504</v>
      </c>
      <c r="L15" s="16" t="s">
        <v>1408</v>
      </c>
      <c r="M15" s="16" t="s">
        <v>1529</v>
      </c>
      <c r="N15" s="16" t="s">
        <v>1459</v>
      </c>
      <c r="O15" s="16" t="s">
        <v>1487</v>
      </c>
      <c r="P15" s="16" t="s">
        <v>1516</v>
      </c>
      <c r="Q15" s="1" t="str">
        <f t="shared" si="1"/>
        <v>a) a) The remittances sent by the émigrés will ensure the survival of the Jewish community</v>
      </c>
      <c r="R15" s="21"/>
    </row>
    <row r="16" spans="1:18" ht="65.25" customHeight="1" x14ac:dyDescent="0.25">
      <c r="A16" s="16"/>
      <c r="B16" s="16"/>
      <c r="C16" s="16"/>
      <c r="D16" s="16"/>
      <c r="E16" s="16">
        <v>14</v>
      </c>
      <c r="F16" s="16" t="s">
        <v>1383</v>
      </c>
      <c r="G16" s="16" t="s">
        <v>1409</v>
      </c>
      <c r="H16" s="16" t="s">
        <v>1431</v>
      </c>
      <c r="I16" s="16" t="s">
        <v>1449</v>
      </c>
      <c r="J16" s="16" t="s">
        <v>1476</v>
      </c>
      <c r="K16" s="16" t="s">
        <v>1505</v>
      </c>
      <c r="L16" s="16" t="s">
        <v>1411</v>
      </c>
      <c r="M16" s="16" t="s">
        <v>1530</v>
      </c>
      <c r="N16" s="16" t="s">
        <v>1460</v>
      </c>
      <c r="O16" s="16" t="s">
        <v>1488</v>
      </c>
      <c r="P16" s="16" t="s">
        <v>1517</v>
      </c>
      <c r="Q16" s="1" t="str">
        <f t="shared" si="1"/>
        <v>a) a) Some of the executions are politically motivated.</v>
      </c>
      <c r="R16" s="21"/>
    </row>
    <row r="17" spans="1:24" ht="65.25" customHeight="1" x14ac:dyDescent="0.25">
      <c r="A17" s="16"/>
      <c r="B17" s="16"/>
      <c r="C17" s="16"/>
      <c r="D17" s="16"/>
      <c r="E17" s="16">
        <v>15</v>
      </c>
      <c r="F17" s="16" t="s">
        <v>1384</v>
      </c>
      <c r="G17" s="16" t="s">
        <v>1410</v>
      </c>
      <c r="H17" s="16" t="s">
        <v>1432</v>
      </c>
      <c r="I17" s="16" t="s">
        <v>1450</v>
      </c>
      <c r="J17" s="16" t="s">
        <v>1477</v>
      </c>
      <c r="K17" s="16" t="s">
        <v>1506</v>
      </c>
      <c r="L17" s="16" t="s">
        <v>1412</v>
      </c>
      <c r="M17" s="16" t="s">
        <v>1531</v>
      </c>
      <c r="N17" s="16" t="s">
        <v>1461</v>
      </c>
      <c r="O17" s="16" t="s">
        <v>1489</v>
      </c>
      <c r="P17" s="16" t="s">
        <v>1518</v>
      </c>
      <c r="Q17" s="1" t="str">
        <f t="shared" si="1"/>
        <v>a) a) The behavior of Russian officials is inconsistent</v>
      </c>
      <c r="R17" s="21"/>
    </row>
    <row r="18" spans="1:24" ht="65.25" customHeight="1" x14ac:dyDescent="0.25">
      <c r="A18" s="16"/>
      <c r="B18" s="16"/>
      <c r="C18" s="16"/>
      <c r="D18" s="16"/>
      <c r="E18" s="16">
        <v>16</v>
      </c>
      <c r="F18" s="16" t="s">
        <v>1385</v>
      </c>
      <c r="G18" s="16" t="s">
        <v>1413</v>
      </c>
      <c r="H18" s="16" t="s">
        <v>1433</v>
      </c>
      <c r="I18" s="16" t="s">
        <v>1451</v>
      </c>
      <c r="J18" s="16" t="s">
        <v>1478</v>
      </c>
      <c r="K18" s="16" t="s">
        <v>1507</v>
      </c>
      <c r="L18" s="16"/>
      <c r="M18" s="16"/>
      <c r="N18" s="16"/>
      <c r="O18" s="16"/>
      <c r="P18" s="16"/>
      <c r="Q18" s="1" t="str">
        <f t="shared" si="1"/>
        <v xml:space="preserve">a) </v>
      </c>
      <c r="R18" s="21"/>
    </row>
    <row r="19" spans="1:24" ht="65.25" customHeight="1" x14ac:dyDescent="0.25">
      <c r="A19" s="16"/>
      <c r="B19" s="16"/>
      <c r="C19" s="16"/>
      <c r="D19" s="16"/>
      <c r="E19" s="16">
        <v>17</v>
      </c>
      <c r="F19" s="16" t="s">
        <v>1386</v>
      </c>
      <c r="G19" s="16" t="s">
        <v>1414</v>
      </c>
      <c r="H19" s="16" t="s">
        <v>1435</v>
      </c>
      <c r="I19" s="16" t="s">
        <v>1452</v>
      </c>
      <c r="J19" s="16" t="s">
        <v>1479</v>
      </c>
      <c r="K19" s="16" t="s">
        <v>1508</v>
      </c>
      <c r="L19" s="16" t="s">
        <v>1416</v>
      </c>
      <c r="M19" s="16" t="s">
        <v>1532</v>
      </c>
      <c r="N19" s="16" t="s">
        <v>1462</v>
      </c>
      <c r="O19" s="16" t="s">
        <v>1490</v>
      </c>
      <c r="P19" s="16" t="s">
        <v>1519</v>
      </c>
      <c r="Q19" s="1" t="str">
        <f t="shared" si="1"/>
        <v>a) a) The attempts of monks to leave Tibet</v>
      </c>
      <c r="R19" s="21"/>
    </row>
    <row r="20" spans="1:24" ht="65.25" customHeight="1" x14ac:dyDescent="0.25">
      <c r="A20" s="16"/>
      <c r="B20" s="16"/>
      <c r="C20" s="16"/>
      <c r="D20" s="16"/>
      <c r="E20" s="16">
        <v>18</v>
      </c>
      <c r="F20" s="16" t="s">
        <v>1387</v>
      </c>
      <c r="G20" s="16" t="s">
        <v>1415</v>
      </c>
      <c r="H20" s="16" t="s">
        <v>1434</v>
      </c>
      <c r="I20" s="16" t="s">
        <v>1453</v>
      </c>
      <c r="J20" s="16" t="s">
        <v>1480</v>
      </c>
      <c r="K20" s="16" t="s">
        <v>1509</v>
      </c>
      <c r="L20" s="16" t="s">
        <v>1417</v>
      </c>
      <c r="M20" s="16" t="s">
        <v>1533</v>
      </c>
      <c r="N20" s="16" t="s">
        <v>1463</v>
      </c>
      <c r="O20" s="16" t="s">
        <v>1491</v>
      </c>
      <c r="P20" s="16" t="s">
        <v>1520</v>
      </c>
      <c r="Q20" s="1" t="str">
        <f t="shared" si="1"/>
        <v>a) a) Was found to have disrupted utility companies’ computer systems.</v>
      </c>
      <c r="R20" s="21"/>
    </row>
    <row r="21" spans="1:24" ht="65.25" customHeight="1" x14ac:dyDescent="0.25">
      <c r="A21" s="16"/>
      <c r="B21" s="16"/>
      <c r="C21" s="16"/>
      <c r="D21" s="16"/>
      <c r="E21" s="16"/>
      <c r="F21" s="16"/>
      <c r="G21" s="16"/>
      <c r="H21" s="16"/>
      <c r="I21" s="16"/>
      <c r="J21" s="16"/>
      <c r="K21" s="16"/>
      <c r="L21" s="16"/>
      <c r="M21" s="16"/>
      <c r="N21" s="16"/>
      <c r="O21" s="16"/>
      <c r="P21" s="16"/>
      <c r="R21" s="21"/>
    </row>
    <row r="22" spans="1:24" ht="65.25" customHeight="1" x14ac:dyDescent="0.25">
      <c r="A22" s="17"/>
      <c r="B22" s="17"/>
      <c r="C22" s="17">
        <v>2</v>
      </c>
      <c r="D22" s="17" t="s">
        <v>35</v>
      </c>
      <c r="E22" s="17">
        <v>1</v>
      </c>
      <c r="F22" s="17" t="s">
        <v>1761</v>
      </c>
      <c r="G22" s="17" t="s">
        <v>276</v>
      </c>
      <c r="H22" s="17" t="s">
        <v>277</v>
      </c>
      <c r="I22" s="17" t="s">
        <v>278</v>
      </c>
      <c r="J22" s="17" t="s">
        <v>279</v>
      </c>
      <c r="K22" s="17" t="s">
        <v>36</v>
      </c>
      <c r="L22" s="17" t="s">
        <v>37</v>
      </c>
      <c r="M22" s="17" t="s">
        <v>280</v>
      </c>
      <c r="N22" s="17" t="s">
        <v>281</v>
      </c>
      <c r="O22" s="17" t="s">
        <v>282</v>
      </c>
      <c r="P22" s="17" t="s">
        <v>283</v>
      </c>
    </row>
    <row r="23" spans="1:24" ht="65.25" customHeight="1" x14ac:dyDescent="0.25">
      <c r="A23" s="17"/>
      <c r="B23" s="17"/>
      <c r="C23" s="17"/>
      <c r="D23" s="17" t="s">
        <v>2108</v>
      </c>
      <c r="E23" s="17">
        <v>2</v>
      </c>
      <c r="F23" s="17" t="s">
        <v>284</v>
      </c>
      <c r="G23" s="17" t="s">
        <v>285</v>
      </c>
      <c r="H23" s="17" t="s">
        <v>286</v>
      </c>
      <c r="I23" s="17" t="s">
        <v>287</v>
      </c>
      <c r="J23" s="17" t="s">
        <v>288</v>
      </c>
      <c r="K23" s="17" t="s">
        <v>289</v>
      </c>
      <c r="L23" s="17" t="s">
        <v>38</v>
      </c>
      <c r="M23" s="17" t="s">
        <v>290</v>
      </c>
      <c r="N23" s="17" t="s">
        <v>291</v>
      </c>
      <c r="O23" s="17" t="s">
        <v>292</v>
      </c>
      <c r="P23" s="17" t="s">
        <v>293</v>
      </c>
    </row>
    <row r="24" spans="1:24" ht="65.25" customHeight="1" x14ac:dyDescent="0.25">
      <c r="A24" s="17"/>
      <c r="B24" s="17"/>
      <c r="C24" s="17"/>
      <c r="D24" s="17" t="s">
        <v>359</v>
      </c>
      <c r="E24" s="17">
        <v>3</v>
      </c>
      <c r="F24" s="17" t="s">
        <v>1762</v>
      </c>
      <c r="G24" s="17" t="s">
        <v>39</v>
      </c>
      <c r="H24" s="17" t="s">
        <v>294</v>
      </c>
      <c r="I24" s="17" t="s">
        <v>295</v>
      </c>
      <c r="J24" s="17" t="s">
        <v>1781</v>
      </c>
      <c r="K24" s="17" t="s">
        <v>296</v>
      </c>
      <c r="L24" s="17" t="s">
        <v>40</v>
      </c>
      <c r="M24" s="17" t="s">
        <v>297</v>
      </c>
      <c r="N24" s="17" t="s">
        <v>298</v>
      </c>
      <c r="O24" s="17" t="s">
        <v>299</v>
      </c>
      <c r="P24" s="17" t="s">
        <v>300</v>
      </c>
    </row>
    <row r="25" spans="1:24" ht="65.25" customHeight="1" x14ac:dyDescent="0.25">
      <c r="A25" s="17"/>
      <c r="B25" s="17"/>
      <c r="C25" s="17"/>
      <c r="D25" s="17"/>
      <c r="E25" s="17">
        <v>4</v>
      </c>
      <c r="F25" s="17" t="s">
        <v>301</v>
      </c>
      <c r="G25" s="17" t="s">
        <v>41</v>
      </c>
      <c r="H25" s="17" t="s">
        <v>302</v>
      </c>
      <c r="I25" s="17" t="s">
        <v>303</v>
      </c>
      <c r="J25" s="17" t="s">
        <v>304</v>
      </c>
      <c r="K25" s="17" t="s">
        <v>305</v>
      </c>
      <c r="L25" s="17" t="s">
        <v>42</v>
      </c>
      <c r="M25" s="17" t="s">
        <v>306</v>
      </c>
      <c r="N25" s="17" t="s">
        <v>307</v>
      </c>
      <c r="O25" s="17" t="s">
        <v>308</v>
      </c>
      <c r="P25" s="17" t="s">
        <v>309</v>
      </c>
    </row>
    <row r="26" spans="1:24" ht="65.25" customHeight="1" x14ac:dyDescent="0.25">
      <c r="A26" s="17"/>
      <c r="B26" s="17"/>
      <c r="C26" s="17"/>
      <c r="D26" s="17"/>
      <c r="E26" s="17">
        <v>5</v>
      </c>
      <c r="F26" s="17" t="s">
        <v>310</v>
      </c>
      <c r="G26" s="17" t="s">
        <v>43</v>
      </c>
      <c r="H26" s="17" t="s">
        <v>311</v>
      </c>
      <c r="I26" s="17" t="s">
        <v>312</v>
      </c>
      <c r="J26" s="17" t="s">
        <v>313</v>
      </c>
      <c r="K26" s="17" t="s">
        <v>314</v>
      </c>
      <c r="L26" s="17" t="s">
        <v>44</v>
      </c>
      <c r="M26" s="17" t="s">
        <v>315</v>
      </c>
      <c r="N26" s="17" t="s">
        <v>316</v>
      </c>
      <c r="O26" s="17" t="s">
        <v>317</v>
      </c>
      <c r="P26" s="17" t="s">
        <v>318</v>
      </c>
    </row>
    <row r="27" spans="1:24" ht="65.25" customHeight="1" x14ac:dyDescent="0.25">
      <c r="A27" s="17"/>
      <c r="B27" s="17"/>
      <c r="C27" s="17"/>
      <c r="D27" s="17"/>
      <c r="E27" s="17">
        <v>6</v>
      </c>
      <c r="F27" s="17" t="s">
        <v>319</v>
      </c>
      <c r="G27" s="17" t="s">
        <v>45</v>
      </c>
      <c r="H27" s="17" t="s">
        <v>1782</v>
      </c>
      <c r="I27" s="17" t="s">
        <v>320</v>
      </c>
      <c r="J27" s="17" t="s">
        <v>321</v>
      </c>
      <c r="K27" s="17" t="s">
        <v>322</v>
      </c>
      <c r="L27" s="17" t="s">
        <v>46</v>
      </c>
      <c r="M27" s="17" t="s">
        <v>323</v>
      </c>
      <c r="N27" s="17" t="s">
        <v>324</v>
      </c>
      <c r="O27" s="17" t="s">
        <v>325</v>
      </c>
      <c r="P27" s="17" t="s">
        <v>326</v>
      </c>
    </row>
    <row r="28" spans="1:24" ht="65.25" customHeight="1" x14ac:dyDescent="0.25">
      <c r="A28" s="17"/>
      <c r="B28" s="17"/>
      <c r="C28" s="17"/>
      <c r="D28" s="17"/>
      <c r="E28" s="17">
        <v>7</v>
      </c>
      <c r="F28" s="17" t="s">
        <v>429</v>
      </c>
      <c r="G28" s="17" t="s">
        <v>47</v>
      </c>
      <c r="H28" s="17" t="s">
        <v>327</v>
      </c>
      <c r="I28" s="17" t="s">
        <v>328</v>
      </c>
      <c r="J28" s="17" t="s">
        <v>329</v>
      </c>
      <c r="K28" s="17" t="s">
        <v>330</v>
      </c>
      <c r="L28" s="17" t="s">
        <v>48</v>
      </c>
      <c r="M28" s="17" t="s">
        <v>331</v>
      </c>
      <c r="N28" s="17" t="s">
        <v>332</v>
      </c>
      <c r="O28" s="17" t="s">
        <v>333</v>
      </c>
      <c r="P28" s="17" t="s">
        <v>334</v>
      </c>
    </row>
    <row r="29" spans="1:24" ht="65.25" customHeight="1" x14ac:dyDescent="0.25">
      <c r="A29" s="17"/>
      <c r="B29" s="17"/>
      <c r="C29" s="17"/>
      <c r="D29" s="17"/>
      <c r="E29" s="17">
        <v>8</v>
      </c>
      <c r="F29" s="17" t="s">
        <v>1763</v>
      </c>
      <c r="G29" s="17" t="s">
        <v>1770</v>
      </c>
      <c r="H29" s="17" t="s">
        <v>335</v>
      </c>
      <c r="I29" s="17" t="s">
        <v>336</v>
      </c>
      <c r="J29" s="17" t="s">
        <v>337</v>
      </c>
      <c r="K29" s="17" t="s">
        <v>338</v>
      </c>
      <c r="L29" s="17" t="s">
        <v>49</v>
      </c>
      <c r="M29" s="17" t="s">
        <v>339</v>
      </c>
      <c r="N29" s="17" t="s">
        <v>340</v>
      </c>
      <c r="O29" s="17" t="s">
        <v>341</v>
      </c>
      <c r="P29" s="17" t="s">
        <v>342</v>
      </c>
    </row>
    <row r="30" spans="1:24" ht="65.25" customHeight="1" x14ac:dyDescent="0.25">
      <c r="A30" s="17"/>
      <c r="B30" s="17"/>
      <c r="C30" s="17"/>
      <c r="D30" s="17"/>
      <c r="E30" s="17">
        <v>9</v>
      </c>
      <c r="F30" s="17" t="s">
        <v>1764</v>
      </c>
      <c r="G30" s="17" t="s">
        <v>50</v>
      </c>
      <c r="H30" s="17" t="s">
        <v>343</v>
      </c>
      <c r="I30" s="17" t="s">
        <v>344</v>
      </c>
      <c r="J30" s="17" t="s">
        <v>345</v>
      </c>
      <c r="K30" s="17" t="s">
        <v>346</v>
      </c>
      <c r="L30" s="17" t="s">
        <v>51</v>
      </c>
      <c r="M30" s="17" t="s">
        <v>347</v>
      </c>
      <c r="N30" s="17" t="s">
        <v>348</v>
      </c>
      <c r="O30" s="17" t="s">
        <v>349</v>
      </c>
      <c r="P30" s="17" t="s">
        <v>350</v>
      </c>
    </row>
    <row r="31" spans="1:24" ht="65.25" customHeight="1" x14ac:dyDescent="0.25">
      <c r="A31" s="17"/>
      <c r="B31" s="17"/>
      <c r="C31" s="17"/>
      <c r="D31" s="17"/>
      <c r="E31" s="17">
        <v>10</v>
      </c>
      <c r="F31" s="17" t="s">
        <v>351</v>
      </c>
      <c r="G31" s="17" t="s">
        <v>52</v>
      </c>
      <c r="H31" s="17" t="s">
        <v>352</v>
      </c>
      <c r="I31" s="17" t="s">
        <v>353</v>
      </c>
      <c r="J31" s="17" t="s">
        <v>354</v>
      </c>
      <c r="K31" s="17" t="s">
        <v>355</v>
      </c>
      <c r="L31" s="17" t="s">
        <v>53</v>
      </c>
      <c r="M31" s="17" t="s">
        <v>356</v>
      </c>
      <c r="N31" s="17" t="s">
        <v>357</v>
      </c>
      <c r="O31" s="17" t="s">
        <v>1783</v>
      </c>
      <c r="P31" s="17" t="s">
        <v>358</v>
      </c>
    </row>
    <row r="32" spans="1:24" ht="65.25" customHeight="1" x14ac:dyDescent="0.25">
      <c r="A32" s="17"/>
      <c r="B32" s="17"/>
      <c r="C32" s="17"/>
      <c r="D32" s="17"/>
      <c r="E32" s="17">
        <v>11</v>
      </c>
      <c r="F32" s="17" t="s">
        <v>1765</v>
      </c>
      <c r="G32" s="17" t="s">
        <v>1771</v>
      </c>
      <c r="H32" s="17" t="s">
        <v>1784</v>
      </c>
      <c r="I32" s="17" t="s">
        <v>1785</v>
      </c>
      <c r="J32" s="17" t="s">
        <v>1786</v>
      </c>
      <c r="K32" s="17" t="s">
        <v>1787</v>
      </c>
      <c r="L32" s="17" t="s">
        <v>1776</v>
      </c>
      <c r="M32" s="17" t="s">
        <v>1804</v>
      </c>
      <c r="N32" s="17" t="s">
        <v>1805</v>
      </c>
      <c r="O32" s="17" t="s">
        <v>1806</v>
      </c>
      <c r="P32" s="17" t="s">
        <v>1807</v>
      </c>
      <c r="Q32" s="1" t="str">
        <f>CONCATENATE("a) ",H32)</f>
        <v>a) a) They were worried about losing financial support</v>
      </c>
      <c r="R32" s="1" t="str">
        <f>CONCATENATE("b) ",I32)</f>
        <v>b) b) They were worried about escalating gang violence</v>
      </c>
      <c r="S32" s="1" t="str">
        <f>CONCATENATE("c) ",J32)</f>
        <v>c) c) They are opposed to the federal government</v>
      </c>
      <c r="T32" s="1" t="str">
        <f>CONCATENATE("d) ",K32)</f>
        <v>d) d) They are active in the “war on drugs.”</v>
      </c>
      <c r="U32" s="1" t="str">
        <f>CONCATENATE("a) ",M32)</f>
        <v>a) a) The resolution that was passed called for the legalization of cannibas in the US</v>
      </c>
      <c r="V32" s="1" t="str">
        <f>CONCATENATE("b) ",N32)</f>
        <v>b) b) A presidential summit on the drug war was held</v>
      </c>
      <c r="W32" s="1" t="str">
        <f>CONCATENATE("c) ",O32)</f>
        <v>c) c) If cannibas were legalized in the US, drug dealers would lose money</v>
      </c>
      <c r="X32" s="1" t="str">
        <f>CONCATENATE("d) ",P32)</f>
        <v>d) d) If cannibas were legalized in the US, the war on drugs would become more dangerous</v>
      </c>
    </row>
    <row r="33" spans="1:24" ht="65.25" customHeight="1" x14ac:dyDescent="0.25">
      <c r="A33" s="17"/>
      <c r="B33" s="17"/>
      <c r="C33" s="17"/>
      <c r="D33" s="17"/>
      <c r="E33" s="17">
        <v>12</v>
      </c>
      <c r="F33" s="17" t="s">
        <v>1766</v>
      </c>
      <c r="G33" s="17" t="s">
        <v>1772</v>
      </c>
      <c r="H33" s="17" t="s">
        <v>1788</v>
      </c>
      <c r="I33" s="17" t="s">
        <v>1789</v>
      </c>
      <c r="J33" s="17" t="s">
        <v>1790</v>
      </c>
      <c r="K33" s="17" t="s">
        <v>1791</v>
      </c>
      <c r="L33" s="17" t="s">
        <v>1777</v>
      </c>
      <c r="M33" s="17" t="s">
        <v>1808</v>
      </c>
      <c r="N33" s="17" t="s">
        <v>1809</v>
      </c>
      <c r="O33" s="17" t="s">
        <v>1810</v>
      </c>
      <c r="P33" s="17" t="s">
        <v>1811</v>
      </c>
      <c r="Q33" s="1" t="str">
        <f t="shared" ref="Q33:Q36" si="2">CONCATENATE("a) ",H33)</f>
        <v>a) a) The audience enjoyed Rodolfo Gregorio’s version of “My Prayer.”</v>
      </c>
      <c r="R33" s="1" t="str">
        <f t="shared" ref="R33:R36" si="3">CONCATENATE("b) ",I33)</f>
        <v>b) b) No-one listened to Rodolfo Gregorio singing “My Prayer.”</v>
      </c>
      <c r="S33" s="1" t="str">
        <f t="shared" ref="S33:S36" si="4">CONCATENATE("c) ",J33)</f>
        <v>c) c) Rodolfo Gregorio is not a good singer</v>
      </c>
      <c r="T33" s="1" t="str">
        <f t="shared" ref="T33:T36" si="5">CONCATENATE("d) ",K33)</f>
        <v>d) d) There was no-one in the room when Rodolfo Gregorio sang “My Prayer.”</v>
      </c>
      <c r="U33" s="1" t="str">
        <f t="shared" ref="U33:U36" si="6">CONCATENATE("a) ",M33)</f>
        <v>a) a) Frank Sinatra is not popular in the Philippines</v>
      </c>
      <c r="V33" s="1" t="str">
        <f t="shared" ref="V33:V36" si="7">CONCATENATE("b) ",N33)</f>
        <v>b) b) Frank Sinatra has performed in the Philippines</v>
      </c>
      <c r="W33" s="1" t="str">
        <f t="shared" ref="W33:W36" si="8">CONCATENATE("c) ",O33)</f>
        <v>c) c) A lot of Filipino karaoke bars don’t feature “My Way” anymore</v>
      </c>
      <c r="X33" s="1" t="str">
        <f t="shared" ref="X33:X36" si="9">CONCATENATE("d) ",P33)</f>
        <v>d) d) A lot of Filipino Karaoke bars widely feature “My Way.”</v>
      </c>
    </row>
    <row r="34" spans="1:24" ht="65.25" customHeight="1" x14ac:dyDescent="0.25">
      <c r="A34" s="17"/>
      <c r="B34" s="17"/>
      <c r="C34" s="17"/>
      <c r="D34" s="17"/>
      <c r="E34" s="17">
        <v>13</v>
      </c>
      <c r="F34" s="17" t="s">
        <v>1767</v>
      </c>
      <c r="G34" s="17" t="s">
        <v>1773</v>
      </c>
      <c r="H34" s="17" t="s">
        <v>1792</v>
      </c>
      <c r="I34" s="17" t="s">
        <v>1793</v>
      </c>
      <c r="J34" s="17" t="s">
        <v>1794</v>
      </c>
      <c r="K34" s="17" t="s">
        <v>1795</v>
      </c>
      <c r="L34" s="17" t="s">
        <v>1778</v>
      </c>
      <c r="M34" s="17" t="s">
        <v>1812</v>
      </c>
      <c r="N34" s="17" t="s">
        <v>1813</v>
      </c>
      <c r="O34" s="17" t="s">
        <v>1814</v>
      </c>
      <c r="P34" s="17" t="s">
        <v>1815</v>
      </c>
      <c r="Q34" s="1" t="str">
        <f t="shared" si="2"/>
        <v>a) a) Can see the benefits of the satellite mapping scheme</v>
      </c>
      <c r="R34" s="1" t="str">
        <f t="shared" si="3"/>
        <v>b) b) Are worried they will have to leave their homes</v>
      </c>
      <c r="S34" s="1" t="str">
        <f t="shared" si="4"/>
        <v>c) c) All work as cleaners</v>
      </c>
      <c r="T34" s="1" t="str">
        <f t="shared" si="5"/>
        <v>d) d) Practice recycling</v>
      </c>
      <c r="U34" s="1" t="str">
        <f t="shared" si="6"/>
        <v>a) a) Sprang up spontaneously</v>
      </c>
      <c r="V34" s="1" t="str">
        <f t="shared" si="7"/>
        <v>b) b) Have managed to get the criminal element under control</v>
      </c>
      <c r="W34" s="1" t="str">
        <f t="shared" si="8"/>
        <v>c) c) Are developing basic services and facilities</v>
      </c>
      <c r="X34" s="1" t="str">
        <f t="shared" si="9"/>
        <v>d) d) Are providing new employment opportunities</v>
      </c>
    </row>
    <row r="35" spans="1:24" ht="65.25" customHeight="1" x14ac:dyDescent="0.25">
      <c r="A35" s="17"/>
      <c r="B35" s="17"/>
      <c r="C35" s="17"/>
      <c r="D35" s="17"/>
      <c r="E35" s="17">
        <v>14</v>
      </c>
      <c r="F35" s="17" t="s">
        <v>1768</v>
      </c>
      <c r="G35" s="17" t="s">
        <v>1774</v>
      </c>
      <c r="H35" s="17" t="s">
        <v>1796</v>
      </c>
      <c r="I35" s="17" t="s">
        <v>1797</v>
      </c>
      <c r="J35" s="17" t="s">
        <v>1798</v>
      </c>
      <c r="K35" s="17" t="s">
        <v>1799</v>
      </c>
      <c r="L35" s="17" t="s">
        <v>1779</v>
      </c>
      <c r="M35" s="17" t="s">
        <v>1816</v>
      </c>
      <c r="N35" s="17" t="s">
        <v>1817</v>
      </c>
      <c r="O35" s="17" t="s">
        <v>1818</v>
      </c>
      <c r="P35" s="17" t="s">
        <v>1819</v>
      </c>
      <c r="Q35" s="1" t="str">
        <f t="shared" si="2"/>
        <v>a) a) Globalization has been the solution to the world’s ills</v>
      </c>
      <c r="R35" s="1" t="str">
        <f t="shared" si="3"/>
        <v>b) b) Nationalism is disappearing</v>
      </c>
      <c r="S35" s="1" t="str">
        <f t="shared" si="4"/>
        <v>c) c) Tribalists have a tendency to be prejudiced</v>
      </c>
      <c r="T35" s="1" t="str">
        <f t="shared" si="5"/>
        <v>d) d) Democracy is due to the collapse of communism</v>
      </c>
      <c r="U35" s="1" t="str">
        <f t="shared" si="6"/>
        <v>a) a) That South Africa has become a Utopia</v>
      </c>
      <c r="V35" s="1" t="str">
        <f t="shared" si="7"/>
        <v>b) b) That South Africa has become more corrupt</v>
      </c>
      <c r="W35" s="1" t="str">
        <f t="shared" si="8"/>
        <v>c) c) That South Africa no longer has tribes</v>
      </c>
      <c r="X35" s="1" t="str">
        <f t="shared" si="9"/>
        <v>d) d) That humanity has renewed hope</v>
      </c>
    </row>
    <row r="36" spans="1:24" ht="65.25" customHeight="1" x14ac:dyDescent="0.25">
      <c r="A36" s="17"/>
      <c r="B36" s="17"/>
      <c r="C36" s="17"/>
      <c r="D36" s="17"/>
      <c r="E36" s="17">
        <v>15</v>
      </c>
      <c r="F36" s="17" t="s">
        <v>1769</v>
      </c>
      <c r="G36" s="17" t="s">
        <v>1775</v>
      </c>
      <c r="H36" s="17" t="s">
        <v>1800</v>
      </c>
      <c r="I36" s="17" t="s">
        <v>1801</v>
      </c>
      <c r="J36" s="17" t="s">
        <v>1802</v>
      </c>
      <c r="K36" s="17" t="s">
        <v>1803</v>
      </c>
      <c r="L36" s="17" t="s">
        <v>1780</v>
      </c>
      <c r="M36" s="17" t="s">
        <v>1820</v>
      </c>
      <c r="N36" s="17" t="s">
        <v>1821</v>
      </c>
      <c r="O36" s="17" t="s">
        <v>1822</v>
      </c>
      <c r="P36" s="17" t="s">
        <v>1823</v>
      </c>
      <c r="Q36" s="1" t="str">
        <f t="shared" si="2"/>
        <v>a) a) Has an emergency supply of food in her home</v>
      </c>
      <c r="R36" s="1" t="str">
        <f t="shared" si="3"/>
        <v>b) b) Believes a disaster is imminent.</v>
      </c>
      <c r="S36" s="1" t="str">
        <f t="shared" si="4"/>
        <v>c) c) Has taken up hunting</v>
      </c>
      <c r="T36" s="1" t="str">
        <f t="shared" si="5"/>
        <v>d) d) Is planning to leave her suburban home</v>
      </c>
      <c r="U36" s="1" t="str">
        <f t="shared" si="6"/>
        <v>a) a) ‘Preppers’ are usually military people</v>
      </c>
      <c r="V36" s="1" t="str">
        <f t="shared" si="7"/>
        <v>b) b) ‘Prepping’ began in response to the 9/11 terrorist attacks</v>
      </c>
      <c r="W36" s="1" t="str">
        <f t="shared" si="8"/>
        <v>c) c) ‘Preppers’ usually live in remote locations</v>
      </c>
      <c r="X36" s="1" t="str">
        <f t="shared" si="9"/>
        <v>d) d) Many Americans fear further terrorist attacks</v>
      </c>
    </row>
    <row r="37" spans="1:24" ht="65.25" customHeight="1" x14ac:dyDescent="0.25">
      <c r="A37" s="17"/>
      <c r="B37" s="17"/>
      <c r="C37" s="17"/>
      <c r="D37" s="17"/>
      <c r="E37" s="17"/>
      <c r="F37" s="17"/>
      <c r="G37" s="17"/>
      <c r="H37" s="17"/>
      <c r="I37" s="17"/>
      <c r="J37" s="17"/>
      <c r="K37" s="17"/>
      <c r="L37" s="17"/>
      <c r="M37" s="17"/>
      <c r="N37" s="17"/>
      <c r="O37" s="17"/>
      <c r="P37" s="17"/>
    </row>
    <row r="38" spans="1:24" ht="65.25" customHeight="1" x14ac:dyDescent="0.25">
      <c r="A38" s="18"/>
      <c r="B38" s="18"/>
      <c r="C38" s="18">
        <v>3</v>
      </c>
      <c r="D38" s="18" t="s">
        <v>153</v>
      </c>
      <c r="E38" s="18">
        <v>1</v>
      </c>
      <c r="F38" s="18" t="s">
        <v>1556</v>
      </c>
      <c r="G38" s="18" t="s">
        <v>1615</v>
      </c>
      <c r="H38" s="18" t="s">
        <v>1590</v>
      </c>
      <c r="I38" s="18" t="s">
        <v>2171</v>
      </c>
      <c r="J38" s="18" t="s">
        <v>2204</v>
      </c>
      <c r="K38" s="18" t="s">
        <v>1581</v>
      </c>
      <c r="L38" s="18" t="s">
        <v>1616</v>
      </c>
      <c r="M38" s="18" t="s">
        <v>2193</v>
      </c>
      <c r="N38" s="18" t="s">
        <v>521</v>
      </c>
      <c r="O38" s="18" t="s">
        <v>2187</v>
      </c>
      <c r="P38" s="18" t="s">
        <v>1572</v>
      </c>
      <c r="R38" s="1" t="str">
        <f>CONCATENATE("b) ",J38)</f>
        <v>b) c) People who are shown to be prone to illness find it difficult to obtain health insurance</v>
      </c>
      <c r="S38" s="1" t="str">
        <f>CONCATENATE("b) ",N38)</f>
        <v>b) b) Dealing with legal issues can prove costly for doctors</v>
      </c>
      <c r="T38" s="1" t="str">
        <f>CONCATENATE("c) ",O38)</f>
        <v>c) c) Medicare costs have recently dwindled</v>
      </c>
    </row>
    <row r="39" spans="1:24" ht="65.25" customHeight="1" x14ac:dyDescent="0.25">
      <c r="A39" s="18"/>
      <c r="B39" s="18"/>
      <c r="C39" s="18"/>
      <c r="D39" s="18" t="s">
        <v>2108</v>
      </c>
      <c r="E39" s="18">
        <v>2</v>
      </c>
      <c r="F39" s="18" t="s">
        <v>1557</v>
      </c>
      <c r="G39" s="18" t="s">
        <v>1617</v>
      </c>
      <c r="H39" s="18" t="s">
        <v>492</v>
      </c>
      <c r="I39" s="18" t="s">
        <v>2172</v>
      </c>
      <c r="J39" s="18" t="s">
        <v>2205</v>
      </c>
      <c r="K39" s="18" t="s">
        <v>493</v>
      </c>
      <c r="L39" s="18" t="s">
        <v>1618</v>
      </c>
      <c r="M39" s="18" t="s">
        <v>2194</v>
      </c>
      <c r="N39" s="18" t="s">
        <v>1601</v>
      </c>
      <c r="O39" s="18" t="s">
        <v>494</v>
      </c>
      <c r="P39" s="18" t="s">
        <v>495</v>
      </c>
      <c r="Q39" s="1" t="str">
        <f t="shared" ref="Q39:Q53" si="10">CONCATENATE("c) ",I39)</f>
        <v>c) b) He is influenced by an overactive imagination</v>
      </c>
      <c r="R39" s="1" t="str">
        <f t="shared" ref="R39:R53" si="11">CONCATENATE("b) ",J39)</f>
        <v>b) c) He doesn’t remember his violent dreams</v>
      </c>
      <c r="S39" s="1" t="str">
        <f t="shared" ref="S39:S53" si="12">CONCATENATE("b) ",N39)</f>
        <v>b) b) Been absolved of committing crimes while sleepwalking</v>
      </c>
      <c r="T39" s="1" t="str">
        <f t="shared" ref="T39:T53" si="13">CONCATENATE("c) ",O39)</f>
        <v>c) c) Pretended to be asleep while committing a crime</v>
      </c>
    </row>
    <row r="40" spans="1:24" ht="65.25" customHeight="1" x14ac:dyDescent="0.25">
      <c r="A40" s="18"/>
      <c r="B40" s="18"/>
      <c r="C40" s="18"/>
      <c r="D40" s="18" t="s">
        <v>359</v>
      </c>
      <c r="E40" s="18">
        <v>3</v>
      </c>
      <c r="F40" s="18" t="s">
        <v>1558</v>
      </c>
      <c r="G40" s="18" t="s">
        <v>1619</v>
      </c>
      <c r="H40" s="18" t="s">
        <v>496</v>
      </c>
      <c r="I40" s="18" t="s">
        <v>2173</v>
      </c>
      <c r="J40" s="18" t="s">
        <v>2206</v>
      </c>
      <c r="K40" s="18" t="s">
        <v>497</v>
      </c>
      <c r="L40" s="18" t="s">
        <v>1620</v>
      </c>
      <c r="M40" s="18" t="s">
        <v>2195</v>
      </c>
      <c r="N40" s="18" t="s">
        <v>498</v>
      </c>
      <c r="O40" s="18" t="s">
        <v>499</v>
      </c>
      <c r="P40" s="18" t="s">
        <v>500</v>
      </c>
      <c r="Q40" s="1" t="str">
        <f t="shared" si="10"/>
        <v>c) b) Is typically Bolivian</v>
      </c>
      <c r="R40" s="1" t="str">
        <f t="shared" si="11"/>
        <v>b) c) Differs from his fellow countrymen regarding promptness</v>
      </c>
      <c r="S40" s="1" t="str">
        <f t="shared" si="12"/>
        <v>b) b) Penalize Bolivians who arrive late for work</v>
      </c>
      <c r="T40" s="1" t="str">
        <f t="shared" si="13"/>
        <v>c) c) Change the national habit of arriving late in many different circumstances</v>
      </c>
    </row>
    <row r="41" spans="1:24" ht="65.25" customHeight="1" x14ac:dyDescent="0.25">
      <c r="A41" s="18"/>
      <c r="B41" s="18"/>
      <c r="C41" s="18"/>
      <c r="D41" s="18"/>
      <c r="E41" s="18">
        <v>4</v>
      </c>
      <c r="F41" s="18" t="s">
        <v>1559</v>
      </c>
      <c r="G41" s="18" t="s">
        <v>1621</v>
      </c>
      <c r="H41" s="18" t="s">
        <v>501</v>
      </c>
      <c r="I41" s="18" t="s">
        <v>2174</v>
      </c>
      <c r="J41" s="18" t="s">
        <v>2207</v>
      </c>
      <c r="K41" s="18" t="s">
        <v>502</v>
      </c>
      <c r="L41" s="18" t="s">
        <v>1622</v>
      </c>
      <c r="M41" s="18" t="s">
        <v>2196</v>
      </c>
      <c r="N41" s="18" t="s">
        <v>505</v>
      </c>
      <c r="O41" s="18" t="s">
        <v>503</v>
      </c>
      <c r="P41" s="18" t="s">
        <v>504</v>
      </c>
      <c r="Q41" s="1" t="str">
        <f t="shared" si="10"/>
        <v>c) b) Approve the use of proper nouns in Scrabble</v>
      </c>
      <c r="R41" s="1" t="str">
        <f t="shared" si="11"/>
        <v>b) c) Eliminate the use of proper nouns in Scrabble</v>
      </c>
      <c r="S41" s="1" t="str">
        <f t="shared" si="12"/>
        <v>b) b) Scrabble will appeal more to intellectual fans</v>
      </c>
      <c r="T41" s="1" t="str">
        <f t="shared" si="13"/>
        <v>c) c) Scrabble will become more difficult</v>
      </c>
    </row>
    <row r="42" spans="1:24" ht="65.25" customHeight="1" x14ac:dyDescent="0.25">
      <c r="A42" s="18"/>
      <c r="B42" s="18"/>
      <c r="C42" s="18"/>
      <c r="D42" s="18"/>
      <c r="E42" s="18">
        <v>5</v>
      </c>
      <c r="F42" s="18" t="s">
        <v>1560</v>
      </c>
      <c r="G42" s="18" t="s">
        <v>1623</v>
      </c>
      <c r="H42" s="18" t="s">
        <v>506</v>
      </c>
      <c r="I42" s="18" t="s">
        <v>2175</v>
      </c>
      <c r="J42" s="18" t="s">
        <v>2208</v>
      </c>
      <c r="K42" s="18" t="s">
        <v>507</v>
      </c>
      <c r="L42" s="18" t="s">
        <v>1624</v>
      </c>
      <c r="M42" s="18" t="s">
        <v>2197</v>
      </c>
      <c r="N42" s="18" t="s">
        <v>1602</v>
      </c>
      <c r="O42" s="18" t="s">
        <v>508</v>
      </c>
      <c r="P42" s="18" t="s">
        <v>1573</v>
      </c>
      <c r="Q42" s="1" t="str">
        <f t="shared" si="10"/>
        <v>c) b) Cynical</v>
      </c>
      <c r="R42" s="1" t="str">
        <f t="shared" si="11"/>
        <v>b) c) Pessimistic</v>
      </c>
      <c r="S42" s="1" t="str">
        <f t="shared" si="12"/>
        <v>b) b) Emulate the British tradition of publishing April Fools’ Day jokes in the press</v>
      </c>
      <c r="T42" s="1" t="str">
        <f t="shared" si="13"/>
        <v>c) c) Replace the mayor of Jafr</v>
      </c>
    </row>
    <row r="43" spans="1:24" ht="65.25" customHeight="1" x14ac:dyDescent="0.25">
      <c r="A43" s="18"/>
      <c r="B43" s="18"/>
      <c r="C43" s="18"/>
      <c r="D43" s="18"/>
      <c r="E43" s="18">
        <v>6</v>
      </c>
      <c r="F43" s="18" t="s">
        <v>1561</v>
      </c>
      <c r="G43" s="18" t="s">
        <v>1625</v>
      </c>
      <c r="H43" s="18" t="s">
        <v>1591</v>
      </c>
      <c r="I43" s="18" t="s">
        <v>2176</v>
      </c>
      <c r="J43" s="18" t="s">
        <v>2209</v>
      </c>
      <c r="K43" s="18" t="s">
        <v>1582</v>
      </c>
      <c r="L43" s="18" t="s">
        <v>1626</v>
      </c>
      <c r="M43" s="18" t="s">
        <v>2198</v>
      </c>
      <c r="N43" s="18" t="s">
        <v>510</v>
      </c>
      <c r="O43" s="18" t="s">
        <v>509</v>
      </c>
      <c r="P43" s="18" t="s">
        <v>1574</v>
      </c>
      <c r="Q43" s="1" t="str">
        <f t="shared" si="10"/>
        <v>c) b) Bill Gates’ ideas have fallen behind the times</v>
      </c>
      <c r="R43" s="1" t="str">
        <f t="shared" si="11"/>
        <v>b) c) The ideals of environmentalists and those of Bill Gates diverge on the nuclear issue</v>
      </c>
      <c r="S43" s="1" t="str">
        <f t="shared" si="12"/>
        <v>b) b) Is certain that the micro-reactors will begin production in 2014</v>
      </c>
      <c r="T43" s="1" t="str">
        <f t="shared" si="13"/>
        <v>c) c) Will negotiate with Toshiba in 2014</v>
      </c>
    </row>
    <row r="44" spans="1:24" ht="65.25" customHeight="1" x14ac:dyDescent="0.25">
      <c r="A44" s="18"/>
      <c r="B44" s="18"/>
      <c r="C44" s="18"/>
      <c r="D44" s="18"/>
      <c r="E44" s="18">
        <v>7</v>
      </c>
      <c r="F44" s="18" t="s">
        <v>1562</v>
      </c>
      <c r="G44" s="18" t="s">
        <v>1627</v>
      </c>
      <c r="H44" s="18" t="s">
        <v>1592</v>
      </c>
      <c r="I44" s="18" t="s">
        <v>2177</v>
      </c>
      <c r="J44" s="18" t="s">
        <v>2210</v>
      </c>
      <c r="K44" s="18" t="s">
        <v>519</v>
      </c>
      <c r="L44" s="18" t="s">
        <v>1628</v>
      </c>
      <c r="M44" s="18" t="s">
        <v>2199</v>
      </c>
      <c r="N44" s="18" t="s">
        <v>1603</v>
      </c>
      <c r="O44" s="18" t="s">
        <v>1604</v>
      </c>
      <c r="P44" s="18" t="s">
        <v>1575</v>
      </c>
      <c r="Q44" s="1" t="str">
        <f t="shared" si="10"/>
        <v>c) b) There will be a downturn in the growth rate of the U.S. population</v>
      </c>
      <c r="R44" s="1" t="str">
        <f t="shared" si="11"/>
        <v>b) c) The U.S. population will be resourceful and youthful</v>
      </c>
      <c r="S44" s="1" t="str">
        <f t="shared" si="12"/>
        <v>b) b) The U.S. is experiencing a renewed growth as a result of its past</v>
      </c>
      <c r="T44" s="1" t="str">
        <f t="shared" si="13"/>
        <v>c) c) ) The U.S. will experience a decline in economic growth</v>
      </c>
    </row>
    <row r="45" spans="1:24" ht="65.25" customHeight="1" x14ac:dyDescent="0.25">
      <c r="A45" s="18"/>
      <c r="B45" s="18"/>
      <c r="C45" s="18"/>
      <c r="D45" s="18"/>
      <c r="E45" s="18">
        <v>8</v>
      </c>
      <c r="F45" s="18" t="s">
        <v>1563</v>
      </c>
      <c r="G45" s="18" t="s">
        <v>1629</v>
      </c>
      <c r="H45" s="18" t="s">
        <v>1593</v>
      </c>
      <c r="I45" s="18" t="s">
        <v>2178</v>
      </c>
      <c r="J45" s="18" t="s">
        <v>2211</v>
      </c>
      <c r="K45" s="18" t="s">
        <v>520</v>
      </c>
      <c r="L45" s="18" t="s">
        <v>1630</v>
      </c>
      <c r="M45" s="18" t="s">
        <v>2200</v>
      </c>
      <c r="N45" s="18" t="s">
        <v>511</v>
      </c>
      <c r="O45" s="18" t="s">
        <v>512</v>
      </c>
      <c r="P45" s="18" t="s">
        <v>513</v>
      </c>
      <c r="Q45" s="1" t="str">
        <f t="shared" si="10"/>
        <v>c) b) Judges have less power than previously to decide whether a noncitizen will be deported after committing a crime</v>
      </c>
      <c r="R45" s="1" t="str">
        <f t="shared" si="11"/>
        <v>b) c) It is difficult for immigrants to obtain correct legal advice</v>
      </c>
      <c r="S45" s="1" t="str">
        <f t="shared" si="12"/>
        <v>b) b) A scrutiny of the current justice system</v>
      </c>
      <c r="T45" s="1" t="str">
        <f t="shared" si="13"/>
        <v>c) c) The appearance of a number of similar cases</v>
      </c>
    </row>
    <row r="46" spans="1:24" ht="65.25" customHeight="1" x14ac:dyDescent="0.25">
      <c r="A46" s="18"/>
      <c r="B46" s="18"/>
      <c r="C46" s="18"/>
      <c r="D46" s="18"/>
      <c r="E46" s="18">
        <v>9</v>
      </c>
      <c r="F46" s="18" t="s">
        <v>1564</v>
      </c>
      <c r="G46" s="18" t="s">
        <v>1631</v>
      </c>
      <c r="H46" s="18" t="s">
        <v>514</v>
      </c>
      <c r="I46" s="18" t="s">
        <v>2179</v>
      </c>
      <c r="J46" s="18" t="s">
        <v>2212</v>
      </c>
      <c r="K46" s="18" t="s">
        <v>515</v>
      </c>
      <c r="L46" s="18" t="s">
        <v>1632</v>
      </c>
      <c r="M46" s="18" t="s">
        <v>2201</v>
      </c>
      <c r="N46" s="18" t="s">
        <v>516</v>
      </c>
      <c r="O46" s="18" t="s">
        <v>517</v>
      </c>
      <c r="P46" s="18" t="s">
        <v>518</v>
      </c>
      <c r="Q46" s="1" t="str">
        <f t="shared" si="10"/>
        <v>c) b) Dictatorships inspire creative talent</v>
      </c>
      <c r="R46" s="1" t="str">
        <f t="shared" si="11"/>
        <v>b) c) To say that dictatorships are good for artistic life is ridiculous.</v>
      </c>
      <c r="S46" s="1" t="str">
        <f t="shared" si="12"/>
        <v>b) b) The highest ideals of literature and art came from the Soviet Union</v>
      </c>
      <c r="T46" s="1" t="str">
        <f t="shared" si="13"/>
        <v>c) c) Abstract expressionism arose during the cold war</v>
      </c>
    </row>
    <row r="47" spans="1:24" ht="65.25" customHeight="1" x14ac:dyDescent="0.25">
      <c r="A47" s="18"/>
      <c r="B47" s="18"/>
      <c r="C47" s="18"/>
      <c r="D47" s="18"/>
      <c r="E47" s="18">
        <v>10</v>
      </c>
      <c r="F47" s="18" t="s">
        <v>1565</v>
      </c>
      <c r="G47" s="18" t="s">
        <v>1633</v>
      </c>
      <c r="H47" s="18" t="s">
        <v>1594</v>
      </c>
      <c r="I47" s="18" t="s">
        <v>2180</v>
      </c>
      <c r="J47" s="18" t="s">
        <v>2213</v>
      </c>
      <c r="K47" s="18" t="s">
        <v>1583</v>
      </c>
      <c r="L47" s="18" t="s">
        <v>1634</v>
      </c>
      <c r="M47" s="18" t="s">
        <v>2188</v>
      </c>
      <c r="N47" s="18" t="s">
        <v>1605</v>
      </c>
      <c r="O47" s="18" t="s">
        <v>1606</v>
      </c>
      <c r="P47" s="18" t="s">
        <v>1576</v>
      </c>
      <c r="Q47" s="1" t="str">
        <f t="shared" si="10"/>
        <v>c) b) The obesity problem in Malaysia is entirely due to the high number of fast-food restaurants</v>
      </c>
      <c r="R47" s="1" t="str">
        <f t="shared" si="11"/>
        <v>b) c) The obesity campaign was initiated by teachers</v>
      </c>
      <c r="S47" s="1" t="str">
        <f t="shared" si="12"/>
        <v>b) b) Note statistics on the weight of pupils</v>
      </c>
      <c r="T47" s="1" t="str">
        <f t="shared" si="13"/>
        <v>c) c) Start a campaign about the dangers of sugar</v>
      </c>
    </row>
    <row r="48" spans="1:24" ht="65.25" customHeight="1" x14ac:dyDescent="0.25">
      <c r="A48" s="18"/>
      <c r="B48" s="18"/>
      <c r="C48" s="18"/>
      <c r="D48" s="18"/>
      <c r="E48" s="18">
        <v>11</v>
      </c>
      <c r="F48" s="18" t="s">
        <v>1566</v>
      </c>
      <c r="G48" s="18" t="s">
        <v>1635</v>
      </c>
      <c r="H48" s="18" t="s">
        <v>1595</v>
      </c>
      <c r="I48" s="18" t="s">
        <v>2181</v>
      </c>
      <c r="J48" s="18" t="s">
        <v>2214</v>
      </c>
      <c r="K48" s="18" t="s">
        <v>1584</v>
      </c>
      <c r="L48" s="18" t="s">
        <v>1636</v>
      </c>
      <c r="M48" s="18" t="s">
        <v>2189</v>
      </c>
      <c r="N48" s="18" t="s">
        <v>1607</v>
      </c>
      <c r="O48" s="18" t="s">
        <v>1608</v>
      </c>
      <c r="P48" s="18" t="s">
        <v>1577</v>
      </c>
      <c r="Q48" s="1" t="str">
        <f t="shared" si="10"/>
        <v>c) b) The indigenous population tried to prevent Mr. Correa from becoming president</v>
      </c>
      <c r="R48" s="1" t="str">
        <f t="shared" si="11"/>
        <v>b) c) President Correa has fulfilled earlier promises made to the indigenous population</v>
      </c>
      <c r="S48" s="1" t="str">
        <f t="shared" si="12"/>
        <v>b) b) The government of Ecuador was not invited to attend a summit on minority rights</v>
      </c>
      <c r="T48" s="1" t="str">
        <f t="shared" si="13"/>
        <v>c) c) Indigenous communities have contested a water law</v>
      </c>
    </row>
    <row r="49" spans="1:20" ht="65.25" customHeight="1" x14ac:dyDescent="0.25">
      <c r="A49" s="18"/>
      <c r="B49" s="18"/>
      <c r="C49" s="18"/>
      <c r="D49" s="18"/>
      <c r="E49" s="18">
        <v>12</v>
      </c>
      <c r="F49" s="18" t="s">
        <v>1567</v>
      </c>
      <c r="G49" s="18" t="s">
        <v>1687</v>
      </c>
      <c r="H49" s="18" t="s">
        <v>1596</v>
      </c>
      <c r="I49" s="18" t="s">
        <v>2182</v>
      </c>
      <c r="J49" s="18" t="s">
        <v>2215</v>
      </c>
      <c r="K49" s="18" t="s">
        <v>1585</v>
      </c>
      <c r="L49" s="18"/>
      <c r="M49" s="18"/>
      <c r="N49" s="18"/>
      <c r="O49" s="18"/>
      <c r="P49" s="18"/>
      <c r="Q49" s="1" t="str">
        <f t="shared" si="10"/>
        <v>c) b) The firearm experiencing the most rapid sales growth is not stocked at Wal-Mart</v>
      </c>
      <c r="R49" s="1" t="str">
        <f t="shared" si="11"/>
        <v>b) c) Wal-Mart stopped selling firearms due to customer protests</v>
      </c>
      <c r="S49" s="1" t="str">
        <f t="shared" si="12"/>
        <v xml:space="preserve">b) </v>
      </c>
      <c r="T49" s="1" t="str">
        <f t="shared" si="13"/>
        <v xml:space="preserve">c) </v>
      </c>
    </row>
    <row r="50" spans="1:20" ht="65.25" customHeight="1" x14ac:dyDescent="0.25">
      <c r="A50" s="18"/>
      <c r="B50" s="18"/>
      <c r="C50" s="18"/>
      <c r="D50" s="18"/>
      <c r="E50" s="18">
        <v>13</v>
      </c>
      <c r="F50" s="18" t="s">
        <v>1568</v>
      </c>
      <c r="G50" s="18" t="s">
        <v>1637</v>
      </c>
      <c r="H50" s="18" t="s">
        <v>1597</v>
      </c>
      <c r="I50" s="18" t="s">
        <v>2183</v>
      </c>
      <c r="J50" s="18" t="s">
        <v>2216</v>
      </c>
      <c r="K50" s="18" t="s">
        <v>1586</v>
      </c>
      <c r="L50" s="18"/>
      <c r="M50" s="18"/>
      <c r="N50" s="18"/>
      <c r="O50" s="18"/>
      <c r="P50" s="18"/>
      <c r="Q50" s="1" t="str">
        <f t="shared" si="10"/>
        <v>c) b) The French auction house admitted that the statue is not genuine</v>
      </c>
      <c r="R50" s="1" t="str">
        <f t="shared" si="11"/>
        <v>b) c) The features of the statue were inconsistent with the culture it allegedly represents</v>
      </c>
      <c r="S50" s="1" t="str">
        <f t="shared" si="12"/>
        <v xml:space="preserve">b) </v>
      </c>
      <c r="T50" s="1" t="str">
        <f t="shared" si="13"/>
        <v xml:space="preserve">c) </v>
      </c>
    </row>
    <row r="51" spans="1:20" ht="65.25" customHeight="1" x14ac:dyDescent="0.25">
      <c r="A51" s="18"/>
      <c r="B51" s="18"/>
      <c r="C51" s="18"/>
      <c r="D51" s="18"/>
      <c r="E51" s="18">
        <v>14</v>
      </c>
      <c r="F51" s="18" t="s">
        <v>1569</v>
      </c>
      <c r="G51" s="18" t="s">
        <v>1638</v>
      </c>
      <c r="H51" s="18" t="s">
        <v>1598</v>
      </c>
      <c r="I51" s="18" t="s">
        <v>2184</v>
      </c>
      <c r="J51" s="18" t="s">
        <v>2217</v>
      </c>
      <c r="K51" s="18" t="s">
        <v>1587</v>
      </c>
      <c r="L51" s="18" t="s">
        <v>1639</v>
      </c>
      <c r="M51" s="18" t="s">
        <v>2190</v>
      </c>
      <c r="N51" s="18" t="s">
        <v>1609</v>
      </c>
      <c r="O51" s="18" t="s">
        <v>1610</v>
      </c>
      <c r="P51" s="18" t="s">
        <v>1578</v>
      </c>
      <c r="Q51" s="1" t="str">
        <f t="shared" si="10"/>
        <v>c) b) 26 minutes is the ideal time for a nap</v>
      </c>
      <c r="R51" s="1" t="str">
        <f t="shared" si="11"/>
        <v>b) c) Combining coffee with a short nap will revive you</v>
      </c>
      <c r="S51" s="1" t="str">
        <f t="shared" si="12"/>
        <v>b) b) Has received union support</v>
      </c>
      <c r="T51" s="1" t="str">
        <f t="shared" si="13"/>
        <v>c) c) Is considered a danger to people involved in jobs with motoring or machinery</v>
      </c>
    </row>
    <row r="52" spans="1:20" ht="65.25" customHeight="1" x14ac:dyDescent="0.25">
      <c r="A52" s="18"/>
      <c r="B52" s="18"/>
      <c r="C52" s="18"/>
      <c r="D52" s="18"/>
      <c r="E52" s="18">
        <v>15</v>
      </c>
      <c r="F52" s="18" t="s">
        <v>1570</v>
      </c>
      <c r="G52" s="18" t="s">
        <v>1640</v>
      </c>
      <c r="H52" s="18" t="s">
        <v>1599</v>
      </c>
      <c r="I52" s="18" t="s">
        <v>2185</v>
      </c>
      <c r="J52" s="18" t="s">
        <v>2218</v>
      </c>
      <c r="K52" s="18" t="s">
        <v>1588</v>
      </c>
      <c r="L52" s="18" t="s">
        <v>1641</v>
      </c>
      <c r="M52" s="18" t="s">
        <v>2191</v>
      </c>
      <c r="N52" s="18" t="s">
        <v>1611</v>
      </c>
      <c r="O52" s="18" t="s">
        <v>1612</v>
      </c>
      <c r="P52" s="18" t="s">
        <v>1579</v>
      </c>
      <c r="Q52" s="1" t="str">
        <f t="shared" si="10"/>
        <v>c) b) It has been possible to obtain a condensed version of ‘One Hundred Years of Solitude</v>
      </c>
      <c r="R52" s="1" t="str">
        <f t="shared" si="11"/>
        <v>b) c) It has been possible to obtain a copy of ‘One Hundred Years of Solitude’ by paying an excessive amount</v>
      </c>
      <c r="S52" s="1" t="str">
        <f t="shared" si="12"/>
        <v>b) b) Book publishers in China are not subdued by the crackdowns</v>
      </c>
      <c r="T52" s="1" t="str">
        <f t="shared" si="13"/>
        <v>c) c) The publication of ‘One Hundred Years of Solitude’ is not likely to create much interest in China</v>
      </c>
    </row>
    <row r="53" spans="1:20" ht="65.25" customHeight="1" x14ac:dyDescent="0.25">
      <c r="A53" s="18"/>
      <c r="B53" s="18"/>
      <c r="C53" s="18"/>
      <c r="D53" s="18"/>
      <c r="E53" s="18">
        <v>16</v>
      </c>
      <c r="F53" s="18" t="s">
        <v>1571</v>
      </c>
      <c r="G53" s="18" t="s">
        <v>1642</v>
      </c>
      <c r="H53" s="18" t="s">
        <v>1600</v>
      </c>
      <c r="I53" s="18" t="s">
        <v>2186</v>
      </c>
      <c r="J53" s="18" t="s">
        <v>2219</v>
      </c>
      <c r="K53" s="18" t="s">
        <v>1589</v>
      </c>
      <c r="L53" s="18" t="s">
        <v>1643</v>
      </c>
      <c r="M53" s="18" t="s">
        <v>2192</v>
      </c>
      <c r="N53" s="18" t="s">
        <v>1613</v>
      </c>
      <c r="O53" s="18" t="s">
        <v>1614</v>
      </c>
      <c r="P53" s="18" t="s">
        <v>1580</v>
      </c>
      <c r="Q53" s="1" t="str">
        <f t="shared" si="10"/>
        <v>c) b) Losses for the manufacturing industry in the south</v>
      </c>
      <c r="R53" s="1" t="str">
        <f t="shared" si="11"/>
        <v>b) c) The disfiguring of the landscape with the appearance of new cables</v>
      </c>
      <c r="S53" s="1" t="str">
        <f t="shared" si="12"/>
        <v>b) b) Local organizations could make decisions involving the energy sources in their areas</v>
      </c>
      <c r="T53" s="1" t="str">
        <f t="shared" si="13"/>
        <v>c) c) Use of coal could become widespread</v>
      </c>
    </row>
    <row r="54" spans="1:20" ht="65.25" customHeight="1" x14ac:dyDescent="0.25">
      <c r="A54" s="18"/>
      <c r="B54" s="18"/>
      <c r="C54" s="18"/>
      <c r="D54" s="18"/>
      <c r="E54" s="18"/>
      <c r="F54" s="18"/>
      <c r="G54" s="18"/>
      <c r="H54" s="18"/>
      <c r="I54" s="18"/>
      <c r="J54" s="18"/>
      <c r="K54" s="18"/>
      <c r="L54" s="18"/>
      <c r="M54" s="18"/>
      <c r="N54" s="18"/>
      <c r="O54" s="18"/>
      <c r="P54" s="18"/>
    </row>
    <row r="55" spans="1:20" ht="65.25" customHeight="1" x14ac:dyDescent="0.25">
      <c r="A55" s="20"/>
      <c r="B55" s="20"/>
      <c r="C55" s="20">
        <v>4</v>
      </c>
      <c r="D55" s="20" t="s">
        <v>275</v>
      </c>
      <c r="E55" s="20">
        <v>1</v>
      </c>
      <c r="F55" s="20" t="s">
        <v>919</v>
      </c>
      <c r="G55" s="20" t="s">
        <v>922</v>
      </c>
      <c r="H55" s="20" t="s">
        <v>939</v>
      </c>
      <c r="I55" s="20" t="s">
        <v>956</v>
      </c>
      <c r="J55" s="20" t="s">
        <v>979</v>
      </c>
      <c r="K55" s="20" t="s">
        <v>1001</v>
      </c>
      <c r="L55" s="20" t="s">
        <v>931</v>
      </c>
      <c r="M55" s="20" t="s">
        <v>948</v>
      </c>
      <c r="N55" s="20" t="s">
        <v>964</v>
      </c>
      <c r="O55" s="20" t="s">
        <v>971</v>
      </c>
      <c r="P55" s="20" t="s">
        <v>991</v>
      </c>
    </row>
    <row r="56" spans="1:20" ht="65.25" customHeight="1" x14ac:dyDescent="0.25">
      <c r="A56" s="20"/>
      <c r="B56" s="20"/>
      <c r="C56" s="20"/>
      <c r="D56" s="20" t="s">
        <v>2108</v>
      </c>
      <c r="E56" s="20">
        <v>2</v>
      </c>
      <c r="F56" s="20" t="s">
        <v>1534</v>
      </c>
      <c r="G56" s="20" t="s">
        <v>923</v>
      </c>
      <c r="H56" s="20" t="s">
        <v>940</v>
      </c>
      <c r="I56" s="20" t="s">
        <v>957</v>
      </c>
      <c r="J56" s="20" t="s">
        <v>980</v>
      </c>
      <c r="K56" s="20" t="s">
        <v>1002</v>
      </c>
      <c r="L56" s="20" t="s">
        <v>932</v>
      </c>
      <c r="M56" s="20" t="s">
        <v>949</v>
      </c>
      <c r="N56" s="20" t="s">
        <v>1535</v>
      </c>
      <c r="O56" s="20" t="s">
        <v>972</v>
      </c>
      <c r="P56" s="20" t="s">
        <v>992</v>
      </c>
    </row>
    <row r="57" spans="1:20" ht="65.25" customHeight="1" x14ac:dyDescent="0.25">
      <c r="A57" s="20"/>
      <c r="B57" s="20"/>
      <c r="C57" s="20"/>
      <c r="D57" s="20" t="s">
        <v>359</v>
      </c>
      <c r="E57" s="20">
        <v>3</v>
      </c>
      <c r="F57" s="20" t="s">
        <v>920</v>
      </c>
      <c r="G57" s="20" t="s">
        <v>1536</v>
      </c>
      <c r="H57" s="20" t="s">
        <v>1537</v>
      </c>
      <c r="I57" s="20" t="s">
        <v>1538</v>
      </c>
      <c r="J57" s="20" t="s">
        <v>1539</v>
      </c>
      <c r="K57" s="20" t="s">
        <v>1540</v>
      </c>
      <c r="L57" s="20" t="s">
        <v>1541</v>
      </c>
      <c r="M57" s="20" t="s">
        <v>1542</v>
      </c>
      <c r="N57" s="20" t="s">
        <v>1543</v>
      </c>
      <c r="O57" s="20" t="s">
        <v>1544</v>
      </c>
      <c r="P57" s="20" t="s">
        <v>1545</v>
      </c>
    </row>
    <row r="58" spans="1:20" ht="65.25" customHeight="1" x14ac:dyDescent="0.25">
      <c r="A58" s="20"/>
      <c r="B58" s="20"/>
      <c r="C58" s="20"/>
      <c r="D58" s="20"/>
      <c r="E58" s="20">
        <v>4</v>
      </c>
      <c r="F58" s="20" t="s">
        <v>1546</v>
      </c>
      <c r="G58" s="20" t="s">
        <v>924</v>
      </c>
      <c r="H58" s="20" t="s">
        <v>941</v>
      </c>
      <c r="I58" s="20" t="s">
        <v>958</v>
      </c>
      <c r="J58" s="20" t="s">
        <v>981</v>
      </c>
      <c r="K58" s="20" t="s">
        <v>1003</v>
      </c>
      <c r="L58" s="20" t="s">
        <v>933</v>
      </c>
      <c r="M58" s="20" t="s">
        <v>950</v>
      </c>
      <c r="N58" s="20" t="s">
        <v>965</v>
      </c>
      <c r="O58" s="20" t="s">
        <v>973</v>
      </c>
      <c r="P58" s="20" t="s">
        <v>993</v>
      </c>
    </row>
    <row r="59" spans="1:20" ht="65.25" customHeight="1" x14ac:dyDescent="0.25">
      <c r="A59" s="20"/>
      <c r="B59" s="20"/>
      <c r="C59" s="20"/>
      <c r="D59" s="20"/>
      <c r="E59" s="20">
        <v>5</v>
      </c>
      <c r="F59" s="20" t="s">
        <v>1547</v>
      </c>
      <c r="G59" s="20" t="s">
        <v>925</v>
      </c>
      <c r="H59" s="20" t="s">
        <v>942</v>
      </c>
      <c r="I59" s="20" t="s">
        <v>1549</v>
      </c>
      <c r="J59" s="20" t="s">
        <v>982</v>
      </c>
      <c r="K59" s="20" t="s">
        <v>1548</v>
      </c>
      <c r="L59" s="20" t="s">
        <v>1550</v>
      </c>
      <c r="M59" s="20" t="s">
        <v>1551</v>
      </c>
      <c r="N59" s="20" t="s">
        <v>1552</v>
      </c>
      <c r="O59" s="20" t="s">
        <v>1553</v>
      </c>
      <c r="P59" s="20" t="s">
        <v>1554</v>
      </c>
    </row>
    <row r="60" spans="1:20" ht="65.25" customHeight="1" x14ac:dyDescent="0.25">
      <c r="A60" s="20"/>
      <c r="B60" s="20"/>
      <c r="C60" s="20"/>
      <c r="D60" s="20"/>
      <c r="E60" s="20">
        <v>6</v>
      </c>
      <c r="F60" s="20" t="s">
        <v>1555</v>
      </c>
      <c r="G60" s="20" t="s">
        <v>926</v>
      </c>
      <c r="H60" s="20" t="s">
        <v>943</v>
      </c>
      <c r="I60" s="20" t="s">
        <v>959</v>
      </c>
      <c r="J60" s="20" t="s">
        <v>983</v>
      </c>
      <c r="K60" s="20" t="s">
        <v>999</v>
      </c>
      <c r="L60" s="20" t="s">
        <v>934</v>
      </c>
      <c r="M60" s="20" t="s">
        <v>951</v>
      </c>
      <c r="N60" s="20" t="s">
        <v>966</v>
      </c>
      <c r="O60" s="20" t="s">
        <v>974</v>
      </c>
      <c r="P60" s="20" t="s">
        <v>994</v>
      </c>
    </row>
    <row r="61" spans="1:20" ht="65.25" customHeight="1" x14ac:dyDescent="0.25">
      <c r="A61" s="20"/>
      <c r="B61" s="20"/>
      <c r="C61" s="20"/>
      <c r="D61" s="20"/>
      <c r="E61" s="20">
        <v>7</v>
      </c>
      <c r="F61" s="20" t="s">
        <v>921</v>
      </c>
      <c r="G61" s="20" t="s">
        <v>927</v>
      </c>
      <c r="H61" s="20" t="s">
        <v>944</v>
      </c>
      <c r="I61" s="20" t="s">
        <v>960</v>
      </c>
      <c r="J61" s="20" t="s">
        <v>984</v>
      </c>
      <c r="K61" s="20" t="s">
        <v>1000</v>
      </c>
      <c r="L61" s="20" t="s">
        <v>935</v>
      </c>
      <c r="M61" s="20" t="s">
        <v>952</v>
      </c>
      <c r="N61" s="20" t="s">
        <v>967</v>
      </c>
      <c r="O61" s="20" t="s">
        <v>975</v>
      </c>
      <c r="P61" s="20" t="s">
        <v>995</v>
      </c>
    </row>
    <row r="62" spans="1:20" ht="65.25" customHeight="1" x14ac:dyDescent="0.25">
      <c r="A62" s="20"/>
      <c r="B62" s="20"/>
      <c r="C62" s="20"/>
      <c r="D62" s="20"/>
      <c r="E62" s="20">
        <v>8</v>
      </c>
      <c r="F62" s="20" t="s">
        <v>2353</v>
      </c>
      <c r="G62" s="20" t="s">
        <v>928</v>
      </c>
      <c r="H62" s="20" t="s">
        <v>945</v>
      </c>
      <c r="I62" s="20" t="s">
        <v>961</v>
      </c>
      <c r="J62" s="20" t="s">
        <v>985</v>
      </c>
      <c r="K62" s="20" t="s">
        <v>988</v>
      </c>
      <c r="L62" s="20" t="s">
        <v>936</v>
      </c>
      <c r="M62" s="20" t="s">
        <v>953</v>
      </c>
      <c r="N62" s="20" t="s">
        <v>968</v>
      </c>
      <c r="O62" s="20" t="s">
        <v>976</v>
      </c>
      <c r="P62" s="20" t="s">
        <v>996</v>
      </c>
    </row>
    <row r="63" spans="1:20" ht="65.25" customHeight="1" x14ac:dyDescent="0.25">
      <c r="A63" s="20"/>
      <c r="B63" s="20"/>
      <c r="C63" s="20"/>
      <c r="D63" s="20"/>
      <c r="E63" s="20">
        <v>9</v>
      </c>
      <c r="F63" s="20" t="s">
        <v>2351</v>
      </c>
      <c r="G63" s="20" t="s">
        <v>929</v>
      </c>
      <c r="H63" s="20" t="s">
        <v>946</v>
      </c>
      <c r="I63" s="20" t="s">
        <v>962</v>
      </c>
      <c r="J63" s="20" t="s">
        <v>986</v>
      </c>
      <c r="K63" s="20" t="s">
        <v>989</v>
      </c>
      <c r="L63" s="20" t="s">
        <v>937</v>
      </c>
      <c r="M63" s="20" t="s">
        <v>954</v>
      </c>
      <c r="N63" s="20" t="s">
        <v>969</v>
      </c>
      <c r="O63" s="20" t="s">
        <v>977</v>
      </c>
      <c r="P63" s="20" t="s">
        <v>997</v>
      </c>
    </row>
    <row r="64" spans="1:20" ht="65.25" customHeight="1" x14ac:dyDescent="0.25">
      <c r="A64" s="20"/>
      <c r="B64" s="20"/>
      <c r="C64" s="20"/>
      <c r="D64" s="20" t="s">
        <v>359</v>
      </c>
      <c r="E64" s="20">
        <v>10</v>
      </c>
      <c r="F64" s="20" t="s">
        <v>2354</v>
      </c>
      <c r="G64" s="20" t="s">
        <v>930</v>
      </c>
      <c r="H64" s="20" t="s">
        <v>947</v>
      </c>
      <c r="I64" s="20" t="s">
        <v>963</v>
      </c>
      <c r="J64" s="20" t="s">
        <v>987</v>
      </c>
      <c r="K64" s="20" t="s">
        <v>990</v>
      </c>
      <c r="L64" s="20" t="s">
        <v>938</v>
      </c>
      <c r="M64" s="20" t="s">
        <v>955</v>
      </c>
      <c r="N64" s="20" t="s">
        <v>970</v>
      </c>
      <c r="O64" s="20" t="s">
        <v>978</v>
      </c>
      <c r="P64" s="20" t="s">
        <v>998</v>
      </c>
    </row>
    <row r="65" spans="1:17" ht="65.25" customHeight="1" x14ac:dyDescent="0.25">
      <c r="A65" s="20"/>
      <c r="B65" s="20"/>
      <c r="C65" s="20"/>
      <c r="D65" s="20"/>
      <c r="E65" s="20">
        <v>11</v>
      </c>
      <c r="F65" s="20" t="s">
        <v>2347</v>
      </c>
      <c r="G65" s="20" t="s">
        <v>2301</v>
      </c>
      <c r="H65" s="20" t="s">
        <v>2308</v>
      </c>
      <c r="I65" s="20" t="s">
        <v>2317</v>
      </c>
      <c r="J65" s="20" t="s">
        <v>2327</v>
      </c>
      <c r="K65" s="20" t="s">
        <v>2337</v>
      </c>
      <c r="L65" s="20"/>
      <c r="M65" s="20"/>
      <c r="N65" s="20"/>
      <c r="O65" s="20"/>
      <c r="P65" s="20"/>
    </row>
    <row r="66" spans="1:17" ht="65.25" customHeight="1" x14ac:dyDescent="0.25">
      <c r="A66" s="20"/>
      <c r="B66" s="20"/>
      <c r="C66" s="20"/>
      <c r="D66" s="20"/>
      <c r="E66" s="20">
        <v>12</v>
      </c>
      <c r="F66" s="20" t="s">
        <v>2348</v>
      </c>
      <c r="G66" s="20" t="s">
        <v>2302</v>
      </c>
      <c r="H66" s="20" t="s">
        <v>2297</v>
      </c>
      <c r="I66" s="20" t="s">
        <v>2318</v>
      </c>
      <c r="J66" s="20" t="s">
        <v>2328</v>
      </c>
      <c r="K66" s="20" t="s">
        <v>2338</v>
      </c>
      <c r="L66" s="20" t="s">
        <v>2303</v>
      </c>
      <c r="M66" s="20" t="s">
        <v>2314</v>
      </c>
      <c r="N66" s="20" t="s">
        <v>2324</v>
      </c>
      <c r="O66" s="20" t="s">
        <v>2334</v>
      </c>
      <c r="P66" s="20" t="s">
        <v>2344</v>
      </c>
    </row>
    <row r="67" spans="1:17" ht="65.25" customHeight="1" x14ac:dyDescent="0.25">
      <c r="A67" s="20"/>
      <c r="B67" s="20"/>
      <c r="C67" s="20"/>
      <c r="D67" s="20"/>
      <c r="E67" s="20">
        <v>13</v>
      </c>
      <c r="F67" s="20" t="s">
        <v>2295</v>
      </c>
      <c r="G67" s="20" t="s">
        <v>2304</v>
      </c>
      <c r="H67" s="20" t="s">
        <v>2309</v>
      </c>
      <c r="I67" s="20" t="s">
        <v>2319</v>
      </c>
      <c r="J67" s="20" t="s">
        <v>2329</v>
      </c>
      <c r="K67" s="20" t="s">
        <v>2339</v>
      </c>
      <c r="L67" s="20"/>
      <c r="M67" s="20"/>
      <c r="N67" s="20"/>
      <c r="O67" s="20"/>
      <c r="P67" s="20"/>
    </row>
    <row r="68" spans="1:17" ht="65.25" customHeight="1" x14ac:dyDescent="0.25">
      <c r="A68" s="20"/>
      <c r="B68" s="20"/>
      <c r="C68" s="20"/>
      <c r="D68" s="20"/>
      <c r="E68" s="20">
        <v>14</v>
      </c>
      <c r="F68" s="20" t="s">
        <v>2349</v>
      </c>
      <c r="G68" s="20" t="s">
        <v>2298</v>
      </c>
      <c r="H68" s="20" t="s">
        <v>2310</v>
      </c>
      <c r="I68" s="20" t="s">
        <v>2320</v>
      </c>
      <c r="J68" s="20" t="s">
        <v>2330</v>
      </c>
      <c r="K68" s="20" t="s">
        <v>2340</v>
      </c>
      <c r="L68" s="20" t="s">
        <v>2299</v>
      </c>
      <c r="M68" s="20" t="s">
        <v>2315</v>
      </c>
      <c r="N68" s="20" t="s">
        <v>2325</v>
      </c>
      <c r="O68" s="20" t="s">
        <v>2335</v>
      </c>
      <c r="P68" s="20" t="s">
        <v>2345</v>
      </c>
    </row>
    <row r="69" spans="1:17" ht="65.25" customHeight="1" x14ac:dyDescent="0.25">
      <c r="A69" s="20"/>
      <c r="B69" s="20"/>
      <c r="C69" s="20"/>
      <c r="D69" s="20"/>
      <c r="E69" s="20">
        <v>15</v>
      </c>
      <c r="F69" s="20" t="s">
        <v>2296</v>
      </c>
      <c r="G69" s="20" t="s">
        <v>2300</v>
      </c>
      <c r="H69" s="20" t="s">
        <v>2311</v>
      </c>
      <c r="I69" s="20" t="s">
        <v>2321</v>
      </c>
      <c r="J69" s="20" t="s">
        <v>2331</v>
      </c>
      <c r="K69" s="20" t="s">
        <v>2341</v>
      </c>
      <c r="L69" s="20"/>
      <c r="M69" s="20"/>
      <c r="N69" s="20"/>
      <c r="O69" s="20"/>
      <c r="P69" s="20"/>
    </row>
    <row r="70" spans="1:17" ht="65.25" customHeight="1" x14ac:dyDescent="0.25">
      <c r="A70" s="20"/>
      <c r="B70" s="20"/>
      <c r="C70" s="20"/>
      <c r="D70" s="20"/>
      <c r="E70" s="20">
        <v>16</v>
      </c>
      <c r="F70" s="20" t="s">
        <v>2350</v>
      </c>
      <c r="G70" s="20" t="s">
        <v>2305</v>
      </c>
      <c r="H70" s="20" t="s">
        <v>2312</v>
      </c>
      <c r="I70" s="20" t="s">
        <v>2322</v>
      </c>
      <c r="J70" s="20" t="s">
        <v>2332</v>
      </c>
      <c r="K70" s="20" t="s">
        <v>2342</v>
      </c>
      <c r="L70" s="20"/>
      <c r="M70" s="20"/>
      <c r="N70" s="20"/>
      <c r="O70" s="20"/>
      <c r="P70" s="20"/>
    </row>
    <row r="71" spans="1:17" ht="65.25" customHeight="1" x14ac:dyDescent="0.25">
      <c r="A71" s="20"/>
      <c r="B71" s="20"/>
      <c r="C71" s="20"/>
      <c r="D71" s="20"/>
      <c r="E71" s="20">
        <v>17</v>
      </c>
      <c r="F71" s="20" t="s">
        <v>2352</v>
      </c>
      <c r="G71" s="20" t="s">
        <v>2306</v>
      </c>
      <c r="H71" s="20" t="s">
        <v>2313</v>
      </c>
      <c r="I71" s="20" t="s">
        <v>2323</v>
      </c>
      <c r="J71" s="20" t="s">
        <v>2333</v>
      </c>
      <c r="K71" s="20" t="s">
        <v>2343</v>
      </c>
      <c r="L71" s="20" t="s">
        <v>2307</v>
      </c>
      <c r="M71" s="20" t="s">
        <v>2316</v>
      </c>
      <c r="N71" s="20" t="s">
        <v>2326</v>
      </c>
      <c r="O71" s="20" t="s">
        <v>2336</v>
      </c>
      <c r="P71" s="20" t="s">
        <v>2346</v>
      </c>
    </row>
    <row r="72" spans="1:17" ht="65.25" customHeight="1" x14ac:dyDescent="0.25">
      <c r="A72" s="20"/>
      <c r="B72" s="20"/>
      <c r="C72" s="20"/>
      <c r="D72" s="20"/>
      <c r="E72" s="20"/>
      <c r="F72" s="20"/>
      <c r="G72" s="20"/>
      <c r="H72" s="20"/>
      <c r="I72" s="20"/>
      <c r="J72" s="20"/>
      <c r="K72" s="20"/>
      <c r="L72" s="20"/>
      <c r="M72" s="20"/>
      <c r="N72" s="20"/>
      <c r="O72" s="20"/>
      <c r="P72" s="20"/>
    </row>
    <row r="73" spans="1:17" ht="74.25" customHeight="1" x14ac:dyDescent="0.25">
      <c r="A73" s="25"/>
      <c r="B73" s="25"/>
      <c r="C73" s="25">
        <v>5</v>
      </c>
      <c r="D73" s="25" t="s">
        <v>1031</v>
      </c>
      <c r="E73" s="25">
        <v>1</v>
      </c>
      <c r="F73" s="25" t="s">
        <v>4611</v>
      </c>
      <c r="G73" s="25" t="s">
        <v>4421</v>
      </c>
      <c r="H73" s="25" t="s">
        <v>4422</v>
      </c>
      <c r="I73" s="25" t="s">
        <v>4595</v>
      </c>
      <c r="J73" s="25" t="s">
        <v>4424</v>
      </c>
      <c r="K73" s="25" t="s">
        <v>4425</v>
      </c>
      <c r="L73" s="25"/>
      <c r="M73" s="25"/>
      <c r="N73" s="25"/>
      <c r="O73" s="25"/>
      <c r="P73" s="25"/>
      <c r="Q73" s="1">
        <f>R73</f>
        <v>0</v>
      </c>
    </row>
    <row r="74" spans="1:17" ht="80.25" customHeight="1" x14ac:dyDescent="0.25">
      <c r="A74" s="25"/>
      <c r="B74" s="25"/>
      <c r="C74" s="25"/>
      <c r="D74" s="25" t="s">
        <v>4335</v>
      </c>
      <c r="E74" s="25">
        <v>2</v>
      </c>
      <c r="F74" s="25" t="s">
        <v>4612</v>
      </c>
      <c r="G74" s="25" t="s">
        <v>4427</v>
      </c>
      <c r="H74" s="25" t="s">
        <v>4428</v>
      </c>
      <c r="I74" s="25" t="s">
        <v>4596</v>
      </c>
      <c r="J74" s="25" t="s">
        <v>4430</v>
      </c>
      <c r="K74" s="25" t="s">
        <v>4431</v>
      </c>
      <c r="L74" s="25"/>
      <c r="M74" s="25"/>
      <c r="N74" s="25"/>
      <c r="O74" s="25"/>
      <c r="P74" s="25"/>
      <c r="Q74" s="1" t="str">
        <f>Q3</f>
        <v xml:space="preserve">d) </v>
      </c>
    </row>
    <row r="75" spans="1:17" ht="90.75" customHeight="1" x14ac:dyDescent="0.25">
      <c r="A75" s="25"/>
      <c r="B75" s="25"/>
      <c r="C75" s="25"/>
      <c r="D75" s="25" t="s">
        <v>359</v>
      </c>
      <c r="E75" s="25">
        <v>3</v>
      </c>
      <c r="F75" s="25" t="s">
        <v>4613</v>
      </c>
      <c r="G75" s="25" t="s">
        <v>4433</v>
      </c>
      <c r="H75" s="25" t="s">
        <v>4434</v>
      </c>
      <c r="I75" s="25" t="s">
        <v>4435</v>
      </c>
      <c r="J75" s="25" t="s">
        <v>4436</v>
      </c>
      <c r="K75" s="25" t="s">
        <v>4597</v>
      </c>
      <c r="L75" s="25"/>
      <c r="M75" s="25"/>
      <c r="N75" s="25"/>
      <c r="O75" s="25"/>
      <c r="P75" s="25"/>
      <c r="Q75" s="1">
        <f>Normal!U76</f>
        <v>0</v>
      </c>
    </row>
    <row r="76" spans="1:17" ht="150" x14ac:dyDescent="0.25">
      <c r="A76" s="25"/>
      <c r="B76" s="25"/>
      <c r="C76" s="25"/>
      <c r="D76" s="25"/>
      <c r="E76" s="25">
        <v>4</v>
      </c>
      <c r="F76" s="25" t="s">
        <v>4614</v>
      </c>
      <c r="G76" s="25" t="s">
        <v>4439</v>
      </c>
      <c r="H76" s="25" t="s">
        <v>4440</v>
      </c>
      <c r="I76" s="25" t="s">
        <v>4598</v>
      </c>
      <c r="J76" s="25" t="s">
        <v>4442</v>
      </c>
      <c r="K76" s="25" t="s">
        <v>4443</v>
      </c>
      <c r="L76" s="25"/>
      <c r="M76" s="25"/>
      <c r="N76" s="25"/>
      <c r="O76" s="25"/>
      <c r="P76" s="25"/>
      <c r="Q76" s="1" t="e">
        <f>CONCATENATE("d) ",#REF!)</f>
        <v>#REF!</v>
      </c>
    </row>
    <row r="77" spans="1:17" ht="51" customHeight="1" x14ac:dyDescent="0.25">
      <c r="A77" s="25"/>
      <c r="B77" s="25"/>
      <c r="C77" s="25"/>
      <c r="D77" s="25"/>
      <c r="E77" s="25">
        <v>5</v>
      </c>
      <c r="F77" s="25" t="s">
        <v>4615</v>
      </c>
      <c r="G77" s="25" t="s">
        <v>4445</v>
      </c>
      <c r="H77" s="25" t="s">
        <v>4446</v>
      </c>
      <c r="I77" s="25" t="s">
        <v>4447</v>
      </c>
      <c r="J77" s="25" t="s">
        <v>4599</v>
      </c>
      <c r="K77" s="25" t="s">
        <v>4449</v>
      </c>
      <c r="L77" s="25"/>
      <c r="M77" s="25"/>
      <c r="N77" s="25"/>
      <c r="O77" s="25"/>
      <c r="P77" s="25"/>
      <c r="Q77" s="1" t="e">
        <f>CONCATENATE("d) ",#REF!)</f>
        <v>#REF!</v>
      </c>
    </row>
    <row r="78" spans="1:17" ht="56.25" customHeight="1" x14ac:dyDescent="0.25">
      <c r="A78" s="25"/>
      <c r="B78" s="25"/>
      <c r="C78" s="25"/>
      <c r="D78" s="25"/>
      <c r="E78" s="25">
        <v>6</v>
      </c>
      <c r="F78" s="25" t="s">
        <v>4616</v>
      </c>
      <c r="G78" s="25" t="s">
        <v>4451</v>
      </c>
      <c r="H78" s="25" t="s">
        <v>4600</v>
      </c>
      <c r="I78" s="25" t="s">
        <v>4453</v>
      </c>
      <c r="J78" s="25" t="s">
        <v>4454</v>
      </c>
      <c r="K78" s="25" t="s">
        <v>4455</v>
      </c>
      <c r="L78" s="25"/>
      <c r="M78" s="25"/>
      <c r="N78" s="25"/>
      <c r="O78" s="25"/>
      <c r="P78" s="25"/>
      <c r="Q78" s="1" t="e">
        <f>CONCATENATE("d) ",#REF!)</f>
        <v>#REF!</v>
      </c>
    </row>
    <row r="79" spans="1:17" ht="62.25" customHeight="1" x14ac:dyDescent="0.25">
      <c r="A79" s="25"/>
      <c r="B79" s="25"/>
      <c r="C79" s="25"/>
      <c r="D79" s="25"/>
      <c r="E79" s="25">
        <v>7</v>
      </c>
      <c r="F79" s="25" t="s">
        <v>4601</v>
      </c>
      <c r="G79" s="25" t="s">
        <v>4457</v>
      </c>
      <c r="H79" s="25" t="s">
        <v>4602</v>
      </c>
      <c r="I79" s="25" t="s">
        <v>4459</v>
      </c>
      <c r="J79" s="25" t="s">
        <v>4460</v>
      </c>
      <c r="K79" s="25" t="s">
        <v>4461</v>
      </c>
      <c r="L79" s="25"/>
      <c r="M79" s="25"/>
      <c r="N79" s="25"/>
      <c r="O79" s="25"/>
      <c r="P79" s="25"/>
      <c r="Q79" s="1" t="e">
        <f>CONCATENATE("d) ",#REF!)</f>
        <v>#REF!</v>
      </c>
    </row>
    <row r="80" spans="1:17" ht="80.25" customHeight="1" x14ac:dyDescent="0.25">
      <c r="A80" s="25"/>
      <c r="B80" s="25"/>
      <c r="C80" s="25"/>
      <c r="D80" s="25"/>
      <c r="E80" s="25">
        <v>8</v>
      </c>
      <c r="F80" s="25" t="s">
        <v>4617</v>
      </c>
      <c r="G80" s="25" t="s">
        <v>4463</v>
      </c>
      <c r="H80" s="25" t="s">
        <v>4603</v>
      </c>
      <c r="I80" s="25" t="s">
        <v>4465</v>
      </c>
      <c r="J80" s="25" t="s">
        <v>4466</v>
      </c>
      <c r="K80" s="25" t="s">
        <v>4467</v>
      </c>
      <c r="L80" s="25"/>
      <c r="M80" s="25"/>
      <c r="N80" s="25"/>
      <c r="O80" s="25"/>
      <c r="P80" s="25"/>
      <c r="Q80" s="1" t="e">
        <f>CONCATENATE("d) ",#REF!)</f>
        <v>#REF!</v>
      </c>
    </row>
    <row r="81" spans="1:25" ht="62.25" customHeight="1" x14ac:dyDescent="0.25">
      <c r="A81" s="25"/>
      <c r="B81" s="25"/>
      <c r="C81" s="25"/>
      <c r="D81" s="25"/>
      <c r="E81" s="25">
        <v>9</v>
      </c>
      <c r="F81" s="25" t="s">
        <v>4618</v>
      </c>
      <c r="G81" s="25" t="s">
        <v>4469</v>
      </c>
      <c r="H81" s="25" t="s">
        <v>4470</v>
      </c>
      <c r="I81" s="25" t="s">
        <v>4604</v>
      </c>
      <c r="J81" s="25" t="s">
        <v>1864</v>
      </c>
      <c r="K81" s="25" t="s">
        <v>4472</v>
      </c>
      <c r="L81" s="25"/>
      <c r="M81" s="25"/>
      <c r="N81" s="25"/>
      <c r="O81" s="25"/>
      <c r="P81" s="25"/>
      <c r="Q81" s="1" t="e">
        <f>CONCATENATE("d) ",#REF!)</f>
        <v>#REF!</v>
      </c>
    </row>
    <row r="82" spans="1:25" ht="66" customHeight="1" x14ac:dyDescent="0.25">
      <c r="A82" s="25"/>
      <c r="B82" s="25"/>
      <c r="C82" s="25"/>
      <c r="D82" s="25"/>
      <c r="E82" s="25">
        <v>10</v>
      </c>
      <c r="F82" s="25" t="s">
        <v>4619</v>
      </c>
      <c r="G82" s="25" t="s">
        <v>4474</v>
      </c>
      <c r="H82" s="25" t="s">
        <v>4475</v>
      </c>
      <c r="I82" s="25" t="s">
        <v>4476</v>
      </c>
      <c r="J82" s="25" t="s">
        <v>4605</v>
      </c>
      <c r="K82" s="25" t="s">
        <v>4478</v>
      </c>
      <c r="L82" s="25"/>
      <c r="M82" s="25"/>
      <c r="N82" s="25"/>
      <c r="O82" s="25"/>
      <c r="P82" s="25"/>
      <c r="Q82" s="1" t="e">
        <f>CONCATENATE("d) ",#REF!)</f>
        <v>#REF!</v>
      </c>
    </row>
    <row r="83" spans="1:25" ht="44.25" customHeight="1" x14ac:dyDescent="0.25">
      <c r="A83" s="25"/>
      <c r="B83" s="25"/>
      <c r="C83" s="25"/>
      <c r="D83" s="25"/>
      <c r="E83" s="25">
        <v>11</v>
      </c>
      <c r="F83" s="25" t="s">
        <v>4620</v>
      </c>
      <c r="G83" s="25" t="s">
        <v>4480</v>
      </c>
      <c r="H83" s="25" t="s">
        <v>4606</v>
      </c>
      <c r="I83" s="25" t="s">
        <v>4482</v>
      </c>
      <c r="J83" s="25" t="s">
        <v>4483</v>
      </c>
      <c r="K83" s="25" t="s">
        <v>4484</v>
      </c>
      <c r="L83" s="25" t="s">
        <v>4485</v>
      </c>
      <c r="M83" s="25" t="s">
        <v>4486</v>
      </c>
      <c r="N83" s="25" t="s">
        <v>4487</v>
      </c>
      <c r="O83" s="25" t="s">
        <v>4607</v>
      </c>
      <c r="P83" s="25" t="s">
        <v>4489</v>
      </c>
      <c r="Q83" s="1" t="e">
        <f>CONCATENATE("d) ",#REF!)</f>
        <v>#REF!</v>
      </c>
    </row>
    <row r="84" spans="1:25" ht="37.5" customHeight="1" x14ac:dyDescent="0.25">
      <c r="A84" s="25"/>
      <c r="B84" s="25"/>
      <c r="C84" s="25"/>
      <c r="D84" s="25"/>
      <c r="E84" s="25">
        <v>12</v>
      </c>
      <c r="F84" s="25" t="s">
        <v>4621</v>
      </c>
      <c r="G84" s="25" t="s">
        <v>4491</v>
      </c>
      <c r="H84" s="25" t="s">
        <v>4492</v>
      </c>
      <c r="I84" s="25" t="s">
        <v>4608</v>
      </c>
      <c r="J84" s="25" t="s">
        <v>4494</v>
      </c>
      <c r="K84" s="25" t="s">
        <v>4495</v>
      </c>
      <c r="L84" s="25" t="s">
        <v>4496</v>
      </c>
      <c r="M84" s="25" t="s">
        <v>4497</v>
      </c>
      <c r="N84" s="25" t="s">
        <v>4498</v>
      </c>
      <c r="O84" s="25" t="s">
        <v>4609</v>
      </c>
      <c r="P84" s="25" t="s">
        <v>4500</v>
      </c>
      <c r="Q84" s="1" t="e">
        <f>CONCATENATE("d) ",#REF!)</f>
        <v>#REF!</v>
      </c>
    </row>
    <row r="85" spans="1:25" ht="53.25" customHeight="1" x14ac:dyDescent="0.25">
      <c r="A85" s="25"/>
      <c r="B85" s="25"/>
      <c r="C85" s="25"/>
      <c r="D85" s="25"/>
      <c r="E85" s="25">
        <v>13</v>
      </c>
      <c r="F85" s="25" t="s">
        <v>4622</v>
      </c>
      <c r="G85" s="25" t="s">
        <v>4502</v>
      </c>
      <c r="H85" s="25" t="s">
        <v>1858</v>
      </c>
      <c r="I85" s="25" t="s">
        <v>1861</v>
      </c>
      <c r="J85" s="25" t="s">
        <v>1863</v>
      </c>
      <c r="K85" s="25" t="s">
        <v>4504</v>
      </c>
      <c r="L85" s="25" t="s">
        <v>4505</v>
      </c>
      <c r="M85" s="25" t="s">
        <v>4506</v>
      </c>
      <c r="N85" s="25" t="s">
        <v>1227</v>
      </c>
      <c r="O85" s="25" t="s">
        <v>4507</v>
      </c>
      <c r="P85" s="25" t="s">
        <v>4610</v>
      </c>
      <c r="Q85" s="1" t="e">
        <f>CONCATENATE("d) ",#REF!)</f>
        <v>#REF!</v>
      </c>
    </row>
    <row r="86" spans="1:25" ht="47.25" customHeight="1" x14ac:dyDescent="0.25">
      <c r="A86" s="25"/>
      <c r="B86" s="25"/>
      <c r="C86" s="25"/>
      <c r="D86" s="25"/>
      <c r="E86" s="25">
        <v>14</v>
      </c>
      <c r="F86" s="25" t="s">
        <v>4623</v>
      </c>
      <c r="G86" s="25" t="s">
        <v>4509</v>
      </c>
      <c r="H86" s="25" t="s">
        <v>4510</v>
      </c>
      <c r="I86" s="25" t="s">
        <v>4511</v>
      </c>
      <c r="J86" s="25" t="s">
        <v>4512</v>
      </c>
      <c r="K86" s="25" t="s">
        <v>4513</v>
      </c>
      <c r="L86" s="25" t="s">
        <v>4514</v>
      </c>
      <c r="M86" s="25" t="s">
        <v>4515</v>
      </c>
      <c r="N86" s="25" t="s">
        <v>4516</v>
      </c>
      <c r="O86" s="25" t="s">
        <v>4517</v>
      </c>
      <c r="P86" s="25" t="s">
        <v>4518</v>
      </c>
      <c r="Q86" s="1" t="e">
        <f>CONCATENATE("d) ",#REF!)</f>
        <v>#REF!</v>
      </c>
    </row>
    <row r="87" spans="1:25" ht="60" customHeight="1" x14ac:dyDescent="0.25">
      <c r="A87" s="25"/>
      <c r="B87" s="25"/>
      <c r="C87" s="25"/>
      <c r="D87" s="25"/>
      <c r="E87" s="25">
        <v>15</v>
      </c>
      <c r="F87" s="25" t="s">
        <v>4624</v>
      </c>
      <c r="G87" s="25" t="s">
        <v>4519</v>
      </c>
      <c r="H87" s="25" t="s">
        <v>4520</v>
      </c>
      <c r="I87" s="25" t="s">
        <v>4521</v>
      </c>
      <c r="J87" s="25" t="s">
        <v>4522</v>
      </c>
      <c r="K87" s="25" t="s">
        <v>4523</v>
      </c>
      <c r="L87" s="25" t="s">
        <v>4524</v>
      </c>
      <c r="M87" s="25" t="s">
        <v>4525</v>
      </c>
      <c r="N87" s="25" t="s">
        <v>4526</v>
      </c>
      <c r="O87" s="25" t="s">
        <v>4527</v>
      </c>
      <c r="P87" s="25" t="s">
        <v>4528</v>
      </c>
      <c r="Q87" s="1" t="e">
        <f>CONCATENATE("d) ",#REF!)</f>
        <v>#REF!</v>
      </c>
    </row>
    <row r="88" spans="1:25" ht="60" customHeight="1" x14ac:dyDescent="0.25">
      <c r="A88" s="25"/>
      <c r="B88" s="25"/>
      <c r="C88" s="25"/>
      <c r="D88" s="25"/>
      <c r="E88" s="25">
        <v>16</v>
      </c>
      <c r="F88" s="25" t="s">
        <v>4625</v>
      </c>
      <c r="G88" s="25" t="s">
        <v>4529</v>
      </c>
      <c r="H88" s="25" t="s">
        <v>4530</v>
      </c>
      <c r="I88" s="25" t="s">
        <v>4531</v>
      </c>
      <c r="J88" s="25" t="s">
        <v>4532</v>
      </c>
      <c r="K88" s="25" t="s">
        <v>4533</v>
      </c>
      <c r="L88" s="25" t="s">
        <v>4534</v>
      </c>
      <c r="M88" s="25" t="s">
        <v>4535</v>
      </c>
      <c r="N88" s="25" t="s">
        <v>4536</v>
      </c>
      <c r="O88" s="25" t="s">
        <v>4537</v>
      </c>
      <c r="P88" s="25" t="s">
        <v>4538</v>
      </c>
    </row>
    <row r="89" spans="1:25" ht="54.75" customHeight="1" x14ac:dyDescent="0.25">
      <c r="A89" s="25"/>
      <c r="B89" s="25"/>
      <c r="C89" s="25"/>
      <c r="D89" s="25"/>
      <c r="E89" s="25">
        <v>17</v>
      </c>
      <c r="F89" s="25" t="s">
        <v>4626</v>
      </c>
      <c r="G89" s="25" t="s">
        <v>4539</v>
      </c>
      <c r="H89" s="25" t="s">
        <v>1859</v>
      </c>
      <c r="I89" s="25" t="s">
        <v>4540</v>
      </c>
      <c r="J89" s="25" t="s">
        <v>1865</v>
      </c>
      <c r="K89" s="25" t="s">
        <v>4541</v>
      </c>
      <c r="L89" s="25" t="s">
        <v>4542</v>
      </c>
      <c r="M89" s="25" t="s">
        <v>1860</v>
      </c>
      <c r="N89" s="25" t="s">
        <v>1862</v>
      </c>
      <c r="O89" s="25" t="s">
        <v>1866</v>
      </c>
      <c r="P89" s="25" t="s">
        <v>4543</v>
      </c>
      <c r="Q89" s="1" t="str">
        <f>CONCATENATE("a) ",(H93))</f>
        <v>a) a) Britons find Germans to be dishonest</v>
      </c>
      <c r="R89" s="1" t="str">
        <f>CONCATENATE("b) ",(I93))</f>
        <v>b) b) Germans are more likely to enjoy chatting</v>
      </c>
      <c r="S89" s="1" t="str">
        <f>CONCATENATE("c) ",(J93))</f>
        <v>c) c) Britons are more polite than Germans</v>
      </c>
      <c r="T89" s="1" t="str">
        <f>CONCATENATE("d) ",(K93))</f>
        <v>d) d) To Britons, Germans appear to be blunt</v>
      </c>
      <c r="V89" s="1" t="str">
        <f>CONCATENATE("a) ",(M93))</f>
        <v xml:space="preserve">a) </v>
      </c>
      <c r="W89" s="1" t="str">
        <f>CONCATENATE("b) ",(N93))</f>
        <v xml:space="preserve">b) </v>
      </c>
      <c r="X89" s="1" t="str">
        <f>CONCATENATE("c) ",(O93))</f>
        <v xml:space="preserve">c) </v>
      </c>
      <c r="Y89" s="1" t="str">
        <f>CONCATENATE("d) ",(P93))</f>
        <v xml:space="preserve">d) </v>
      </c>
    </row>
    <row r="90" spans="1:25" ht="66" customHeight="1" x14ac:dyDescent="0.25">
      <c r="A90" s="25"/>
      <c r="B90" s="25"/>
      <c r="C90" s="25"/>
      <c r="D90" s="25"/>
      <c r="E90" s="25">
        <v>18</v>
      </c>
      <c r="F90" s="25" t="s">
        <v>4627</v>
      </c>
      <c r="G90" s="25" t="s">
        <v>4544</v>
      </c>
      <c r="H90" s="25" t="s">
        <v>4545</v>
      </c>
      <c r="I90" s="25" t="s">
        <v>4546</v>
      </c>
      <c r="J90" s="25" t="s">
        <v>4547</v>
      </c>
      <c r="K90" s="25" t="s">
        <v>4548</v>
      </c>
      <c r="L90" s="25" t="s">
        <v>4549</v>
      </c>
      <c r="M90" s="25" t="s">
        <v>4550</v>
      </c>
      <c r="N90" s="25" t="s">
        <v>4551</v>
      </c>
      <c r="O90" s="25" t="s">
        <v>4552</v>
      </c>
      <c r="P90" s="25" t="s">
        <v>4553</v>
      </c>
      <c r="Q90" s="1" t="str">
        <f>CONCATENATE("a) ",(H94))</f>
        <v>a) a) It was founded because there is an abundance of criminal lawyers</v>
      </c>
      <c r="R90" s="1" t="str">
        <f>CONCATENATE("b) ",(I94))</f>
        <v>b) b) It is not necessary to have a subscription to use its services</v>
      </c>
      <c r="S90" s="1" t="str">
        <f>CONCATENATE("c) ",(J94))</f>
        <v>c) c) It is still in the planning stages</v>
      </c>
      <c r="T90" s="1" t="str">
        <f>CONCATENATE("d) ",(K94))</f>
        <v>d) d) Lawyers contribute to the cost of running the company</v>
      </c>
      <c r="V90" s="1" t="str">
        <f>CONCATENATE("a) ",(M94))</f>
        <v xml:space="preserve">a) </v>
      </c>
      <c r="W90" s="1" t="str">
        <f>CONCATENATE("b) ",(N94))</f>
        <v xml:space="preserve">b) </v>
      </c>
      <c r="X90" s="1" t="str">
        <f>CONCATENATE("c) ",(O94))</f>
        <v xml:space="preserve">c) </v>
      </c>
      <c r="Y90" s="1" t="str">
        <f>CONCATENATE("d) ",(P94))</f>
        <v xml:space="preserve">d) </v>
      </c>
    </row>
    <row r="91" spans="1:25" ht="60" customHeight="1" x14ac:dyDescent="0.25">
      <c r="A91" s="25"/>
      <c r="B91" s="25"/>
      <c r="C91" s="25"/>
      <c r="D91" s="25"/>
      <c r="E91" s="25">
        <v>19</v>
      </c>
      <c r="F91" s="25" t="s">
        <v>4628</v>
      </c>
      <c r="G91" s="25" t="s">
        <v>4554</v>
      </c>
      <c r="H91" s="25" t="s">
        <v>4555</v>
      </c>
      <c r="I91" s="25" t="s">
        <v>4556</v>
      </c>
      <c r="J91" s="25" t="s">
        <v>4557</v>
      </c>
      <c r="K91" s="25" t="s">
        <v>4558</v>
      </c>
      <c r="L91" s="25" t="s">
        <v>4559</v>
      </c>
      <c r="M91" s="25" t="s">
        <v>4560</v>
      </c>
      <c r="N91" s="25" t="s">
        <v>4561</v>
      </c>
      <c r="O91" s="25" t="s">
        <v>4562</v>
      </c>
      <c r="P91" s="25" t="s">
        <v>4563</v>
      </c>
      <c r="Q91" s="1" t="str">
        <f>CONCATENATE("a) ",(H95))</f>
        <v>a) a) They are under control</v>
      </c>
      <c r="R91" s="1" t="str">
        <f>CONCATENATE("b) ",(I95))</f>
        <v>b) b) They are losing local support</v>
      </c>
      <c r="S91" s="1" t="str">
        <f>CONCATENATE("c) ",(J95))</f>
        <v>c) c) They have infiltrated the Afghan Security Force</v>
      </c>
      <c r="T91" s="1" t="str">
        <f>CONCATENATE("d) ",(K95))</f>
        <v>d) d) They have limited education</v>
      </c>
      <c r="V91" s="1" t="str">
        <f>CONCATENATE("a) ",(M95))</f>
        <v xml:space="preserve">a) </v>
      </c>
      <c r="W91" s="1" t="str">
        <f>CONCATENATE("b) ",(N95))</f>
        <v xml:space="preserve">b) </v>
      </c>
      <c r="X91" s="1" t="str">
        <f>CONCATENATE("c) ",(O95))</f>
        <v xml:space="preserve">c) </v>
      </c>
      <c r="Y91" s="1" t="str">
        <f>CONCATENATE("d) ",(P95))</f>
        <v xml:space="preserve">d) </v>
      </c>
    </row>
    <row r="92" spans="1:25" ht="33.75" customHeight="1" x14ac:dyDescent="0.25">
      <c r="A92" s="25"/>
      <c r="B92" s="25"/>
      <c r="C92" s="25"/>
      <c r="D92" s="25"/>
      <c r="E92" s="25">
        <v>20</v>
      </c>
      <c r="F92" s="25" t="s">
        <v>4629</v>
      </c>
      <c r="G92" s="25" t="s">
        <v>4564</v>
      </c>
      <c r="H92" s="25" t="s">
        <v>4565</v>
      </c>
      <c r="I92" s="25" t="s">
        <v>4566</v>
      </c>
      <c r="J92" s="25" t="s">
        <v>4567</v>
      </c>
      <c r="K92" s="25" t="s">
        <v>4568</v>
      </c>
      <c r="L92" s="25" t="s">
        <v>4569</v>
      </c>
      <c r="M92" s="25" t="s">
        <v>4570</v>
      </c>
      <c r="N92" s="25" t="s">
        <v>4571</v>
      </c>
      <c r="O92" s="25" t="s">
        <v>4572</v>
      </c>
      <c r="P92" s="25" t="s">
        <v>4573</v>
      </c>
      <c r="Q92" s="1" t="str">
        <f>CONCATENATE("a) ",(H96))</f>
        <v>a) a) Villagers are enticing the bears to come to the village</v>
      </c>
      <c r="R92" s="1" t="str">
        <f>CONCATENATE("b) ",(I96))</f>
        <v>b) b) The bears have reappeared after previous danger of eradication</v>
      </c>
      <c r="S92" s="1" t="str">
        <f>CONCATENATE("c) ",(J96))</f>
        <v>c) c) It was previously easy to encounter a European brown bear</v>
      </c>
      <c r="T92" s="1" t="str">
        <f>CONCATENATE("d) ",(K96))</f>
        <v>d) d) The bears are currently close to extinction</v>
      </c>
      <c r="V92" s="1" t="str">
        <f>CONCATENATE("a) ",(M96))</f>
        <v xml:space="preserve">a) </v>
      </c>
      <c r="W92" s="1" t="str">
        <f>CONCATENATE("b) ",(N96))</f>
        <v xml:space="preserve">b) </v>
      </c>
      <c r="X92" s="1" t="str">
        <f>CONCATENATE("c) ",(O96))</f>
        <v xml:space="preserve">c) </v>
      </c>
      <c r="Y92" s="1" t="str">
        <f>CONCATENATE("d) ",(P96))</f>
        <v xml:space="preserve">d) </v>
      </c>
    </row>
    <row r="93" spans="1:25" ht="57.75" customHeight="1" x14ac:dyDescent="0.25">
      <c r="A93" s="26"/>
      <c r="B93" s="26"/>
      <c r="C93" s="26">
        <v>6</v>
      </c>
      <c r="D93" s="26" t="s">
        <v>1250</v>
      </c>
      <c r="E93" s="26">
        <v>1</v>
      </c>
      <c r="F93" s="26" t="s">
        <v>4208</v>
      </c>
      <c r="G93" s="26" t="s">
        <v>4305</v>
      </c>
      <c r="H93" s="26" t="s">
        <v>4223</v>
      </c>
      <c r="I93" s="26" t="s">
        <v>4224</v>
      </c>
      <c r="J93" s="26" t="s">
        <v>4225</v>
      </c>
      <c r="K93" s="26" t="s">
        <v>4226</v>
      </c>
      <c r="L93" s="26"/>
      <c r="M93" s="26"/>
      <c r="N93" s="26"/>
      <c r="O93" s="26"/>
      <c r="P93" s="26"/>
      <c r="Q93" s="1" t="str">
        <f>CONCATENATE("a) ",(H113))</f>
        <v>a) a) Mandula was quite fat when she was found.</v>
      </c>
      <c r="R93" s="1" t="str">
        <f>CONCATENATE("b) ",(I113))</f>
        <v>b) b) Csilla now has 7 cats living with her.</v>
      </c>
      <c r="S93" s="1" t="str">
        <f>CONCATENATE("c) ",(J113))</f>
        <v>c) c) Mandula likes eating almonds and watching TV.</v>
      </c>
      <c r="T93" s="1" t="str">
        <f>CONCATENATE("d) ",(K113))</f>
        <v>d) d) Csilla found homes for all of Mandula’s kittens.</v>
      </c>
      <c r="V93" s="1" t="str">
        <f>CONCATENATE("a) ",(M113))</f>
        <v xml:space="preserve">a) </v>
      </c>
      <c r="W93" s="1" t="str">
        <f>CONCATENATE("b) ",(N113))</f>
        <v xml:space="preserve">b) </v>
      </c>
      <c r="X93" s="1" t="str">
        <f>CONCATENATE("c) ",(O113))</f>
        <v xml:space="preserve">c) </v>
      </c>
      <c r="Y93" s="1" t="str">
        <f>CONCATENATE("d) ",(P113))</f>
        <v xml:space="preserve">d) </v>
      </c>
    </row>
    <row r="94" spans="1:25" ht="57.75" customHeight="1" x14ac:dyDescent="0.25">
      <c r="A94" s="26"/>
      <c r="B94" s="26"/>
      <c r="C94" s="26"/>
      <c r="D94" s="26" t="s">
        <v>4335</v>
      </c>
      <c r="E94" s="26">
        <v>2</v>
      </c>
      <c r="F94" s="26" t="s">
        <v>4209</v>
      </c>
      <c r="G94" s="26" t="s">
        <v>4306</v>
      </c>
      <c r="H94" s="26" t="s">
        <v>4227</v>
      </c>
      <c r="I94" s="26" t="s">
        <v>4228</v>
      </c>
      <c r="J94" s="26" t="s">
        <v>4229</v>
      </c>
      <c r="K94" s="26" t="s">
        <v>4230</v>
      </c>
      <c r="L94" s="26"/>
      <c r="M94" s="26"/>
      <c r="N94" s="26"/>
      <c r="O94" s="26"/>
      <c r="P94" s="26"/>
      <c r="Q94" s="1" t="str">
        <f t="shared" ref="Q94:Q111" si="14">CONCATENATE("a) ",(H114))</f>
        <v>a) a) The landing could be easily seen and heard by the enemy.</v>
      </c>
      <c r="R94" s="1" t="str">
        <f t="shared" ref="R94:R111" si="15">CONCATENATE("b) ",(I114))</f>
        <v>b) b) They tried to land the men and the equipment without being seen.</v>
      </c>
      <c r="S94" s="1" t="str">
        <f t="shared" ref="S94:S111" si="16">CONCATENATE("c) ",(J114))</f>
        <v>c) c) They had muffled the equipment so that no light could be seen.</v>
      </c>
      <c r="T94" s="1" t="str">
        <f t="shared" ref="T94:T111" si="17">CONCATENATE("d) ",(K114))</f>
        <v>d) d) They used secret codes so as to surprise the enemy.</v>
      </c>
      <c r="V94" s="1" t="str">
        <f t="shared" ref="V94:V111" si="18">CONCATENATE("a) ",(M114))</f>
        <v xml:space="preserve">a) </v>
      </c>
      <c r="W94" s="1" t="str">
        <f t="shared" ref="W94:W111" si="19">CONCATENATE("b) ",(N114))</f>
        <v xml:space="preserve">b) </v>
      </c>
      <c r="X94" s="1" t="str">
        <f t="shared" ref="X94:X111" si="20">CONCATENATE("c) ",(O114))</f>
        <v xml:space="preserve">c) </v>
      </c>
      <c r="Y94" s="1" t="str">
        <f t="shared" ref="Y94:Y111" si="21">CONCATENATE("d) ",(P114))</f>
        <v xml:space="preserve">d) </v>
      </c>
    </row>
    <row r="95" spans="1:25" ht="57.75" customHeight="1" x14ac:dyDescent="0.25">
      <c r="A95" s="26"/>
      <c r="B95" s="26"/>
      <c r="C95" s="26"/>
      <c r="D95" s="26" t="s">
        <v>359</v>
      </c>
      <c r="E95" s="26">
        <v>3</v>
      </c>
      <c r="F95" s="26" t="s">
        <v>4210</v>
      </c>
      <c r="G95" s="26" t="s">
        <v>4307</v>
      </c>
      <c r="H95" s="26" t="s">
        <v>4231</v>
      </c>
      <c r="I95" s="26" t="s">
        <v>4232</v>
      </c>
      <c r="J95" s="26" t="s">
        <v>4233</v>
      </c>
      <c r="K95" s="26" t="s">
        <v>4234</v>
      </c>
      <c r="L95" s="26"/>
      <c r="M95" s="26"/>
      <c r="N95" s="26"/>
      <c r="O95" s="26"/>
      <c r="P95" s="26"/>
      <c r="Q95" s="1" t="str">
        <f t="shared" si="14"/>
        <v>a) a) Some land mines have been found near the Iron Curtain.</v>
      </c>
      <c r="R95" s="1" t="str">
        <f t="shared" si="15"/>
        <v>b) b) There has been a proposal to protect the Iron Curtain from demolition.</v>
      </c>
      <c r="S95" s="1" t="str">
        <f t="shared" si="16"/>
        <v>c) c) The land around the Iron Curtain is home to many types of wildlife.</v>
      </c>
      <c r="T95" s="1" t="str">
        <f t="shared" si="17"/>
        <v>d) d) Some German states want to develop the Iron Curtain area.</v>
      </c>
      <c r="V95" s="1" t="str">
        <f t="shared" si="18"/>
        <v xml:space="preserve">a) </v>
      </c>
      <c r="W95" s="1" t="str">
        <f t="shared" si="19"/>
        <v xml:space="preserve">b) </v>
      </c>
      <c r="X95" s="1" t="str">
        <f t="shared" si="20"/>
        <v xml:space="preserve">c) </v>
      </c>
      <c r="Y95" s="1" t="str">
        <f t="shared" si="21"/>
        <v xml:space="preserve">d) </v>
      </c>
    </row>
    <row r="96" spans="1:25" ht="57.75" customHeight="1" x14ac:dyDescent="0.25">
      <c r="A96" s="26"/>
      <c r="B96" s="26"/>
      <c r="C96" s="26"/>
      <c r="D96" s="26"/>
      <c r="E96" s="26">
        <v>4</v>
      </c>
      <c r="F96" s="26" t="s">
        <v>4211</v>
      </c>
      <c r="G96" s="26" t="s">
        <v>4308</v>
      </c>
      <c r="H96" s="26" t="s">
        <v>4235</v>
      </c>
      <c r="I96" s="26" t="s">
        <v>4236</v>
      </c>
      <c r="J96" s="26" t="s">
        <v>4237</v>
      </c>
      <c r="K96" s="26" t="s">
        <v>4238</v>
      </c>
      <c r="L96" s="26"/>
      <c r="M96" s="26"/>
      <c r="N96" s="26"/>
      <c r="O96" s="26"/>
      <c r="P96" s="26"/>
      <c r="Q96" s="1" t="str">
        <f t="shared" si="14"/>
        <v>a) a) He/she changes plans easily.</v>
      </c>
      <c r="R96" s="1" t="str">
        <f t="shared" si="15"/>
        <v>b) b) He/she is domineering.</v>
      </c>
      <c r="S96" s="1" t="str">
        <f t="shared" si="16"/>
        <v>c) c) He/she is firm.</v>
      </c>
      <c r="T96" s="1" t="str">
        <f t="shared" si="17"/>
        <v>d) d) He/she has a masculine nature.</v>
      </c>
      <c r="V96" s="1" t="str">
        <f t="shared" si="18"/>
        <v xml:space="preserve">a) </v>
      </c>
      <c r="W96" s="1" t="str">
        <f t="shared" si="19"/>
        <v xml:space="preserve">b) </v>
      </c>
      <c r="X96" s="1" t="str">
        <f t="shared" si="20"/>
        <v xml:space="preserve">c) </v>
      </c>
      <c r="Y96" s="1" t="str">
        <f t="shared" si="21"/>
        <v xml:space="preserve">d) </v>
      </c>
    </row>
    <row r="97" spans="1:25" ht="57.75" customHeight="1" x14ac:dyDescent="0.25">
      <c r="A97" s="26"/>
      <c r="B97" s="26"/>
      <c r="C97" s="26"/>
      <c r="D97" s="26"/>
      <c r="E97" s="26">
        <v>5</v>
      </c>
      <c r="F97" s="26" t="s">
        <v>4212</v>
      </c>
      <c r="G97" s="26" t="s">
        <v>4309</v>
      </c>
      <c r="H97" s="26" t="s">
        <v>4239</v>
      </c>
      <c r="I97" s="26" t="s">
        <v>4240</v>
      </c>
      <c r="J97" s="26" t="s">
        <v>4241</v>
      </c>
      <c r="K97" s="26" t="s">
        <v>4242</v>
      </c>
      <c r="L97" s="26"/>
      <c r="M97" s="26"/>
      <c r="N97" s="26"/>
      <c r="O97" s="26"/>
      <c r="P97" s="26"/>
      <c r="Q97" s="1" t="str">
        <f t="shared" si="14"/>
        <v>a) a) They receive a check for $20,000 in prize money.</v>
      </c>
      <c r="R97" s="1" t="str">
        <f t="shared" si="15"/>
        <v>b) b) They receive a green jacket which they keep for life.</v>
      </c>
      <c r="S97" s="1" t="str">
        <f t="shared" si="16"/>
        <v>c) c) They present a green jacket to the next year’s winner.</v>
      </c>
      <c r="T97" s="1" t="str">
        <f t="shared" si="17"/>
        <v>d) d) They can wear their green jacket to other golf tournaments.</v>
      </c>
      <c r="V97" s="1" t="str">
        <f t="shared" si="18"/>
        <v xml:space="preserve">a) </v>
      </c>
      <c r="W97" s="1" t="str">
        <f t="shared" si="19"/>
        <v xml:space="preserve">b) </v>
      </c>
      <c r="X97" s="1" t="str">
        <f t="shared" si="20"/>
        <v xml:space="preserve">c) </v>
      </c>
      <c r="Y97" s="1" t="str">
        <f t="shared" si="21"/>
        <v xml:space="preserve">d) </v>
      </c>
    </row>
    <row r="98" spans="1:25" ht="57.75" customHeight="1" x14ac:dyDescent="0.25">
      <c r="A98" s="26"/>
      <c r="B98" s="26"/>
      <c r="C98" s="26"/>
      <c r="D98" s="26"/>
      <c r="E98" s="26">
        <v>6</v>
      </c>
      <c r="F98" s="26" t="s">
        <v>4213</v>
      </c>
      <c r="G98" s="26" t="s">
        <v>4310</v>
      </c>
      <c r="H98" s="26" t="s">
        <v>4243</v>
      </c>
      <c r="I98" s="26" t="s">
        <v>4244</v>
      </c>
      <c r="J98" s="26" t="s">
        <v>4245</v>
      </c>
      <c r="K98" s="26" t="s">
        <v>4246</v>
      </c>
      <c r="L98" s="26"/>
      <c r="M98" s="26"/>
      <c r="N98" s="26"/>
      <c r="O98" s="26"/>
      <c r="P98" s="26"/>
      <c r="Q98" s="1" t="str">
        <f t="shared" si="14"/>
        <v>a) a) warm the alioli sauce.</v>
      </c>
      <c r="R98" s="1" t="str">
        <f t="shared" si="15"/>
        <v>b) b) make a paste with the asparagus.</v>
      </c>
      <c r="S98" s="1" t="str">
        <f t="shared" si="16"/>
        <v>c) c) add the alioli sauce before serving.</v>
      </c>
      <c r="T98" s="1" t="str">
        <f t="shared" si="17"/>
        <v>d) d) fry the asparagus.</v>
      </c>
      <c r="V98" s="1" t="str">
        <f t="shared" si="18"/>
        <v xml:space="preserve">a) </v>
      </c>
      <c r="W98" s="1" t="str">
        <f t="shared" si="19"/>
        <v xml:space="preserve">b) </v>
      </c>
      <c r="X98" s="1" t="str">
        <f t="shared" si="20"/>
        <v xml:space="preserve">c) </v>
      </c>
      <c r="Y98" s="1" t="str">
        <f t="shared" si="21"/>
        <v xml:space="preserve">d) </v>
      </c>
    </row>
    <row r="99" spans="1:25" ht="57.75" customHeight="1" x14ac:dyDescent="0.25">
      <c r="A99" s="26"/>
      <c r="B99" s="26"/>
      <c r="C99" s="26"/>
      <c r="D99" s="26"/>
      <c r="E99" s="26">
        <v>7</v>
      </c>
      <c r="F99" s="26" t="s">
        <v>4214</v>
      </c>
      <c r="G99" s="26" t="s">
        <v>4311</v>
      </c>
      <c r="H99" s="26" t="s">
        <v>4247</v>
      </c>
      <c r="I99" s="26" t="s">
        <v>4248</v>
      </c>
      <c r="J99" s="26" t="s">
        <v>4249</v>
      </c>
      <c r="K99" s="26" t="s">
        <v>4250</v>
      </c>
      <c r="L99" s="26"/>
      <c r="M99" s="26"/>
      <c r="N99" s="26"/>
      <c r="O99" s="26"/>
      <c r="P99" s="26"/>
      <c r="Q99" s="1" t="str">
        <f t="shared" si="14"/>
        <v>a) a) Mr. Karnis used to have to wait to travel across borders.</v>
      </c>
      <c r="R99" s="1" t="str">
        <f t="shared" si="15"/>
        <v>b) b) Central Europeans have to show their passports at borders.</v>
      </c>
      <c r="S99" s="1" t="str">
        <f t="shared" si="16"/>
        <v>c) c) Mr. Karnis enjoys travelling with his neighbor on holidays.</v>
      </c>
      <c r="T99" s="1" t="str">
        <f t="shared" si="17"/>
        <v>d) d) Rudolf Karnis and Peter Svancar both live in Poland.</v>
      </c>
      <c r="V99" s="1" t="str">
        <f t="shared" si="18"/>
        <v xml:space="preserve">a) </v>
      </c>
      <c r="W99" s="1" t="str">
        <f t="shared" si="19"/>
        <v xml:space="preserve">b) </v>
      </c>
      <c r="X99" s="1" t="str">
        <f t="shared" si="20"/>
        <v xml:space="preserve">c) </v>
      </c>
      <c r="Y99" s="1" t="str">
        <f t="shared" si="21"/>
        <v xml:space="preserve">d) </v>
      </c>
    </row>
    <row r="100" spans="1:25" ht="57.75" customHeight="1" x14ac:dyDescent="0.25">
      <c r="A100" s="26"/>
      <c r="B100" s="26"/>
      <c r="C100" s="26"/>
      <c r="D100" s="26"/>
      <c r="E100" s="26">
        <v>8</v>
      </c>
      <c r="F100" s="26" t="s">
        <v>4215</v>
      </c>
      <c r="G100" s="26" t="s">
        <v>4312</v>
      </c>
      <c r="H100" s="26" t="s">
        <v>4251</v>
      </c>
      <c r="I100" s="26" t="s">
        <v>4252</v>
      </c>
      <c r="J100" s="26" t="s">
        <v>4253</v>
      </c>
      <c r="K100" s="26" t="s">
        <v>4254</v>
      </c>
      <c r="L100" s="26"/>
      <c r="M100" s="26"/>
      <c r="N100" s="26"/>
      <c r="O100" s="26"/>
      <c r="P100" s="26"/>
      <c r="Q100" s="1" t="str">
        <f t="shared" si="14"/>
        <v>a) a) A health inspector closed a restaurant selling poison mushrooms.</v>
      </c>
      <c r="R100" s="1" t="str">
        <f t="shared" si="15"/>
        <v>b) b) A restaurant manager’s attempt to save money caused a big problem.</v>
      </c>
      <c r="S100" s="1" t="str">
        <f t="shared" si="16"/>
        <v>c) c) Several people became ill after eating mushrooms they collected.</v>
      </c>
      <c r="T100" s="1" t="str">
        <f t="shared" si="17"/>
        <v>d) d) Several people have accused the manager of poisoning them.</v>
      </c>
      <c r="V100" s="1" t="str">
        <f t="shared" si="18"/>
        <v xml:space="preserve">a) </v>
      </c>
      <c r="W100" s="1" t="str">
        <f t="shared" si="19"/>
        <v xml:space="preserve">b) </v>
      </c>
      <c r="X100" s="1" t="str">
        <f t="shared" si="20"/>
        <v xml:space="preserve">c) </v>
      </c>
      <c r="Y100" s="1" t="str">
        <f t="shared" si="21"/>
        <v xml:space="preserve">d) </v>
      </c>
    </row>
    <row r="101" spans="1:25" ht="57.75" customHeight="1" x14ac:dyDescent="0.25">
      <c r="A101" s="26"/>
      <c r="B101" s="26"/>
      <c r="C101" s="26"/>
      <c r="D101" s="26"/>
      <c r="E101" s="26">
        <v>9</v>
      </c>
      <c r="F101" s="26" t="s">
        <v>4216</v>
      </c>
      <c r="G101" s="26" t="s">
        <v>4313</v>
      </c>
      <c r="H101" s="26" t="s">
        <v>4255</v>
      </c>
      <c r="I101" s="26" t="s">
        <v>4256</v>
      </c>
      <c r="J101" s="26" t="s">
        <v>4257</v>
      </c>
      <c r="K101" s="26" t="s">
        <v>4258</v>
      </c>
      <c r="L101" s="26"/>
      <c r="M101" s="26"/>
      <c r="N101" s="26"/>
      <c r="O101" s="26"/>
      <c r="P101" s="26"/>
      <c r="Q101" s="1" t="str">
        <f t="shared" si="14"/>
        <v>a) a) Burning biomass produces more electricity than burning fossil fuels.</v>
      </c>
      <c r="R101" s="1" t="str">
        <f t="shared" si="15"/>
        <v>b) b) There should be more credits available for funding biomass projects.</v>
      </c>
      <c r="S101" s="1" t="str">
        <f t="shared" si="16"/>
        <v>c) c) Fears about the efficiency of biomass need to be considered.</v>
      </c>
      <c r="T101" s="1" t="str">
        <f t="shared" si="17"/>
        <v>d) d) Replacing fossil fuels with biomass would reduce our carbon footprint.</v>
      </c>
      <c r="V101" s="1" t="str">
        <f t="shared" si="18"/>
        <v>a) a) The line between renewable and non-renewable energies is very thin.</v>
      </c>
      <c r="W101" s="1" t="str">
        <f t="shared" si="19"/>
        <v>b) b) Carbon dioxide produced by burning biomass and fossil fuel cannot be equated.</v>
      </c>
      <c r="X101" s="1" t="str">
        <f t="shared" si="20"/>
        <v>c) c) Biomass energy has become a cheap and competitive alternative fuel.</v>
      </c>
      <c r="Y101" s="1" t="str">
        <f t="shared" si="21"/>
        <v>d) d) Scientists need to study and clarify the benefits of biomass energy.</v>
      </c>
    </row>
    <row r="102" spans="1:25" ht="57.75" customHeight="1" x14ac:dyDescent="0.25">
      <c r="A102" s="26"/>
      <c r="B102" s="26"/>
      <c r="C102" s="26"/>
      <c r="D102" s="26"/>
      <c r="E102" s="26">
        <v>10</v>
      </c>
      <c r="F102" s="26" t="s">
        <v>4217</v>
      </c>
      <c r="G102" s="26" t="s">
        <v>4314</v>
      </c>
      <c r="H102" s="26" t="s">
        <v>1663</v>
      </c>
      <c r="I102" s="26" t="s">
        <v>1664</v>
      </c>
      <c r="J102" s="26" t="s">
        <v>1665</v>
      </c>
      <c r="K102" s="26" t="s">
        <v>4259</v>
      </c>
      <c r="L102" s="26"/>
      <c r="M102" s="26"/>
      <c r="N102" s="26"/>
      <c r="O102" s="26"/>
      <c r="P102" s="26"/>
      <c r="Q102" s="1" t="str">
        <f t="shared" si="14"/>
        <v>a) a) New methods of testing have exposed much higher numbers of microbes in water and
air supplies than previously suspected.</v>
      </c>
      <c r="R102" s="1" t="str">
        <f t="shared" si="15"/>
        <v>b) b) There are no effective ways to decrease the amount of bacteria you are exposed to in
the shower.</v>
      </c>
      <c r="S102" s="1" t="str">
        <f t="shared" si="16"/>
        <v>c) c) Bacteria builds up over time, so the longer your shower, the more bacteria you are
exposed to.</v>
      </c>
      <c r="T102" s="1" t="str">
        <f t="shared" si="17"/>
        <v>d) d) There are some simple steps you can take to greatly reduce the amount of bacteria
inhaled while in the shower.</v>
      </c>
      <c r="V102" s="1" t="str">
        <f t="shared" si="18"/>
        <v>a) a) He doesn't understand how someone could undertake this kind of disgusting research.</v>
      </c>
      <c r="W102" s="1" t="str">
        <f t="shared" si="19"/>
        <v>b) b) Even though this type of research is important, we shouldn't think about it in our day to
day lives.</v>
      </c>
      <c r="X102" s="1" t="str">
        <f t="shared" si="20"/>
        <v>c) c) We would be better off if scientists didn't undertake this kind of research because it just
makes us more paranoid.</v>
      </c>
      <c r="Y102" s="1" t="str">
        <f t="shared" si="21"/>
        <v>d) d) The research is rather pointless since so much of the bacteria can't be identified with
current techniques.</v>
      </c>
    </row>
    <row r="103" spans="1:25" ht="57.75" customHeight="1" x14ac:dyDescent="0.25">
      <c r="A103" s="26"/>
      <c r="B103" s="26"/>
      <c r="C103" s="26"/>
      <c r="D103" s="26"/>
      <c r="E103" s="26">
        <v>11</v>
      </c>
      <c r="F103" s="26" t="s">
        <v>4218</v>
      </c>
      <c r="G103" s="26" t="s">
        <v>4315</v>
      </c>
      <c r="H103" s="26" t="s">
        <v>4265</v>
      </c>
      <c r="I103" s="26" t="s">
        <v>4266</v>
      </c>
      <c r="J103" s="26" t="s">
        <v>4267</v>
      </c>
      <c r="K103" s="26" t="s">
        <v>4268</v>
      </c>
      <c r="L103" s="26" t="s">
        <v>4325</v>
      </c>
      <c r="M103" s="26" t="s">
        <v>4286</v>
      </c>
      <c r="N103" s="26" t="s">
        <v>4287</v>
      </c>
      <c r="O103" s="26" t="s">
        <v>4288</v>
      </c>
      <c r="P103" s="26" t="s">
        <v>4289</v>
      </c>
      <c r="Q103" s="1" t="str">
        <f t="shared" si="14"/>
        <v>a) a) Young stars have come to expect the same treatment and paychecks as established
stars.</v>
      </c>
      <c r="R103" s="1" t="str">
        <f t="shared" si="15"/>
        <v>b) b) Among older viewers, films starring young actors are still not as popular as adult
dramas.</v>
      </c>
      <c r="S103" s="1" t="str">
        <f t="shared" si="16"/>
        <v>c) c) Some flawed films have proven to be very popular based on the appeal of LaBeouf.</v>
      </c>
      <c r="T103" s="1" t="str">
        <f t="shared" si="17"/>
        <v>d) d) Adults' taste in films are now more aligned with those of younger viewers.</v>
      </c>
      <c r="V103" s="1" t="str">
        <f t="shared" si="18"/>
        <v>a) a) LaBeouf is representative of a youth fad that will pass quickly.</v>
      </c>
      <c r="W103" s="1" t="str">
        <f t="shared" si="19"/>
        <v>b) b) The failure of recent adult dramas to perform at the box office is clearly due to the
quality of the films themselves.</v>
      </c>
      <c r="X103" s="1" t="str">
        <f t="shared" si="20"/>
        <v>c) c) LaBeouf and other young stars are displacing more talented actors because they are
so much in demand.</v>
      </c>
      <c r="Y103" s="1" t="str">
        <f t="shared" si="21"/>
        <v>d) d) LaBeouf and other young stars are displacing more talented actors because they are
so much in demand.</v>
      </c>
    </row>
    <row r="104" spans="1:25" ht="57.75" customHeight="1" x14ac:dyDescent="0.25">
      <c r="A104" s="26"/>
      <c r="B104" s="26"/>
      <c r="C104" s="26"/>
      <c r="D104" s="26"/>
      <c r="E104" s="26">
        <v>12</v>
      </c>
      <c r="F104" s="26" t="s">
        <v>4219</v>
      </c>
      <c r="G104" s="26" t="s">
        <v>4316</v>
      </c>
      <c r="H104" s="26" t="s">
        <v>4269</v>
      </c>
      <c r="I104" s="26" t="s">
        <v>4270</v>
      </c>
      <c r="J104" s="26" t="s">
        <v>1644</v>
      </c>
      <c r="K104" s="26" t="s">
        <v>4271</v>
      </c>
      <c r="L104" s="26" t="s">
        <v>4326</v>
      </c>
      <c r="M104" s="26" t="s">
        <v>1666</v>
      </c>
      <c r="N104" s="26" t="s">
        <v>4290</v>
      </c>
      <c r="O104" s="26" t="s">
        <v>4291</v>
      </c>
      <c r="P104" s="26" t="s">
        <v>1667</v>
      </c>
      <c r="Q104" s="1" t="str">
        <f t="shared" si="14"/>
        <v>a) a) Many U.S. citizens have recently begun demanding insurance for illegal workers,
especially those working dangerous jobs.</v>
      </c>
      <c r="R104" s="1" t="str">
        <f t="shared" si="15"/>
        <v>b) b) Having illegal workers take part in a universal care system would likely benefit the
whole system.</v>
      </c>
      <c r="S104" s="1" t="str">
        <f t="shared" si="16"/>
        <v>c) c) It makes financial sense to develop a separate system of health care solely for illegal
immigrants.</v>
      </c>
      <c r="T104" s="1" t="str">
        <f t="shared" si="17"/>
        <v>d) d) Importing legal workers from other countries would be more beneficial than insuring
illegal workers already in the U.S.</v>
      </c>
      <c r="V104" s="1" t="str">
        <f t="shared" si="18"/>
        <v>a) a) Insuring illegal workers is a good idea as long as we oblige them to leave before they
get old.</v>
      </c>
      <c r="W104" s="1" t="str">
        <f t="shared" si="19"/>
        <v>b) b) Insuring illegal workers would only encourage more to come to the U.S., which over
time, would burden the system.</v>
      </c>
      <c r="X104" s="1" t="str">
        <f t="shared" si="20"/>
        <v>c) c) The fact that many of the workers are criminals makes the plan politically untenable.</v>
      </c>
      <c r="Y104" s="1" t="str">
        <f t="shared" si="21"/>
        <v>d) d) Though a good idea, his plan to insure illegal immigrants is unlikely to ever take place.</v>
      </c>
    </row>
    <row r="105" spans="1:25" ht="57.75" customHeight="1" x14ac:dyDescent="0.25">
      <c r="A105" s="26"/>
      <c r="B105" s="26"/>
      <c r="C105" s="26"/>
      <c r="D105" s="26"/>
      <c r="E105" s="26">
        <v>13</v>
      </c>
      <c r="F105" s="26" t="s">
        <v>4220</v>
      </c>
      <c r="G105" s="26" t="s">
        <v>4317</v>
      </c>
      <c r="H105" s="26" t="s">
        <v>4272</v>
      </c>
      <c r="I105" s="26" t="s">
        <v>1645</v>
      </c>
      <c r="J105" s="26" t="s">
        <v>4273</v>
      </c>
      <c r="K105" s="26" t="s">
        <v>4274</v>
      </c>
      <c r="L105" s="26" t="s">
        <v>4327</v>
      </c>
      <c r="M105" s="26" t="s">
        <v>1668</v>
      </c>
      <c r="N105" s="26" t="s">
        <v>1669</v>
      </c>
      <c r="O105" s="26" t="s">
        <v>1670</v>
      </c>
      <c r="P105" s="26" t="s">
        <v>1671</v>
      </c>
      <c r="Q105" s="1" t="str">
        <f t="shared" si="14"/>
        <v>a) a) The rise of computers and cellphones should take most of the blame for the decline.</v>
      </c>
      <c r="R105" s="1" t="str">
        <f t="shared" si="15"/>
        <v>b) b) Nothing good comes out of learning to write on computers and text messages.</v>
      </c>
      <c r="S105" s="1" t="str">
        <f t="shared" si="16"/>
        <v>c) c) The unreliability of early ballpoint pens discouraged people from learning to write well.</v>
      </c>
      <c r="T105" s="1" t="str">
        <f t="shared" si="17"/>
        <v>d) d) The skills improved by learning to handwrite are more useful than those improved by
learning to type.</v>
      </c>
      <c r="V105" s="1" t="str">
        <f t="shared" si="18"/>
        <v>a) a) Handwriting, like many other skills in human history, will likely pass into obscurity.</v>
      </c>
      <c r="W105" s="1" t="str">
        <f t="shared" si="19"/>
        <v>b) b) Handwriting will become a hobby that people will develop despite its anachronism.</v>
      </c>
      <c r="X105" s="1" t="str">
        <f t="shared" si="20"/>
        <v>c) c) Sending children to handwriting schools would be useful only if other subjects were
taught.</v>
      </c>
      <c r="Y105" s="1" t="str">
        <f t="shared" si="21"/>
        <v>d) d) Like horseback riding and sailing, handwriting will likely develop into a pastime for the
elite.</v>
      </c>
    </row>
    <row r="106" spans="1:25" ht="57.75" customHeight="1" x14ac:dyDescent="0.25">
      <c r="A106" s="26"/>
      <c r="B106" s="26"/>
      <c r="C106" s="26"/>
      <c r="D106" s="26"/>
      <c r="E106" s="26">
        <v>14</v>
      </c>
      <c r="F106" s="26" t="s">
        <v>4221</v>
      </c>
      <c r="G106" s="26" t="s">
        <v>4318</v>
      </c>
      <c r="H106" s="26" t="s">
        <v>4275</v>
      </c>
      <c r="I106" s="26" t="s">
        <v>4276</v>
      </c>
      <c r="J106" s="26" t="s">
        <v>4277</v>
      </c>
      <c r="K106" s="26" t="s">
        <v>4278</v>
      </c>
      <c r="L106" s="26" t="s">
        <v>4328</v>
      </c>
      <c r="M106" s="26" t="s">
        <v>4292</v>
      </c>
      <c r="N106" s="26" t="s">
        <v>4293</v>
      </c>
      <c r="O106" s="26" t="s">
        <v>4294</v>
      </c>
      <c r="P106" s="26" t="s">
        <v>4295</v>
      </c>
      <c r="Q106" s="1" t="str">
        <f t="shared" si="14"/>
        <v>a) a) Canadians still remain skeptical of the U.S.’s governing style.</v>
      </c>
      <c r="R106" s="1" t="str">
        <f t="shared" si="15"/>
        <v>b) b) Canadians generally support their American counterparts.</v>
      </c>
      <c r="S106" s="1" t="str">
        <f t="shared" si="16"/>
        <v>c) c) Canadians have softened their views towards the U.S.</v>
      </c>
      <c r="T106" s="1" t="str">
        <f t="shared" si="17"/>
        <v>d) d) Canadians have placed great expectations in America’s new government.</v>
      </c>
      <c r="V106" s="1" t="str">
        <f t="shared" si="18"/>
        <v>a) a) Canadians share the same anti-American sentiments as those of other countries.</v>
      </c>
      <c r="W106" s="1" t="str">
        <f t="shared" si="19"/>
        <v>b) b) The capitalist market in America is just as cruel and outdated as it ever was.</v>
      </c>
      <c r="X106" s="1" t="str">
        <f t="shared" si="20"/>
        <v>c) c) Canadians have begun shedding some of their fearful anti-Americanism.</v>
      </c>
      <c r="Y106" s="1" t="str">
        <f t="shared" si="21"/>
        <v>d) d) Canada's own financial disaster has caused them sympathy for the American plight.</v>
      </c>
    </row>
    <row r="107" spans="1:25" ht="57.75" customHeight="1" x14ac:dyDescent="0.25">
      <c r="A107" s="26"/>
      <c r="B107" s="26"/>
      <c r="C107" s="26"/>
      <c r="D107" s="26"/>
      <c r="E107" s="26">
        <v>15</v>
      </c>
      <c r="F107" s="26" t="s">
        <v>4222</v>
      </c>
      <c r="G107" s="26" t="s">
        <v>4319</v>
      </c>
      <c r="H107" s="26" t="s">
        <v>4279</v>
      </c>
      <c r="I107" s="26" t="s">
        <v>1646</v>
      </c>
      <c r="J107" s="26" t="s">
        <v>1647</v>
      </c>
      <c r="K107" s="26" t="s">
        <v>1648</v>
      </c>
      <c r="L107" s="26" t="s">
        <v>4329</v>
      </c>
      <c r="M107" s="26" t="s">
        <v>4296</v>
      </c>
      <c r="N107" s="26" t="s">
        <v>1672</v>
      </c>
      <c r="O107" s="26" t="s">
        <v>1673</v>
      </c>
      <c r="P107" s="26" t="s">
        <v>4297</v>
      </c>
      <c r="Q107" s="1" t="str">
        <f t="shared" si="14"/>
        <v>a) a) solutions for global warming must be developed in the First World and disseminated to
developing countries.</v>
      </c>
      <c r="R107" s="1" t="str">
        <f t="shared" si="15"/>
        <v>b) b) contraception campaigns in the developing world will solve the problem of global
warming.</v>
      </c>
      <c r="S107" s="1" t="str">
        <f t="shared" si="16"/>
        <v>c) c) a cap-and-trade program for babies could be a viable solution to curb population
growth.</v>
      </c>
      <c r="T107" s="1" t="str">
        <f t="shared" si="17"/>
        <v>d) d) in poor countries, women control the number of children that a family has.</v>
      </c>
      <c r="V107" s="1" t="str">
        <f t="shared" si="18"/>
        <v>a) a) Limits should be palced on the number of children per family in those places.</v>
      </c>
      <c r="W107" s="1" t="str">
        <f t="shared" si="19"/>
        <v>b) b) The developed nations must restrict their industrialization.</v>
      </c>
      <c r="X107" s="1" t="str">
        <f t="shared" si="20"/>
        <v>c) c) They must develope using new, cleaner technologies.</v>
      </c>
      <c r="Y107" s="1" t="str">
        <f t="shared" si="21"/>
        <v>d) d) Contraception and education campaigns should reduce the population before they
industrialize</v>
      </c>
    </row>
    <row r="108" spans="1:25" ht="57.75" customHeight="1" x14ac:dyDescent="0.25">
      <c r="A108" s="26"/>
      <c r="B108" s="26"/>
      <c r="C108" s="26"/>
      <c r="D108" s="26"/>
      <c r="E108" s="26">
        <v>16</v>
      </c>
      <c r="F108" s="26" t="s">
        <v>4260</v>
      </c>
      <c r="G108" s="26" t="s">
        <v>4320</v>
      </c>
      <c r="H108" s="26" t="s">
        <v>4280</v>
      </c>
      <c r="I108" s="26" t="s">
        <v>4281</v>
      </c>
      <c r="J108" s="26" t="s">
        <v>1649</v>
      </c>
      <c r="K108" s="26" t="s">
        <v>1650</v>
      </c>
      <c r="L108" s="26" t="s">
        <v>4330</v>
      </c>
      <c r="M108" s="26" t="s">
        <v>4298</v>
      </c>
      <c r="N108" s="26" t="s">
        <v>4299</v>
      </c>
      <c r="O108" s="26" t="s">
        <v>4300</v>
      </c>
      <c r="P108" s="26" t="s">
        <v>4301</v>
      </c>
      <c r="Q108" s="1" t="str">
        <f t="shared" si="14"/>
        <v>a) a) Special-interest groups abuse the system to further their own goals.</v>
      </c>
      <c r="R108" s="1" t="str">
        <f t="shared" si="15"/>
        <v>b) b) The same progressives who created the system have, over time, crippled it to the point
of ineffectiveness.</v>
      </c>
      <c r="S108" s="1" t="str">
        <f t="shared" si="16"/>
        <v>c) c) California´s system means that anyone can propose a spending bill as long as they
have enough public support.</v>
      </c>
      <c r="T108" s="1" t="str">
        <f t="shared" si="17"/>
        <v>d) d) California´s system of democracy encourages spending while making it difficult to raise
money.</v>
      </c>
      <c r="V108" s="1" t="str">
        <f t="shared" si="18"/>
        <v>a) a) Though the system had admirable goals at its creation, nowadays it is ineffective.</v>
      </c>
      <c r="W108" s="1" t="str">
        <f t="shared" si="19"/>
        <v>b) b) Unions should have done more to prevent rich people and business from taking
advantage of the system.</v>
      </c>
      <c r="X108" s="1" t="str">
        <f t="shared" si="20"/>
        <v>c) c) The idea of the initiative system was flawed from the start.</v>
      </c>
      <c r="Y108" s="1" t="str">
        <f t="shared" si="21"/>
        <v>d) d) California is an example of how the power of demoncracy works in practice.</v>
      </c>
    </row>
    <row r="109" spans="1:25" ht="57.75" customHeight="1" x14ac:dyDescent="0.25">
      <c r="A109" s="26"/>
      <c r="B109" s="26"/>
      <c r="C109" s="26"/>
      <c r="D109" s="26"/>
      <c r="E109" s="26">
        <v>17</v>
      </c>
      <c r="F109" s="26" t="s">
        <v>4261</v>
      </c>
      <c r="G109" s="26" t="s">
        <v>4321</v>
      </c>
      <c r="H109" s="26" t="s">
        <v>1651</v>
      </c>
      <c r="I109" s="26" t="s">
        <v>1652</v>
      </c>
      <c r="J109" s="26" t="s">
        <v>1653</v>
      </c>
      <c r="K109" s="26" t="s">
        <v>1654</v>
      </c>
      <c r="L109" s="26" t="s">
        <v>4331</v>
      </c>
      <c r="M109" s="26" t="s">
        <v>1674</v>
      </c>
      <c r="N109" s="26" t="s">
        <v>1675</v>
      </c>
      <c r="O109" s="26" t="s">
        <v>4302</v>
      </c>
      <c r="P109" s="26" t="s">
        <v>4303</v>
      </c>
      <c r="Q109" s="1" t="str">
        <f t="shared" si="14"/>
        <v>a) a) We must focus on issues of the mistreatment of animals before opening such an
expensive health centre.</v>
      </c>
      <c r="R109" s="1" t="str">
        <f t="shared" si="15"/>
        <v>b) b) The centre should be opened, but should not include facilities for euthanasia.</v>
      </c>
      <c r="S109" s="1" t="str">
        <f t="shared" si="16"/>
        <v>c) c) Given the amount of money spent on the treatment of humans, we can afford to help
animals.</v>
      </c>
      <c r="T109" s="1" t="str">
        <f t="shared" si="17"/>
        <v>d) d) The centre should be opened, but the money should not come from the NHS budget.</v>
      </c>
      <c r="V109" s="1" t="str">
        <f t="shared" si="18"/>
        <v>a) a) Even if animals didn´t feel the same emotional range as humans, we would still have to
care for them</v>
      </c>
      <c r="W109" s="1" t="str">
        <f t="shared" si="19"/>
        <v>b) b) It´s only acceptable to euthanize those animals which have been mistreated,
abandoned, or live in pain.</v>
      </c>
      <c r="X109" s="1" t="str">
        <f t="shared" si="20"/>
        <v>c) c) It is immoral to spend money on expensive veterinarian facilities while many humans
are in need of health care.</v>
      </c>
      <c r="Y109" s="1" t="str">
        <f t="shared" si="21"/>
        <v>d) d) We must provide care for domesticated animals because we have made them
dependent on us.</v>
      </c>
    </row>
    <row r="110" spans="1:25" ht="57.75" customHeight="1" x14ac:dyDescent="0.25">
      <c r="A110" s="26"/>
      <c r="B110" s="26"/>
      <c r="C110" s="26"/>
      <c r="D110" s="26"/>
      <c r="E110" s="26">
        <v>18</v>
      </c>
      <c r="F110" s="26" t="s">
        <v>4262</v>
      </c>
      <c r="G110" s="26" t="s">
        <v>4322</v>
      </c>
      <c r="H110" s="26" t="s">
        <v>1655</v>
      </c>
      <c r="I110" s="26" t="s">
        <v>1656</v>
      </c>
      <c r="J110" s="26" t="s">
        <v>4282</v>
      </c>
      <c r="K110" s="26" t="s">
        <v>4283</v>
      </c>
      <c r="L110" s="26" t="s">
        <v>4332</v>
      </c>
      <c r="M110" s="26" t="s">
        <v>1676</v>
      </c>
      <c r="N110" s="26" t="s">
        <v>1677</v>
      </c>
      <c r="O110" s="26" t="s">
        <v>1678</v>
      </c>
      <c r="P110" s="26" t="s">
        <v>1679</v>
      </c>
      <c r="Q110" s="1" t="str">
        <f t="shared" si="14"/>
        <v>a) a) Documentary filmmakers have been unjustly accused of manipulating facts.</v>
      </c>
      <c r="R110" s="1" t="str">
        <f t="shared" si="15"/>
        <v>b) b) The truth presented in documentary films may be more skewed than the viewer
expected.</v>
      </c>
      <c r="S110" s="1" t="str">
        <f t="shared" si="16"/>
        <v>c) c) Documentary filmmakers are solely interested in presenting the facts and the higher
truth.</v>
      </c>
      <c r="T110" s="1" t="str">
        <f t="shared" si="17"/>
        <v>d) d) The conventional ethics learned at the school of journalists was corroborated.</v>
      </c>
      <c r="V110" s="1" t="str">
        <f t="shared" si="18"/>
        <v>a) a) Some documentary filmmmakers find it acceptable to manipulate small facts in the
name of social justice.</v>
      </c>
      <c r="W110" s="1" t="str">
        <f t="shared" si="19"/>
        <v>b) b) Documentary filmmakers seeking an audience or funding should manipulate facts.</v>
      </c>
      <c r="X110" s="1" t="str">
        <f t="shared" si="20"/>
        <v>c) c) Documentaries, which concern issues of social justice, have a greater responsibility to
be accurate.</v>
      </c>
      <c r="Y110" s="1" t="str">
        <f t="shared" si="21"/>
        <v>d) d) Filmmakers who are passionate about their subject matter shouldn't be restricted by
the truth.</v>
      </c>
    </row>
    <row r="111" spans="1:25" ht="57.75" customHeight="1" x14ac:dyDescent="0.25">
      <c r="A111" s="26"/>
      <c r="B111" s="26"/>
      <c r="C111" s="26"/>
      <c r="D111" s="26"/>
      <c r="E111" s="26">
        <v>19</v>
      </c>
      <c r="F111" s="26" t="s">
        <v>4263</v>
      </c>
      <c r="G111" s="26" t="s">
        <v>4323</v>
      </c>
      <c r="H111" s="26" t="s">
        <v>1657</v>
      </c>
      <c r="I111" s="26" t="s">
        <v>1658</v>
      </c>
      <c r="J111" s="26" t="s">
        <v>1659</v>
      </c>
      <c r="K111" s="26" t="s">
        <v>4284</v>
      </c>
      <c r="L111" s="26" t="s">
        <v>4333</v>
      </c>
      <c r="M111" s="26" t="s">
        <v>1680</v>
      </c>
      <c r="N111" s="26" t="s">
        <v>1681</v>
      </c>
      <c r="O111" s="26" t="s">
        <v>1682</v>
      </c>
      <c r="P111" s="26" t="s">
        <v>4304</v>
      </c>
      <c r="Q111" s="1" t="str">
        <f t="shared" si="14"/>
        <v>a) a) has run into problems finding volunteers willing to live the rest of their lives on Mars.</v>
      </c>
      <c r="R111" s="1" t="str">
        <f t="shared" si="15"/>
        <v>b) b) is unlikely to be carried out in the coming decades due to its prohibitive cost.</v>
      </c>
      <c r="S111" s="1" t="str">
        <f t="shared" si="16"/>
        <v>c) c) has been regarded with suspicion by the scientific community.</v>
      </c>
      <c r="T111" s="1" t="str">
        <f t="shared" si="17"/>
        <v>d) d) has met with interest despite some misinformation surrounding the idea.</v>
      </c>
      <c r="V111" s="1" t="str">
        <f t="shared" si="18"/>
        <v>a) a) NASA has done a good job maintaining public interest in the space program despite
some unexciting missions.</v>
      </c>
      <c r="W111" s="1" t="str">
        <f t="shared" si="19"/>
        <v>b) b) NASA needs to have a bold, exciting mission to recapture the public interest.</v>
      </c>
      <c r="X111" s="1" t="str">
        <f t="shared" si="20"/>
        <v>c) c) NASA needs to undertake smaller missions with a reduced budget before considering
his Mars plan.</v>
      </c>
      <c r="Y111" s="1" t="str">
        <f t="shared" si="21"/>
        <v>d) d) NASA should excite the public by returning to the Moon, then set its sights on Mars.</v>
      </c>
    </row>
    <row r="112" spans="1:25" ht="45.95" customHeight="1" x14ac:dyDescent="0.25">
      <c r="A112" s="26"/>
      <c r="B112" s="26"/>
      <c r="C112" s="26"/>
      <c r="D112" s="26"/>
      <c r="E112" s="26">
        <v>20</v>
      </c>
      <c r="F112" s="26" t="s">
        <v>4264</v>
      </c>
      <c r="G112" s="26" t="s">
        <v>4324</v>
      </c>
      <c r="H112" s="26" t="s">
        <v>1660</v>
      </c>
      <c r="I112" s="26" t="s">
        <v>1661</v>
      </c>
      <c r="J112" s="26" t="s">
        <v>1662</v>
      </c>
      <c r="K112" s="26" t="s">
        <v>4285</v>
      </c>
      <c r="L112" s="26" t="s">
        <v>4334</v>
      </c>
      <c r="M112" s="26" t="s">
        <v>1683</v>
      </c>
      <c r="N112" s="26" t="s">
        <v>1684</v>
      </c>
      <c r="O112" s="26" t="s">
        <v>1685</v>
      </c>
      <c r="P112" s="26" t="s">
        <v>1686</v>
      </c>
      <c r="Q112" s="1" t="str">
        <f>CONCATENATE("a) ",(H132))</f>
        <v>a) a) The summit on Afghanistan’s future is the first of its kind</v>
      </c>
      <c r="R112" s="1" t="str">
        <f>CONCATENATE("b) ",(I132))</f>
        <v>b) b) President Karzai has condemned the lack of progress in Afghanistan</v>
      </c>
      <c r="S112" s="1" t="str">
        <f>CONCATENATE("c) ",(J132))</f>
        <v>c) c) The US was in opposition to the summit</v>
      </c>
      <c r="T112" s="1" t="str">
        <f>CONCATENATE("d) ",(K132))</f>
        <v>d) d) Pakistan spurned the proceedings</v>
      </c>
      <c r="V112" s="1" t="str">
        <f>CONCATENATE("a) ",(M132))</f>
        <v xml:space="preserve">a) </v>
      </c>
      <c r="W112" s="1" t="str">
        <f>CONCATENATE("b) ",(N132))</f>
        <v xml:space="preserve">b) </v>
      </c>
      <c r="X112" s="1" t="str">
        <f>CONCATENATE("c) ",(O132))</f>
        <v xml:space="preserve">c) </v>
      </c>
      <c r="Y112" s="1" t="str">
        <f>CONCATENATE("d) ",(P132))</f>
        <v xml:space="preserve">d) </v>
      </c>
    </row>
    <row r="113" spans="1:25" ht="45.95" customHeight="1" x14ac:dyDescent="0.25">
      <c r="A113" s="94"/>
      <c r="B113" s="94"/>
      <c r="C113" s="94">
        <v>7</v>
      </c>
      <c r="D113" s="94" t="s">
        <v>3451</v>
      </c>
      <c r="E113" s="94">
        <v>1</v>
      </c>
      <c r="F113" s="94" t="s">
        <v>4630</v>
      </c>
      <c r="G113" s="94" t="s">
        <v>3250</v>
      </c>
      <c r="H113" s="94" t="s">
        <v>3130</v>
      </c>
      <c r="I113" s="94" t="s">
        <v>3131</v>
      </c>
      <c r="J113" s="94" t="s">
        <v>3132</v>
      </c>
      <c r="K113" s="94" t="s">
        <v>3133</v>
      </c>
      <c r="L113" s="94"/>
      <c r="M113" s="94"/>
      <c r="N113" s="94"/>
      <c r="O113" s="94"/>
      <c r="P113" s="94"/>
      <c r="Q113" s="1" t="str">
        <f t="shared" ref="Q113:Q131" si="22">CONCATENATE("a) ",(H133))</f>
        <v>a) a) The Honduran Congress is moving to protect privacy</v>
      </c>
      <c r="R113" s="1" t="str">
        <f t="shared" ref="R113:R131" si="23">CONCATENATE("b) ",(I133))</f>
        <v>b) b) Efforts are being made to eliminate corruption in the military</v>
      </c>
      <c r="S113" s="1" t="str">
        <f t="shared" ref="S113:S131" si="24">CONCATENATE("c) ",(J133))</f>
        <v>c) c) The military is now active in tackling crime problems in Honduras</v>
      </c>
      <c r="T113" s="1" t="str">
        <f t="shared" ref="T113:T131" si="25">CONCATENATE("d) ",(K133))</f>
        <v>d) d) Motorbike riding will be banned for six months in Honduras</v>
      </c>
      <c r="V113" s="1" t="str">
        <f t="shared" ref="V113:V127" si="26">CONCATENATE("a) ",(M133))</f>
        <v xml:space="preserve">a) </v>
      </c>
      <c r="W113" s="1" t="str">
        <f t="shared" ref="W113:W127" si="27">CONCATENATE("b) ",(N133))</f>
        <v xml:space="preserve">b) </v>
      </c>
      <c r="X113" s="1" t="str">
        <f t="shared" ref="X113:X127" si="28">CONCATENATE("c) ",(O133))</f>
        <v xml:space="preserve">c) </v>
      </c>
      <c r="Y113" s="1" t="str">
        <f t="shared" ref="Y113:Y127" si="29">CONCATENATE("d) ",(P133))</f>
        <v xml:space="preserve">d) </v>
      </c>
    </row>
    <row r="114" spans="1:25" ht="45.95" customHeight="1" x14ac:dyDescent="0.25">
      <c r="A114" s="94"/>
      <c r="B114" s="94"/>
      <c r="C114" s="94"/>
      <c r="D114" s="94" t="s">
        <v>3045</v>
      </c>
      <c r="E114" s="94">
        <v>2</v>
      </c>
      <c r="F114" s="94" t="s">
        <v>4631</v>
      </c>
      <c r="G114" s="94" t="s">
        <v>3251</v>
      </c>
      <c r="H114" s="94" t="s">
        <v>3134</v>
      </c>
      <c r="I114" s="94" t="s">
        <v>3135</v>
      </c>
      <c r="J114" s="94" t="s">
        <v>3136</v>
      </c>
      <c r="K114" s="94" t="s">
        <v>3137</v>
      </c>
      <c r="L114" s="94"/>
      <c r="M114" s="94"/>
      <c r="N114" s="94"/>
      <c r="O114" s="94"/>
      <c r="P114" s="94"/>
      <c r="Q114" s="1" t="str">
        <f t="shared" si="22"/>
        <v>a) a) When he was leaving the Bahamas</v>
      </c>
      <c r="R114" s="1" t="str">
        <f t="shared" si="23"/>
        <v>b) b) When he arrived on Harbor Island</v>
      </c>
      <c r="S114" s="1" t="str">
        <f t="shared" si="24"/>
        <v>c) c) During a naval exercise</v>
      </c>
      <c r="T114" s="1" t="str">
        <f t="shared" si="25"/>
        <v xml:space="preserve">d) d) When he was close to the Bahamas </v>
      </c>
      <c r="V114" s="1" t="str">
        <f t="shared" si="26"/>
        <v xml:space="preserve">a) </v>
      </c>
      <c r="W114" s="1" t="str">
        <f t="shared" si="27"/>
        <v xml:space="preserve">b) </v>
      </c>
      <c r="X114" s="1" t="str">
        <f t="shared" si="28"/>
        <v xml:space="preserve">c) </v>
      </c>
      <c r="Y114" s="1" t="str">
        <f t="shared" si="29"/>
        <v xml:space="preserve">d) </v>
      </c>
    </row>
    <row r="115" spans="1:25" ht="45.95" customHeight="1" x14ac:dyDescent="0.25">
      <c r="A115" s="94"/>
      <c r="B115" s="94"/>
      <c r="C115" s="94"/>
      <c r="D115" s="94" t="s">
        <v>359</v>
      </c>
      <c r="E115" s="94">
        <v>3</v>
      </c>
      <c r="F115" s="94" t="s">
        <v>4632</v>
      </c>
      <c r="G115" s="94" t="s">
        <v>3252</v>
      </c>
      <c r="H115" s="94" t="s">
        <v>3138</v>
      </c>
      <c r="I115" s="94" t="s">
        <v>3139</v>
      </c>
      <c r="J115" s="94" t="s">
        <v>3140</v>
      </c>
      <c r="K115" s="94" t="s">
        <v>3141</v>
      </c>
      <c r="L115" s="94"/>
      <c r="M115" s="94"/>
      <c r="N115" s="94"/>
      <c r="O115" s="94"/>
      <c r="P115" s="94"/>
      <c r="Q115" s="1" t="str">
        <f t="shared" si="22"/>
        <v>a) a) She was wounded by the ice</v>
      </c>
      <c r="R115" s="1" t="str">
        <f t="shared" si="23"/>
        <v>b) b) She was stuck under the ice</v>
      </c>
      <c r="S115" s="1" t="str">
        <f t="shared" si="24"/>
        <v>c) c) She was pushed under the ice</v>
      </c>
      <c r="T115" s="1" t="str">
        <f t="shared" si="25"/>
        <v>d) d) She was drowned under the ice</v>
      </c>
      <c r="V115" s="1" t="str">
        <f t="shared" si="26"/>
        <v xml:space="preserve">a) </v>
      </c>
      <c r="W115" s="1" t="str">
        <f t="shared" si="27"/>
        <v xml:space="preserve">b) </v>
      </c>
      <c r="X115" s="1" t="str">
        <f t="shared" si="28"/>
        <v xml:space="preserve">c) </v>
      </c>
      <c r="Y115" s="1" t="str">
        <f t="shared" si="29"/>
        <v xml:space="preserve">d) </v>
      </c>
    </row>
    <row r="116" spans="1:25" ht="45.95" customHeight="1" x14ac:dyDescent="0.25">
      <c r="A116" s="94"/>
      <c r="B116" s="94"/>
      <c r="C116" s="94"/>
      <c r="D116" s="94"/>
      <c r="E116" s="94">
        <v>4</v>
      </c>
      <c r="F116" s="94" t="s">
        <v>4633</v>
      </c>
      <c r="G116" s="94" t="s">
        <v>3253</v>
      </c>
      <c r="H116" s="94" t="s">
        <v>3142</v>
      </c>
      <c r="I116" s="94" t="s">
        <v>3143</v>
      </c>
      <c r="J116" s="94" t="s">
        <v>3144</v>
      </c>
      <c r="K116" s="94" t="s">
        <v>3145</v>
      </c>
      <c r="L116" s="94"/>
      <c r="M116" s="94"/>
      <c r="N116" s="94"/>
      <c r="O116" s="94"/>
      <c r="P116" s="94"/>
      <c r="Q116" s="1" t="str">
        <f t="shared" si="22"/>
        <v>a) a) The raids are reducing acts of piracy</v>
      </c>
      <c r="R116" s="1" t="str">
        <f t="shared" si="23"/>
        <v>b) b) The European Union’s naval force participates in raids</v>
      </c>
      <c r="S116" s="1" t="str">
        <f t="shared" si="24"/>
        <v>c) c) Hostages are increasingly being used as human shields</v>
      </c>
      <c r="T116" s="1" t="str">
        <f t="shared" si="25"/>
        <v>d) d) The raids are carried out as a last resort</v>
      </c>
      <c r="V116" s="1" t="str">
        <f t="shared" si="26"/>
        <v xml:space="preserve">a) </v>
      </c>
      <c r="W116" s="1" t="str">
        <f t="shared" si="27"/>
        <v xml:space="preserve">b) </v>
      </c>
      <c r="X116" s="1" t="str">
        <f t="shared" si="28"/>
        <v xml:space="preserve">c) </v>
      </c>
      <c r="Y116" s="1" t="str">
        <f t="shared" si="29"/>
        <v xml:space="preserve">d) </v>
      </c>
    </row>
    <row r="117" spans="1:25" ht="45.95" customHeight="1" x14ac:dyDescent="0.25">
      <c r="A117" s="94"/>
      <c r="B117" s="94"/>
      <c r="C117" s="94"/>
      <c r="D117" s="94"/>
      <c r="E117" s="94">
        <v>5</v>
      </c>
      <c r="F117" s="94" t="s">
        <v>4634</v>
      </c>
      <c r="G117" s="94" t="s">
        <v>3254</v>
      </c>
      <c r="H117" s="94" t="s">
        <v>3146</v>
      </c>
      <c r="I117" s="94" t="s">
        <v>3147</v>
      </c>
      <c r="J117" s="94" t="s">
        <v>3148</v>
      </c>
      <c r="K117" s="94" t="s">
        <v>3149</v>
      </c>
      <c r="L117" s="94"/>
      <c r="M117" s="94"/>
      <c r="N117" s="94"/>
      <c r="O117" s="94"/>
      <c r="P117" s="94"/>
      <c r="Q117" s="1" t="str">
        <f t="shared" si="22"/>
        <v>a) a) Has been exempt from penalties because of its ties</v>
      </c>
      <c r="R117" s="1" t="str">
        <f t="shared" si="23"/>
        <v>b) b) Has an extensive background in mining</v>
      </c>
      <c r="S117" s="1" t="str">
        <f t="shared" si="24"/>
        <v>c) c) Has been convicted of selling mine assets it doesn’t own</v>
      </c>
      <c r="T117" s="1" t="str">
        <f t="shared" si="25"/>
        <v>d) d) Has to pay the workers’ unions a lot of money</v>
      </c>
      <c r="V117" s="1" t="str">
        <f t="shared" si="26"/>
        <v xml:space="preserve">a) </v>
      </c>
      <c r="W117" s="1" t="str">
        <f t="shared" si="27"/>
        <v xml:space="preserve">b) </v>
      </c>
      <c r="X117" s="1" t="str">
        <f t="shared" si="28"/>
        <v xml:space="preserve">c) </v>
      </c>
      <c r="Y117" s="1" t="str">
        <f t="shared" si="29"/>
        <v xml:space="preserve">d) </v>
      </c>
    </row>
    <row r="118" spans="1:25" ht="45.95" customHeight="1" x14ac:dyDescent="0.25">
      <c r="A118" s="94"/>
      <c r="B118" s="94"/>
      <c r="C118" s="94"/>
      <c r="D118" s="94"/>
      <c r="E118" s="94">
        <v>6</v>
      </c>
      <c r="F118" s="94" t="s">
        <v>4635</v>
      </c>
      <c r="G118" s="94" t="s">
        <v>3255</v>
      </c>
      <c r="H118" s="94" t="s">
        <v>3150</v>
      </c>
      <c r="I118" s="94" t="s">
        <v>3151</v>
      </c>
      <c r="J118" s="94" t="s">
        <v>3152</v>
      </c>
      <c r="K118" s="94" t="s">
        <v>3153</v>
      </c>
      <c r="L118" s="94"/>
      <c r="M118" s="94"/>
      <c r="N118" s="94"/>
      <c r="O118" s="94"/>
      <c r="P118" s="94"/>
      <c r="Q118" s="1" t="str">
        <f t="shared" si="22"/>
        <v>a) a) The tainted beef has been sold in Fukushima only</v>
      </c>
      <c r="R118" s="1" t="str">
        <f t="shared" si="23"/>
        <v>b) b) Transportation of cattle from Fukushima has been postponed</v>
      </c>
      <c r="S118" s="1" t="str">
        <f t="shared" si="24"/>
        <v>c) c) The radioactive material is no longer leaking out of the facilities</v>
      </c>
      <c r="T118" s="1" t="str">
        <f t="shared" si="25"/>
        <v>d) d) Distributors are boycotting the purchase of beef</v>
      </c>
      <c r="V118" s="1" t="str">
        <f t="shared" si="26"/>
        <v xml:space="preserve">a) </v>
      </c>
      <c r="W118" s="1" t="str">
        <f t="shared" si="27"/>
        <v xml:space="preserve">b) </v>
      </c>
      <c r="X118" s="1" t="str">
        <f t="shared" si="28"/>
        <v xml:space="preserve">c) </v>
      </c>
      <c r="Y118" s="1" t="str">
        <f t="shared" si="29"/>
        <v xml:space="preserve">d) </v>
      </c>
    </row>
    <row r="119" spans="1:25" ht="45.95" customHeight="1" x14ac:dyDescent="0.25">
      <c r="A119" s="94"/>
      <c r="B119" s="94"/>
      <c r="C119" s="94"/>
      <c r="D119" s="94"/>
      <c r="E119" s="94">
        <v>7</v>
      </c>
      <c r="F119" s="94" t="s">
        <v>4636</v>
      </c>
      <c r="G119" s="94" t="s">
        <v>3256</v>
      </c>
      <c r="H119" s="94" t="s">
        <v>3154</v>
      </c>
      <c r="I119" s="94" t="s">
        <v>3155</v>
      </c>
      <c r="J119" s="94" t="s">
        <v>3156</v>
      </c>
      <c r="K119" s="94" t="s">
        <v>3157</v>
      </c>
      <c r="L119" s="94"/>
      <c r="M119" s="94"/>
      <c r="N119" s="94"/>
      <c r="O119" s="94"/>
      <c r="P119" s="94"/>
      <c r="Q119" s="1" t="str">
        <f t="shared" si="22"/>
        <v>a) a) Sundar Rajan didn’t have confidence in the state.</v>
      </c>
      <c r="R119" s="1" t="str">
        <f t="shared" si="23"/>
        <v>b) b) There is contention over the fortune.</v>
      </c>
      <c r="S119" s="1" t="str">
        <f t="shared" si="24"/>
        <v>c) c) Sundar Rajan was opposed to the opening of the vaults.</v>
      </c>
      <c r="T119" s="1" t="str">
        <f t="shared" si="25"/>
        <v xml:space="preserve">d) d) The temple was never believed to contain such wealth. </v>
      </c>
      <c r="V119" s="1" t="str">
        <f t="shared" si="26"/>
        <v xml:space="preserve">a) </v>
      </c>
      <c r="W119" s="1" t="str">
        <f t="shared" si="27"/>
        <v xml:space="preserve">b) </v>
      </c>
      <c r="X119" s="1" t="str">
        <f t="shared" si="28"/>
        <v xml:space="preserve">c) </v>
      </c>
      <c r="Y119" s="1" t="str">
        <f t="shared" si="29"/>
        <v xml:space="preserve">d) </v>
      </c>
    </row>
    <row r="120" spans="1:25" ht="45.95" customHeight="1" x14ac:dyDescent="0.25">
      <c r="A120" s="94"/>
      <c r="B120" s="94"/>
      <c r="C120" s="94"/>
      <c r="D120" s="94"/>
      <c r="E120" s="94">
        <v>8</v>
      </c>
      <c r="F120" s="94" t="s">
        <v>4637</v>
      </c>
      <c r="G120" s="94" t="s">
        <v>3257</v>
      </c>
      <c r="H120" s="94" t="s">
        <v>3158</v>
      </c>
      <c r="I120" s="94" t="s">
        <v>3159</v>
      </c>
      <c r="J120" s="94" t="s">
        <v>3160</v>
      </c>
      <c r="K120" s="94" t="s">
        <v>3161</v>
      </c>
      <c r="L120" s="94"/>
      <c r="M120" s="94"/>
      <c r="N120" s="94"/>
      <c r="O120" s="94"/>
      <c r="P120" s="94"/>
      <c r="Q120" s="1" t="str">
        <f t="shared" si="22"/>
        <v>a) a) KaBOOM! has received the support of policy makers</v>
      </c>
      <c r="R120" s="1" t="str">
        <f t="shared" si="23"/>
        <v>b) b) KaBOOM!’s beginning was influenced by budget cuts</v>
      </c>
      <c r="S120" s="1" t="str">
        <f t="shared" si="24"/>
        <v>c) c) KaBOOM ! trains locals in fundraising methods</v>
      </c>
      <c r="T120" s="1" t="str">
        <f t="shared" si="25"/>
        <v>d) d) KaBOOM! was founded in a previous era</v>
      </c>
      <c r="V120" s="1" t="str">
        <f t="shared" si="26"/>
        <v xml:space="preserve">a) </v>
      </c>
      <c r="W120" s="1" t="str">
        <f t="shared" si="27"/>
        <v xml:space="preserve">b) </v>
      </c>
      <c r="X120" s="1" t="str">
        <f t="shared" si="28"/>
        <v xml:space="preserve">c) </v>
      </c>
      <c r="Y120" s="1" t="str">
        <f t="shared" si="29"/>
        <v xml:space="preserve">d) </v>
      </c>
    </row>
    <row r="121" spans="1:25" ht="45.95" customHeight="1" x14ac:dyDescent="0.25">
      <c r="A121" s="94"/>
      <c r="B121" s="94"/>
      <c r="C121" s="94"/>
      <c r="D121" s="94"/>
      <c r="E121" s="94">
        <v>9</v>
      </c>
      <c r="F121" s="94" t="s">
        <v>4638</v>
      </c>
      <c r="G121" s="94" t="s">
        <v>3258</v>
      </c>
      <c r="H121" s="94" t="s">
        <v>3162</v>
      </c>
      <c r="I121" s="94" t="s">
        <v>3163</v>
      </c>
      <c r="J121" s="94" t="s">
        <v>3164</v>
      </c>
      <c r="K121" s="94" t="s">
        <v>3165</v>
      </c>
      <c r="L121" s="94" t="s">
        <v>3259</v>
      </c>
      <c r="M121" s="94" t="s">
        <v>3166</v>
      </c>
      <c r="N121" s="94" t="s">
        <v>3167</v>
      </c>
      <c r="O121" s="94" t="s">
        <v>3168</v>
      </c>
      <c r="P121" s="94" t="s">
        <v>3169</v>
      </c>
      <c r="Q121" s="1" t="str">
        <f t="shared" si="22"/>
        <v>a) a) The illnesses patients had were found to be unrelated to smoking</v>
      </c>
      <c r="R121" s="1" t="str">
        <f t="shared" si="23"/>
        <v>b) b) They had refused to treat certain patients</v>
      </c>
      <c r="S121" s="1" t="str">
        <f t="shared" si="24"/>
        <v>c) c) Hospital funds were not found to be badly affected</v>
      </c>
      <c r="T121" s="1" t="str">
        <f t="shared" si="25"/>
        <v>d) d) The tobacco companies were found to be losing profits</v>
      </c>
      <c r="V121" s="1" t="str">
        <f t="shared" si="26"/>
        <v xml:space="preserve">a) </v>
      </c>
      <c r="W121" s="1" t="str">
        <f t="shared" si="27"/>
        <v xml:space="preserve">b) </v>
      </c>
      <c r="X121" s="1" t="str">
        <f t="shared" si="28"/>
        <v xml:space="preserve">c) </v>
      </c>
      <c r="Y121" s="1" t="str">
        <f t="shared" si="29"/>
        <v xml:space="preserve">d) </v>
      </c>
    </row>
    <row r="122" spans="1:25" ht="45.95" customHeight="1" x14ac:dyDescent="0.25">
      <c r="A122" s="94"/>
      <c r="B122" s="94"/>
      <c r="C122" s="94"/>
      <c r="D122" s="94"/>
      <c r="E122" s="94">
        <v>10</v>
      </c>
      <c r="F122" s="94" t="s">
        <v>4639</v>
      </c>
      <c r="G122" s="94" t="s">
        <v>3260</v>
      </c>
      <c r="H122" s="94" t="s">
        <v>3170</v>
      </c>
      <c r="I122" s="94" t="s">
        <v>3171</v>
      </c>
      <c r="J122" s="94" t="s">
        <v>3172</v>
      </c>
      <c r="K122" s="94" t="s">
        <v>3173</v>
      </c>
      <c r="L122" s="94" t="s">
        <v>3261</v>
      </c>
      <c r="M122" s="94" t="s">
        <v>3174</v>
      </c>
      <c r="N122" s="94" t="s">
        <v>3175</v>
      </c>
      <c r="O122" s="94" t="s">
        <v>3176</v>
      </c>
      <c r="P122" s="94" t="s">
        <v>3177</v>
      </c>
      <c r="Q122" s="1" t="str">
        <f t="shared" si="22"/>
        <v>a) a) The Philippines has now taken the lead in the call centre business</v>
      </c>
      <c r="R122" s="1" t="str">
        <f t="shared" si="23"/>
        <v>b) b) India has been the leader in the call centre business due to its high level of English</v>
      </c>
      <c r="S122" s="1" t="str">
        <f t="shared" si="24"/>
        <v>c) c) Philippine success in the call centre business is due to its business skills</v>
      </c>
      <c r="T122" s="1" t="str">
        <f t="shared" si="25"/>
        <v>d) d) Companies favor the Philippines over India regarding language aptitude</v>
      </c>
      <c r="V122" s="1" t="str">
        <f t="shared" si="26"/>
        <v xml:space="preserve">a) a) Many of the call centers are under Indian management </v>
      </c>
      <c r="W122" s="1" t="str">
        <f t="shared" si="27"/>
        <v>b) b) American customers find it easier to speak with Indian agents</v>
      </c>
      <c r="X122" s="1" t="str">
        <f t="shared" si="28"/>
        <v>c) c) Some Filipino call centers are moving to India</v>
      </c>
      <c r="Y122" s="1" t="str">
        <f t="shared" si="29"/>
        <v xml:space="preserve">d) d) More Filipinos are being trained for management positions </v>
      </c>
    </row>
    <row r="123" spans="1:25" ht="45.95" customHeight="1" x14ac:dyDescent="0.25">
      <c r="A123" s="94"/>
      <c r="B123" s="94"/>
      <c r="C123" s="94"/>
      <c r="D123" s="94"/>
      <c r="E123" s="94">
        <v>11</v>
      </c>
      <c r="F123" s="94" t="s">
        <v>4640</v>
      </c>
      <c r="G123" s="94" t="s">
        <v>3262</v>
      </c>
      <c r="H123" s="94" t="s">
        <v>3178</v>
      </c>
      <c r="I123" s="94" t="s">
        <v>3179</v>
      </c>
      <c r="J123" s="94" t="s">
        <v>3180</v>
      </c>
      <c r="K123" s="94" t="s">
        <v>3181</v>
      </c>
      <c r="L123" s="94" t="s">
        <v>3271</v>
      </c>
      <c r="M123" s="94" t="s">
        <v>3182</v>
      </c>
      <c r="N123" s="94" t="s">
        <v>3183</v>
      </c>
      <c r="O123" s="94" t="s">
        <v>3184</v>
      </c>
      <c r="P123" s="94" t="s">
        <v>3185</v>
      </c>
      <c r="Q123" s="1" t="str">
        <f t="shared" si="22"/>
        <v>a) a) The celebration took place in Havana</v>
      </c>
      <c r="R123" s="1" t="str">
        <f t="shared" si="23"/>
        <v>b) b) Drinks were served free of charge</v>
      </c>
      <c r="S123" s="1" t="str">
        <f t="shared" si="24"/>
        <v>c) c) Cuban rum was not available</v>
      </c>
      <c r="T123" s="1" t="str">
        <f t="shared" si="25"/>
        <v>d) d) Tourists enjoy coming to the bar for ‘Happy Hour’</v>
      </c>
      <c r="V123" s="1" t="str">
        <f t="shared" si="26"/>
        <v>a) a) It is now open to the public</v>
      </c>
      <c r="W123" s="1" t="str">
        <f t="shared" si="27"/>
        <v>b) b) It is very conventional</v>
      </c>
      <c r="X123" s="1" t="str">
        <f t="shared" si="28"/>
        <v>c) c) Access to it is restricted</v>
      </c>
      <c r="Y123" s="1" t="str">
        <f t="shared" si="29"/>
        <v xml:space="preserve">d) d) It turns over a large profit </v>
      </c>
    </row>
    <row r="124" spans="1:25" ht="45.95" customHeight="1" x14ac:dyDescent="0.25">
      <c r="A124" s="94"/>
      <c r="B124" s="94"/>
      <c r="C124" s="94"/>
      <c r="D124" s="94"/>
      <c r="E124" s="94">
        <v>12</v>
      </c>
      <c r="F124" s="94" t="s">
        <v>4641</v>
      </c>
      <c r="G124" s="94" t="s">
        <v>3263</v>
      </c>
      <c r="H124" s="94" t="s">
        <v>3186</v>
      </c>
      <c r="I124" s="94" t="s">
        <v>3187</v>
      </c>
      <c r="J124" s="94" t="s">
        <v>3188</v>
      </c>
      <c r="K124" s="94" t="s">
        <v>3189</v>
      </c>
      <c r="L124" s="94" t="s">
        <v>3272</v>
      </c>
      <c r="M124" s="94" t="s">
        <v>3190</v>
      </c>
      <c r="N124" s="94" t="s">
        <v>3191</v>
      </c>
      <c r="O124" s="94" t="s">
        <v>3192</v>
      </c>
      <c r="P124" s="94" t="s">
        <v>3193</v>
      </c>
      <c r="Q124" s="1" t="str">
        <f t="shared" si="22"/>
        <v>a) a) It is making Italians progressively richer</v>
      </c>
      <c r="R124" s="1" t="str">
        <f t="shared" si="23"/>
        <v>b) b) U.K. has more gamblers than Italy</v>
      </c>
      <c r="S124" s="1" t="str">
        <f t="shared" si="24"/>
        <v>c) c) Slot machines dominate the gambling scene</v>
      </c>
      <c r="T124" s="1" t="str">
        <f t="shared" si="25"/>
        <v>d) d) Gambling is still widely disapproved of</v>
      </c>
      <c r="V124" s="1" t="str">
        <f t="shared" si="26"/>
        <v>a) a) They have taken over the gambling business</v>
      </c>
      <c r="W124" s="1" t="str">
        <f t="shared" si="27"/>
        <v>b) b) They access the gambling business through false enterprises</v>
      </c>
      <c r="X124" s="1" t="str">
        <f t="shared" si="28"/>
        <v>c) c) Gambling is their main source of revenue</v>
      </c>
      <c r="Y124" s="1" t="str">
        <f t="shared" si="29"/>
        <v>d) d) They are rarely able to obtain licenses for businesses</v>
      </c>
    </row>
    <row r="125" spans="1:25" ht="45.95" customHeight="1" x14ac:dyDescent="0.25">
      <c r="A125" s="94"/>
      <c r="B125" s="94"/>
      <c r="C125" s="94"/>
      <c r="D125" s="94"/>
      <c r="E125" s="94">
        <v>13</v>
      </c>
      <c r="F125" s="94" t="s">
        <v>4642</v>
      </c>
      <c r="G125" s="94" t="s">
        <v>3264</v>
      </c>
      <c r="H125" s="94" t="s">
        <v>3194</v>
      </c>
      <c r="I125" s="94" t="s">
        <v>3195</v>
      </c>
      <c r="J125" s="94" t="s">
        <v>3196</v>
      </c>
      <c r="K125" s="94" t="s">
        <v>3197</v>
      </c>
      <c r="L125" s="94" t="s">
        <v>3273</v>
      </c>
      <c r="M125" s="94" t="s">
        <v>3198</v>
      </c>
      <c r="N125" s="94" t="s">
        <v>3199</v>
      </c>
      <c r="O125" s="94" t="s">
        <v>3200</v>
      </c>
      <c r="P125" s="94" t="s">
        <v>3201</v>
      </c>
      <c r="Q125" s="1" t="str">
        <f t="shared" si="22"/>
        <v>a) a) Reacquaint people with food production</v>
      </c>
      <c r="R125" s="1" t="str">
        <f t="shared" si="23"/>
        <v>b) b) Inspire people to grow their own food</v>
      </c>
      <c r="S125" s="1" t="str">
        <f t="shared" si="24"/>
        <v>c) c) To encourage people to participate in the game Farmville</v>
      </c>
      <c r="T125" s="1" t="str">
        <f t="shared" si="25"/>
        <v>d) d) To compete with the ‘My Football Club’ project</v>
      </c>
      <c r="V125" s="1" t="str">
        <f t="shared" si="26"/>
        <v>a) a) The opinions of experts</v>
      </c>
      <c r="W125" s="1" t="str">
        <f t="shared" si="27"/>
        <v>b) b) The method of hedgerows cultivation</v>
      </c>
      <c r="X125" s="1" t="str">
        <f t="shared" si="28"/>
        <v>c) c) Climatic conditions</v>
      </c>
      <c r="Y125" s="1" t="str">
        <f t="shared" si="29"/>
        <v>d) d) The rarity of the livestock breeds</v>
      </c>
    </row>
    <row r="126" spans="1:25" ht="45.95" customHeight="1" x14ac:dyDescent="0.25">
      <c r="A126" s="94"/>
      <c r="B126" s="94"/>
      <c r="C126" s="94"/>
      <c r="D126" s="94"/>
      <c r="E126" s="94">
        <v>14</v>
      </c>
      <c r="F126" s="94" t="s">
        <v>4643</v>
      </c>
      <c r="G126" s="94" t="s">
        <v>3265</v>
      </c>
      <c r="H126" s="94" t="s">
        <v>3202</v>
      </c>
      <c r="I126" s="94" t="s">
        <v>3203</v>
      </c>
      <c r="J126" s="94" t="s">
        <v>3204</v>
      </c>
      <c r="K126" s="94" t="s">
        <v>3205</v>
      </c>
      <c r="L126" s="94" t="s">
        <v>3274</v>
      </c>
      <c r="M126" s="94" t="s">
        <v>3206</v>
      </c>
      <c r="N126" s="94" t="s">
        <v>3207</v>
      </c>
      <c r="O126" s="94" t="s">
        <v>3208</v>
      </c>
      <c r="P126" s="94" t="s">
        <v>3209</v>
      </c>
      <c r="Q126" s="1" t="str">
        <f t="shared" si="22"/>
        <v>a) a) The fall of the Soviet Union</v>
      </c>
      <c r="R126" s="1" t="str">
        <f t="shared" si="23"/>
        <v>b) b) The fact that it is short of funds</v>
      </c>
      <c r="S126" s="1" t="str">
        <f t="shared" si="24"/>
        <v>c) c) The nature of its landscape</v>
      </c>
      <c r="T126" s="1" t="str">
        <f t="shared" si="25"/>
        <v>d) d) The fact that it has a predominantly young population</v>
      </c>
      <c r="V126" s="1" t="str">
        <f t="shared" si="26"/>
        <v>a) a) They are not being well-informed about the problem</v>
      </c>
      <c r="W126" s="1" t="str">
        <f t="shared" si="27"/>
        <v>b) b) They are actively resolving the problem</v>
      </c>
      <c r="X126" s="1" t="str">
        <f t="shared" si="28"/>
        <v>c) c) They are protesting the government’s inaction</v>
      </c>
      <c r="Y126" s="1" t="str">
        <f t="shared" si="29"/>
        <v xml:space="preserve">d) d) They are leaving the area </v>
      </c>
    </row>
    <row r="127" spans="1:25" ht="45.95" customHeight="1" x14ac:dyDescent="0.25">
      <c r="A127" s="94"/>
      <c r="B127" s="94"/>
      <c r="C127" s="94"/>
      <c r="D127" s="94"/>
      <c r="E127" s="94">
        <v>15</v>
      </c>
      <c r="F127" s="94" t="s">
        <v>4644</v>
      </c>
      <c r="G127" s="94" t="s">
        <v>3266</v>
      </c>
      <c r="H127" s="94" t="s">
        <v>3210</v>
      </c>
      <c r="I127" s="94" t="s">
        <v>3211</v>
      </c>
      <c r="J127" s="94" t="s">
        <v>3212</v>
      </c>
      <c r="K127" s="94" t="s">
        <v>3213</v>
      </c>
      <c r="L127" s="94" t="s">
        <v>3275</v>
      </c>
      <c r="M127" s="94" t="s">
        <v>3214</v>
      </c>
      <c r="N127" s="94" t="s">
        <v>3215</v>
      </c>
      <c r="O127" s="94" t="s">
        <v>3216</v>
      </c>
      <c r="P127" s="94" t="s">
        <v>3217</v>
      </c>
      <c r="Q127" s="1" t="str">
        <f t="shared" si="22"/>
        <v>a) a) It has a history of political stability</v>
      </c>
      <c r="R127" s="1" t="str">
        <f t="shared" si="23"/>
        <v>b) b) The advantages of economic growth have reached many people</v>
      </c>
      <c r="S127" s="1" t="str">
        <f t="shared" si="24"/>
        <v>c) c) It has a large supply of diamonds and a growing diamond industry</v>
      </c>
      <c r="T127" s="1" t="str">
        <f t="shared" si="25"/>
        <v>d) d) Poverty has been eliminated</v>
      </c>
      <c r="V127" s="1" t="str">
        <f t="shared" si="26"/>
        <v>a) a) Attract more foreign investors</v>
      </c>
      <c r="W127" s="1" t="str">
        <f t="shared" si="27"/>
        <v>b) b) Develop their agricultural sectors</v>
      </c>
      <c r="X127" s="1" t="str">
        <f t="shared" si="28"/>
        <v>c) c) Export more commodities</v>
      </c>
      <c r="Y127" s="1" t="str">
        <f t="shared" si="29"/>
        <v>d) d) Provide more jobs</v>
      </c>
    </row>
    <row r="128" spans="1:25" ht="45.95" customHeight="1" x14ac:dyDescent="0.25">
      <c r="A128" s="94"/>
      <c r="B128" s="94"/>
      <c r="C128" s="94"/>
      <c r="D128" s="94"/>
      <c r="E128" s="94">
        <v>16</v>
      </c>
      <c r="F128" s="94" t="s">
        <v>4645</v>
      </c>
      <c r="G128" s="94" t="s">
        <v>3267</v>
      </c>
      <c r="H128" s="94" t="s">
        <v>3218</v>
      </c>
      <c r="I128" s="94" t="s">
        <v>3219</v>
      </c>
      <c r="J128" s="94" t="s">
        <v>3220</v>
      </c>
      <c r="K128" s="94" t="s">
        <v>3221</v>
      </c>
      <c r="L128" s="94" t="s">
        <v>3276</v>
      </c>
      <c r="M128" s="94" t="s">
        <v>3222</v>
      </c>
      <c r="N128" s="94" t="s">
        <v>3223</v>
      </c>
      <c r="O128" s="94" t="s">
        <v>3224</v>
      </c>
      <c r="P128" s="94" t="s">
        <v>3225</v>
      </c>
      <c r="Q128" s="1" t="str">
        <f t="shared" si="22"/>
        <v>a) a) Higher rainfall</v>
      </c>
      <c r="R128" s="1" t="str">
        <f t="shared" si="23"/>
        <v>b) b) Lower rainfall</v>
      </c>
      <c r="S128" s="1" t="str">
        <f t="shared" si="24"/>
        <v>c) c) Increased warmth</v>
      </c>
      <c r="T128" s="1" t="str">
        <f t="shared" si="25"/>
        <v>d) d) A drop in temperatures</v>
      </c>
      <c r="V128" s="1" t="str">
        <f t="shared" ref="V128:V131" si="30">CONCATENATE("a) ",(M148))</f>
        <v>a) a) Replace existing seed varieties with new ones</v>
      </c>
      <c r="W128" s="1" t="str">
        <f t="shared" ref="W128:W131" si="31">CONCATENATE("b) ",(N148))</f>
        <v>b) b) Try to adapt crop production to new climatic conditions</v>
      </c>
      <c r="X128" s="1" t="str">
        <f t="shared" ref="X128:X131" si="32">CONCATENATE("c) ",(O148))</f>
        <v>c) c) Reduce worldwide food prices</v>
      </c>
      <c r="Y128" s="1" t="str">
        <f t="shared" ref="Y128:Y131" si="33">CONCATENATE("d) ",(P148))</f>
        <v>d) d) Direct investments in agriculture to largely populated areas</v>
      </c>
    </row>
    <row r="129" spans="1:25" ht="45.95" customHeight="1" x14ac:dyDescent="0.25">
      <c r="A129" s="94"/>
      <c r="B129" s="94"/>
      <c r="C129" s="94"/>
      <c r="D129" s="94"/>
      <c r="E129" s="94">
        <v>17</v>
      </c>
      <c r="F129" s="94" t="s">
        <v>4646</v>
      </c>
      <c r="G129" s="94" t="s">
        <v>3268</v>
      </c>
      <c r="H129" s="94" t="s">
        <v>3226</v>
      </c>
      <c r="I129" s="94" t="s">
        <v>3227</v>
      </c>
      <c r="J129" s="94" t="s">
        <v>3228</v>
      </c>
      <c r="K129" s="94" t="s">
        <v>3229</v>
      </c>
      <c r="L129" s="94" t="s">
        <v>3277</v>
      </c>
      <c r="M129" s="94" t="s">
        <v>3230</v>
      </c>
      <c r="N129" s="94" t="s">
        <v>3231</v>
      </c>
      <c r="O129" s="94" t="s">
        <v>3232</v>
      </c>
      <c r="P129" s="94" t="s">
        <v>3233</v>
      </c>
      <c r="Q129" s="1" t="str">
        <f t="shared" si="22"/>
        <v>a) a) Has caused protests</v>
      </c>
      <c r="R129" s="1" t="str">
        <f t="shared" si="23"/>
        <v>b) b) Has been greeted with enthusiasm everywhere</v>
      </c>
      <c r="S129" s="1" t="str">
        <f t="shared" si="24"/>
        <v>c) c) Has met with a mixed reaction</v>
      </c>
      <c r="T129" s="1" t="str">
        <f t="shared" si="25"/>
        <v>d) d) Was initiated by artists and writers</v>
      </c>
      <c r="V129" s="1" t="str">
        <f t="shared" si="30"/>
        <v>a) a) Absinthe was never been sold legally</v>
      </c>
      <c r="W129" s="1" t="str">
        <f t="shared" si="31"/>
        <v>b) b) Absinthe was sold under special conditions</v>
      </c>
      <c r="X129" s="1" t="str">
        <f t="shared" si="32"/>
        <v>c) c) The sale of absinthe caused an increase in alcoholism</v>
      </c>
      <c r="Y129" s="1" t="str">
        <f t="shared" si="33"/>
        <v>d) d) Absinthe was drunk straight</v>
      </c>
    </row>
    <row r="130" spans="1:25" ht="45.95" customHeight="1" x14ac:dyDescent="0.25">
      <c r="A130" s="94"/>
      <c r="B130" s="94"/>
      <c r="C130" s="94"/>
      <c r="D130" s="94"/>
      <c r="E130" s="94">
        <v>18</v>
      </c>
      <c r="F130" s="94" t="s">
        <v>4647</v>
      </c>
      <c r="G130" s="94" t="s">
        <v>3269</v>
      </c>
      <c r="H130" s="94" t="s">
        <v>3234</v>
      </c>
      <c r="I130" s="94" t="s">
        <v>3235</v>
      </c>
      <c r="J130" s="94" t="s">
        <v>3236</v>
      </c>
      <c r="K130" s="94" t="s">
        <v>3237</v>
      </c>
      <c r="L130" s="94" t="s">
        <v>3278</v>
      </c>
      <c r="M130" s="94" t="s">
        <v>3238</v>
      </c>
      <c r="N130" s="94" t="s">
        <v>3239</v>
      </c>
      <c r="O130" s="94" t="s">
        <v>3240</v>
      </c>
      <c r="P130" s="94" t="s">
        <v>3241</v>
      </c>
      <c r="Q130" s="1" t="str">
        <f t="shared" si="22"/>
        <v>a) a) The population of pink dolphins increased more rapidly after the drought</v>
      </c>
      <c r="R130" s="1" t="str">
        <f t="shared" si="23"/>
        <v>b) b) The population of pink dolphins increased more rapidly before the drought</v>
      </c>
      <c r="S130" s="1" t="str">
        <f t="shared" si="24"/>
        <v>c) c) The pink dolphin has been listed as an endangered species</v>
      </c>
      <c r="T130" s="1" t="str">
        <f t="shared" si="25"/>
        <v>d) d) The number of grey dolphins has decreased</v>
      </c>
      <c r="V130" s="1" t="str">
        <f t="shared" si="30"/>
        <v>a) a) Suffers a drought every year</v>
      </c>
      <c r="W130" s="1" t="str">
        <f t="shared" si="31"/>
        <v>b) b) Rarely suffers flooding</v>
      </c>
      <c r="X130" s="1" t="str">
        <f t="shared" si="32"/>
        <v>c) c) Suffered its worst drought in 2009</v>
      </c>
      <c r="Y130" s="1" t="str">
        <f t="shared" si="33"/>
        <v xml:space="preserve">d) d) Regularly suffers droughts and floods </v>
      </c>
    </row>
    <row r="131" spans="1:25" ht="45.95" customHeight="1" x14ac:dyDescent="0.25">
      <c r="A131" s="94"/>
      <c r="B131" s="94"/>
      <c r="C131" s="94"/>
      <c r="D131" s="94"/>
      <c r="E131" s="94">
        <v>19</v>
      </c>
      <c r="F131" s="94" t="s">
        <v>4648</v>
      </c>
      <c r="G131" s="94" t="s">
        <v>3270</v>
      </c>
      <c r="H131" s="94" t="s">
        <v>3242</v>
      </c>
      <c r="I131" s="94" t="s">
        <v>3243</v>
      </c>
      <c r="J131" s="94" t="s">
        <v>3244</v>
      </c>
      <c r="K131" s="94" t="s">
        <v>3245</v>
      </c>
      <c r="L131" s="94" t="s">
        <v>3279</v>
      </c>
      <c r="M131" s="94" t="s">
        <v>3246</v>
      </c>
      <c r="N131" s="94" t="s">
        <v>3247</v>
      </c>
      <c r="O131" s="94" t="s">
        <v>3248</v>
      </c>
      <c r="P131" s="94" t="s">
        <v>3249</v>
      </c>
      <c r="Q131" s="1" t="str">
        <f t="shared" si="22"/>
        <v>a) a) Thai people commonly criticize their king</v>
      </c>
      <c r="R131" s="1" t="str">
        <f t="shared" si="23"/>
        <v>b) b) Some organizations are disturbed by Article 112</v>
      </c>
      <c r="S131" s="1" t="str">
        <f t="shared" si="24"/>
        <v>c) c) Kanthoop has been sentenced to jail</v>
      </c>
      <c r="T131" s="1" t="str">
        <f t="shared" si="25"/>
        <v>d) d) Article 112 has been used to promote discussions</v>
      </c>
      <c r="V131" s="1" t="str">
        <f t="shared" si="30"/>
        <v>a) a) It venerates its monarchy</v>
      </c>
      <c r="W131" s="1" t="str">
        <f t="shared" si="31"/>
        <v>b) b) It is hostile to outsiders</v>
      </c>
      <c r="X131" s="1" t="str">
        <f t="shared" si="32"/>
        <v>c) c) It doesn’t value its youth</v>
      </c>
      <c r="Y131" s="1" t="str">
        <f t="shared" si="33"/>
        <v xml:space="preserve">d) d) Outsiders don’t understand it </v>
      </c>
    </row>
    <row r="132" spans="1:25" ht="45.95" customHeight="1" x14ac:dyDescent="0.25">
      <c r="A132" s="33"/>
      <c r="B132" s="33"/>
      <c r="C132" s="33">
        <v>8</v>
      </c>
      <c r="D132" s="33" t="s">
        <v>3044</v>
      </c>
      <c r="E132" s="33">
        <v>1</v>
      </c>
      <c r="F132" s="33" t="s">
        <v>2995</v>
      </c>
      <c r="G132" s="33" t="s">
        <v>3015</v>
      </c>
      <c r="H132" s="33" t="s">
        <v>3046</v>
      </c>
      <c r="I132" s="33" t="s">
        <v>3047</v>
      </c>
      <c r="J132" s="33" t="s">
        <v>3102</v>
      </c>
      <c r="K132" s="33" t="s">
        <v>3048</v>
      </c>
      <c r="L132" s="33"/>
      <c r="M132" s="33"/>
      <c r="N132" s="33"/>
      <c r="O132" s="33"/>
      <c r="P132" s="33"/>
      <c r="Q132" s="1" t="str">
        <f>CONCATENATE("a) ",(H152))</f>
        <v>a) a) Was sold by the National Heritage Memorial Fund.</v>
      </c>
      <c r="R132" s="1" t="str">
        <f>CONCATENATE("b) ",(I152))</f>
        <v>b) b) Fetched 300,000 pounds.</v>
      </c>
      <c r="S132" s="1" t="str">
        <f>CONCATENATE("c) ",(J152))</f>
        <v>c) c) Is set in 1804.</v>
      </c>
      <c r="T132" s="1" t="str">
        <f>CONCATENATE("d) ",(K152))</f>
        <v>d) d) Was purchased by subsidy.</v>
      </c>
      <c r="V132" s="1" t="str">
        <f>CONCATENATE("a) ",(M152))</f>
        <v xml:space="preserve">a) </v>
      </c>
      <c r="W132" s="1" t="str">
        <f>CONCATENATE("b) ",(N152))</f>
        <v xml:space="preserve">b) </v>
      </c>
      <c r="X132" s="1" t="str">
        <f>CONCATENATE("c) ",(O152))</f>
        <v xml:space="preserve">c) </v>
      </c>
      <c r="Y132" s="1" t="str">
        <f>CONCATENATE("d) ",(P152))</f>
        <v xml:space="preserve">d) </v>
      </c>
    </row>
    <row r="133" spans="1:25" ht="45.95" customHeight="1" x14ac:dyDescent="0.25">
      <c r="A133" s="33"/>
      <c r="B133" s="33"/>
      <c r="C133" s="33"/>
      <c r="D133" s="33" t="s">
        <v>2994</v>
      </c>
      <c r="E133" s="33">
        <v>2</v>
      </c>
      <c r="F133" s="33" t="s">
        <v>2996</v>
      </c>
      <c r="G133" s="33" t="s">
        <v>3016</v>
      </c>
      <c r="H133" s="33" t="s">
        <v>3049</v>
      </c>
      <c r="I133" s="33" t="s">
        <v>3050</v>
      </c>
      <c r="J133" s="33" t="s">
        <v>3051</v>
      </c>
      <c r="K133" s="33" t="s">
        <v>3052</v>
      </c>
      <c r="L133" s="33"/>
      <c r="M133" s="33"/>
      <c r="N133" s="33"/>
      <c r="O133" s="33"/>
      <c r="P133" s="33"/>
      <c r="Q133" s="1" t="str">
        <f t="shared" ref="Q133:Q151" si="34">CONCATENATE("a) ",(H153))</f>
        <v>a) a) Attempts to reduce the lionfish population are having an effect.</v>
      </c>
      <c r="R133" s="1" t="str">
        <f t="shared" ref="R133:R151" si="35">CONCATENATE("b) ",(I153))</f>
        <v>b) b) The prospect of reducing the lionfish population remains in doubt.</v>
      </c>
      <c r="S133" s="1" t="str">
        <f t="shared" ref="S133:S151" si="36">CONCATENATE("c) ",(J153))</f>
        <v>c) c) The native species populations are beginning to reduce the lionfish population.</v>
      </c>
      <c r="T133" s="1" t="str">
        <f t="shared" ref="T133:T151" si="37">CONCATENATE("d) ",(K153))</f>
        <v xml:space="preserve">d) d) It is doubtful that the lionfish could survive in Venezuelan waters. </v>
      </c>
      <c r="V133" s="1" t="str">
        <f t="shared" ref="V133:V151" si="38">CONCATENATE("a) ",(M153))</f>
        <v xml:space="preserve">a) </v>
      </c>
      <c r="W133" s="1" t="str">
        <f t="shared" ref="W133:W151" si="39">CONCATENATE("b) ",(N153))</f>
        <v xml:space="preserve">b) </v>
      </c>
      <c r="X133" s="1" t="str">
        <f t="shared" ref="X133:X151" si="40">CONCATENATE("c) ",(O153))</f>
        <v xml:space="preserve">c) </v>
      </c>
      <c r="Y133" s="1" t="str">
        <f t="shared" ref="Y133:Y151" si="41">CONCATENATE("d) ",(P153))</f>
        <v xml:space="preserve">d) </v>
      </c>
    </row>
    <row r="134" spans="1:25" ht="45.95" customHeight="1" x14ac:dyDescent="0.25">
      <c r="A134" s="33"/>
      <c r="B134" s="33"/>
      <c r="C134" s="33"/>
      <c r="D134" s="33" t="s">
        <v>359</v>
      </c>
      <c r="E134" s="33">
        <v>3</v>
      </c>
      <c r="F134" s="33" t="s">
        <v>2997</v>
      </c>
      <c r="G134" s="33" t="s">
        <v>3017</v>
      </c>
      <c r="H134" s="33" t="s">
        <v>3053</v>
      </c>
      <c r="I134" s="33" t="s">
        <v>3054</v>
      </c>
      <c r="J134" s="33" t="s">
        <v>3055</v>
      </c>
      <c r="K134" s="33" t="s">
        <v>3056</v>
      </c>
      <c r="L134" s="33"/>
      <c r="M134" s="33"/>
      <c r="N134" s="33"/>
      <c r="O134" s="33"/>
      <c r="P134" s="33"/>
      <c r="Q134" s="1" t="str">
        <f t="shared" si="34"/>
        <v>a) a) The goods were being sold on fictitious websites</v>
      </c>
      <c r="R134" s="1" t="str">
        <f t="shared" si="35"/>
        <v>b) b) Suspects have been arrested in the USA</v>
      </c>
      <c r="S134" s="1" t="str">
        <f t="shared" si="36"/>
        <v xml:space="preserve">c) c) The professed merchants used counterfeit credentials </v>
      </c>
      <c r="T134" s="1" t="str">
        <f t="shared" si="37"/>
        <v>d) d) The victims were over charged for their purchases</v>
      </c>
      <c r="V134" s="1" t="str">
        <f t="shared" si="38"/>
        <v xml:space="preserve">a) </v>
      </c>
      <c r="W134" s="1" t="str">
        <f t="shared" si="39"/>
        <v xml:space="preserve">b) </v>
      </c>
      <c r="X134" s="1" t="str">
        <f t="shared" si="40"/>
        <v xml:space="preserve">c) </v>
      </c>
      <c r="Y134" s="1" t="str">
        <f t="shared" si="41"/>
        <v xml:space="preserve">d) </v>
      </c>
    </row>
    <row r="135" spans="1:25" ht="45.95" customHeight="1" x14ac:dyDescent="0.25">
      <c r="A135" s="33"/>
      <c r="B135" s="33"/>
      <c r="C135" s="33"/>
      <c r="D135" s="33"/>
      <c r="E135" s="33">
        <v>4</v>
      </c>
      <c r="F135" s="33" t="s">
        <v>2998</v>
      </c>
      <c r="G135" s="33" t="s">
        <v>3018</v>
      </c>
      <c r="H135" s="33" t="s">
        <v>3057</v>
      </c>
      <c r="I135" s="33" t="s">
        <v>3058</v>
      </c>
      <c r="J135" s="33" t="s">
        <v>3059</v>
      </c>
      <c r="K135" s="33" t="s">
        <v>3060</v>
      </c>
      <c r="L135" s="33"/>
      <c r="M135" s="33"/>
      <c r="N135" s="33"/>
      <c r="O135" s="33"/>
      <c r="P135" s="33"/>
      <c r="Q135" s="1" t="str">
        <f t="shared" si="34"/>
        <v>a) a) The post woman has separated from her partner</v>
      </c>
      <c r="R135" s="1" t="str">
        <f t="shared" si="35"/>
        <v>b) b) The post woman has an excess of mail to deliver</v>
      </c>
      <c r="S135" s="1" t="str">
        <f t="shared" si="36"/>
        <v>c) c) The post woman delivers mail to private companies</v>
      </c>
      <c r="T135" s="1" t="str">
        <f t="shared" si="37"/>
        <v>d) d) The post woman has to leave her flat</v>
      </c>
      <c r="V135" s="1" t="str">
        <f t="shared" si="38"/>
        <v xml:space="preserve">a) </v>
      </c>
      <c r="W135" s="1" t="str">
        <f t="shared" si="39"/>
        <v xml:space="preserve">b) </v>
      </c>
      <c r="X135" s="1" t="str">
        <f t="shared" si="40"/>
        <v xml:space="preserve">c) </v>
      </c>
      <c r="Y135" s="1" t="str">
        <f t="shared" si="41"/>
        <v xml:space="preserve">d) </v>
      </c>
    </row>
    <row r="136" spans="1:25" ht="45.95" customHeight="1" x14ac:dyDescent="0.25">
      <c r="A136" s="33"/>
      <c r="B136" s="33"/>
      <c r="C136" s="33"/>
      <c r="D136" s="33"/>
      <c r="E136" s="33">
        <v>5</v>
      </c>
      <c r="F136" s="33" t="s">
        <v>2999</v>
      </c>
      <c r="G136" s="33" t="s">
        <v>3019</v>
      </c>
      <c r="H136" s="33" t="s">
        <v>3061</v>
      </c>
      <c r="I136" s="33" t="s">
        <v>3062</v>
      </c>
      <c r="J136" s="33" t="s">
        <v>3063</v>
      </c>
      <c r="K136" s="33" t="s">
        <v>3064</v>
      </c>
      <c r="L136" s="33"/>
      <c r="M136" s="33"/>
      <c r="N136" s="33"/>
      <c r="O136" s="33"/>
      <c r="P136" s="33"/>
      <c r="Q136" s="1" t="str">
        <f t="shared" si="34"/>
        <v>a) a) The newspaper has been accused of listening to celebrities’ voicemails</v>
      </c>
      <c r="R136" s="1" t="str">
        <f t="shared" si="35"/>
        <v>b) b) The newspaper has been charged with listening to crime victim’s voicemails</v>
      </c>
      <c r="S136" s="1" t="str">
        <f t="shared" si="36"/>
        <v>c) c) The situation is being examined</v>
      </c>
      <c r="T136" s="1" t="str">
        <f t="shared" si="37"/>
        <v>d) d) The parents couldn’t find their missing daughter</v>
      </c>
      <c r="V136" s="1" t="str">
        <f t="shared" si="38"/>
        <v xml:space="preserve">a) </v>
      </c>
      <c r="W136" s="1" t="str">
        <f t="shared" si="39"/>
        <v xml:space="preserve">b) </v>
      </c>
      <c r="X136" s="1" t="str">
        <f t="shared" si="40"/>
        <v xml:space="preserve">c) </v>
      </c>
      <c r="Y136" s="1" t="str">
        <f t="shared" si="41"/>
        <v xml:space="preserve">d) </v>
      </c>
    </row>
    <row r="137" spans="1:25" ht="45.95" customHeight="1" x14ac:dyDescent="0.25">
      <c r="A137" s="33"/>
      <c r="B137" s="33"/>
      <c r="C137" s="33"/>
      <c r="D137" s="33"/>
      <c r="E137" s="33">
        <v>6</v>
      </c>
      <c r="F137" s="33" t="s">
        <v>3000</v>
      </c>
      <c r="G137" s="33" t="s">
        <v>3021</v>
      </c>
      <c r="H137" s="33" t="s">
        <v>3065</v>
      </c>
      <c r="I137" s="33" t="s">
        <v>1843</v>
      </c>
      <c r="J137" s="33" t="s">
        <v>1844</v>
      </c>
      <c r="K137" s="33" t="s">
        <v>1845</v>
      </c>
      <c r="L137" s="33"/>
      <c r="M137" s="33"/>
      <c r="N137" s="33"/>
      <c r="O137" s="33"/>
      <c r="P137" s="33"/>
      <c r="Q137" s="1" t="str">
        <f t="shared" si="34"/>
        <v>a) a) It is not overly complicated to repair the spinal cord.</v>
      </c>
      <c r="R137" s="1" t="str">
        <f t="shared" si="35"/>
        <v>b) b) Human trials on patients with damaged spinal cords have begun.</v>
      </c>
      <c r="S137" s="1" t="str">
        <f t="shared" si="36"/>
        <v>c) c) Techniques to heal arms and legs have been completely unsuccessful with the spinal cord.</v>
      </c>
      <c r="T137" s="1" t="str">
        <f t="shared" si="37"/>
        <v xml:space="preserve">d) d) Researchers have found a way to bypass blemished tissue.  </v>
      </c>
      <c r="V137" s="1" t="str">
        <f t="shared" si="38"/>
        <v xml:space="preserve">a) </v>
      </c>
      <c r="W137" s="1" t="str">
        <f t="shared" si="39"/>
        <v xml:space="preserve">b) </v>
      </c>
      <c r="X137" s="1" t="str">
        <f t="shared" si="40"/>
        <v xml:space="preserve">c) </v>
      </c>
      <c r="Y137" s="1" t="str">
        <f t="shared" si="41"/>
        <v xml:space="preserve">d) </v>
      </c>
    </row>
    <row r="138" spans="1:25" ht="45.95" customHeight="1" x14ac:dyDescent="0.25">
      <c r="A138" s="33"/>
      <c r="B138" s="33"/>
      <c r="C138" s="33"/>
      <c r="D138" s="33"/>
      <c r="E138" s="33">
        <v>7</v>
      </c>
      <c r="F138" s="33" t="s">
        <v>3001</v>
      </c>
      <c r="G138" s="33" t="s">
        <v>3022</v>
      </c>
      <c r="H138" s="33" t="s">
        <v>3066</v>
      </c>
      <c r="I138" s="33" t="s">
        <v>3067</v>
      </c>
      <c r="J138" s="33" t="s">
        <v>3068</v>
      </c>
      <c r="K138" s="33" t="s">
        <v>3069</v>
      </c>
      <c r="L138" s="33"/>
      <c r="M138" s="33"/>
      <c r="N138" s="33"/>
      <c r="O138" s="33"/>
      <c r="P138" s="33"/>
      <c r="Q138" s="1" t="str">
        <f t="shared" si="34"/>
        <v>a) a) Max Mathews was the first person to select pitch on a computer.</v>
      </c>
      <c r="R138" s="1" t="str">
        <f t="shared" si="35"/>
        <v>b) b) Max Mathews was the foremost person to make sound with a computer.</v>
      </c>
      <c r="S138" s="1" t="str">
        <f t="shared" si="36"/>
        <v>c) c) “The Silver Scale” is said to be the work of a genius.</v>
      </c>
      <c r="T138" s="1" t="str">
        <f t="shared" si="37"/>
        <v xml:space="preserve">d) d)  “The Silver Scale” is still widely listened to today.  </v>
      </c>
      <c r="V138" s="1" t="str">
        <f t="shared" si="38"/>
        <v xml:space="preserve">a) </v>
      </c>
      <c r="W138" s="1" t="str">
        <f t="shared" si="39"/>
        <v xml:space="preserve">b) </v>
      </c>
      <c r="X138" s="1" t="str">
        <f t="shared" si="40"/>
        <v xml:space="preserve">c) </v>
      </c>
      <c r="Y138" s="1" t="str">
        <f t="shared" si="41"/>
        <v xml:space="preserve">d) </v>
      </c>
    </row>
    <row r="139" spans="1:25" ht="45.95" customHeight="1" x14ac:dyDescent="0.25">
      <c r="A139" s="33"/>
      <c r="B139" s="33"/>
      <c r="C139" s="33"/>
      <c r="D139" s="33"/>
      <c r="E139" s="33">
        <v>8</v>
      </c>
      <c r="F139" s="33" t="s">
        <v>3002</v>
      </c>
      <c r="G139" s="33" t="s">
        <v>3020</v>
      </c>
      <c r="H139" s="33" t="s">
        <v>3070</v>
      </c>
      <c r="I139" s="33" t="s">
        <v>3071</v>
      </c>
      <c r="J139" s="33" t="s">
        <v>3072</v>
      </c>
      <c r="K139" s="33" t="s">
        <v>3073</v>
      </c>
      <c r="L139" s="33"/>
      <c r="M139" s="33"/>
      <c r="N139" s="33"/>
      <c r="O139" s="33"/>
      <c r="P139" s="33"/>
      <c r="Q139" s="1" t="str">
        <f t="shared" si="34"/>
        <v>a) a) Traditional school sports are politically correct.</v>
      </c>
      <c r="R139" s="1" t="str">
        <f t="shared" si="35"/>
        <v>b) b) Traditional school sports are now obsolete.</v>
      </c>
      <c r="S139" s="1" t="str">
        <f t="shared" si="36"/>
        <v>c) c) It does no harm to expose children to failure.</v>
      </c>
      <c r="T139" s="1" t="str">
        <f t="shared" si="37"/>
        <v xml:space="preserve">d) d) A child’s academic achievements should be valued above all else. </v>
      </c>
      <c r="V139" s="1" t="str">
        <f t="shared" si="38"/>
        <v xml:space="preserve">a) </v>
      </c>
      <c r="W139" s="1" t="str">
        <f t="shared" si="39"/>
        <v xml:space="preserve">b) </v>
      </c>
      <c r="X139" s="1" t="str">
        <f t="shared" si="40"/>
        <v xml:space="preserve">c) </v>
      </c>
      <c r="Y139" s="1" t="str">
        <f t="shared" si="41"/>
        <v xml:space="preserve">d) </v>
      </c>
    </row>
    <row r="140" spans="1:25" ht="45.95" customHeight="1" x14ac:dyDescent="0.25">
      <c r="A140" s="33"/>
      <c r="B140" s="33"/>
      <c r="C140" s="33"/>
      <c r="D140" s="33"/>
      <c r="E140" s="33">
        <v>9</v>
      </c>
      <c r="F140" s="33" t="s">
        <v>3003</v>
      </c>
      <c r="G140" s="33" t="s">
        <v>3023</v>
      </c>
      <c r="H140" s="33" t="s">
        <v>3074</v>
      </c>
      <c r="I140" s="33" t="s">
        <v>3075</v>
      </c>
      <c r="J140" s="33" t="s">
        <v>3076</v>
      </c>
      <c r="K140" s="33" t="s">
        <v>3077</v>
      </c>
      <c r="L140" s="33"/>
      <c r="M140" s="33"/>
      <c r="N140" s="33"/>
      <c r="O140" s="33"/>
      <c r="P140" s="33"/>
      <c r="Q140" s="1" t="str">
        <f t="shared" si="34"/>
        <v>a) a) Revenge is the reason that the banks are being overhauled.</v>
      </c>
      <c r="R140" s="1" t="str">
        <f t="shared" si="35"/>
        <v>b) b) Politicians have tried to be lenient with the banks.</v>
      </c>
      <c r="S140" s="1" t="str">
        <f t="shared" si="36"/>
        <v>c) c) Mr. Osborne supports the protection of the tax payer from the banks’ potential losses.</v>
      </c>
      <c r="T140" s="1" t="str">
        <f t="shared" si="37"/>
        <v xml:space="preserve">d) d) Mr. Osborne has generated worry among bankers.  </v>
      </c>
      <c r="V140" s="1" t="str">
        <f t="shared" si="38"/>
        <v xml:space="preserve">a) </v>
      </c>
      <c r="W140" s="1" t="str">
        <f t="shared" si="39"/>
        <v xml:space="preserve">b) </v>
      </c>
      <c r="X140" s="1" t="str">
        <f t="shared" si="40"/>
        <v xml:space="preserve">c) </v>
      </c>
      <c r="Y140" s="1" t="str">
        <f t="shared" si="41"/>
        <v xml:space="preserve">d) </v>
      </c>
    </row>
    <row r="141" spans="1:25" ht="45.95" customHeight="1" x14ac:dyDescent="0.25">
      <c r="A141" s="33"/>
      <c r="B141" s="33"/>
      <c r="C141" s="33"/>
      <c r="D141" s="33"/>
      <c r="E141" s="33">
        <v>10</v>
      </c>
      <c r="F141" s="33" t="s">
        <v>3004</v>
      </c>
      <c r="G141" s="33" t="s">
        <v>3024</v>
      </c>
      <c r="H141" s="33" t="s">
        <v>1827</v>
      </c>
      <c r="I141" s="33" t="s">
        <v>1828</v>
      </c>
      <c r="J141" s="33" t="s">
        <v>1829</v>
      </c>
      <c r="K141" s="33" t="s">
        <v>1830</v>
      </c>
      <c r="L141" s="33"/>
      <c r="M141" s="33"/>
      <c r="N141" s="33"/>
      <c r="O141" s="33"/>
      <c r="P141" s="33"/>
      <c r="Q141" s="1" t="str">
        <f t="shared" si="34"/>
        <v>a) a) Ms. Lagarde’s focus as managing director will depend on circumstances.</v>
      </c>
      <c r="R141" s="1" t="str">
        <f t="shared" si="35"/>
        <v>b) b) The selection of Ms Lagarde by the IMF has been met with unanimous approval.</v>
      </c>
      <c r="S141" s="1" t="str">
        <f t="shared" si="36"/>
        <v>c) c) The developing countries have confidence in Ms. Lagarde’s objectives.</v>
      </c>
      <c r="T141" s="1" t="str">
        <f t="shared" si="37"/>
        <v xml:space="preserve">d) d) Ms. Lagarde will aim to prevent a restructuring of Greece’s government debt.   </v>
      </c>
      <c r="V141" s="1" t="str">
        <f t="shared" si="38"/>
        <v xml:space="preserve">a) </v>
      </c>
      <c r="W141" s="1" t="str">
        <f t="shared" si="39"/>
        <v xml:space="preserve">b) </v>
      </c>
      <c r="X141" s="1" t="str">
        <f t="shared" si="40"/>
        <v xml:space="preserve">c) </v>
      </c>
      <c r="Y141" s="1" t="str">
        <f t="shared" si="41"/>
        <v xml:space="preserve">d) </v>
      </c>
    </row>
    <row r="142" spans="1:25" ht="45.95" customHeight="1" x14ac:dyDescent="0.25">
      <c r="A142" s="33"/>
      <c r="B142" s="33"/>
      <c r="C142" s="33"/>
      <c r="D142" s="33"/>
      <c r="E142" s="33">
        <v>11</v>
      </c>
      <c r="F142" s="33" t="s">
        <v>3005</v>
      </c>
      <c r="G142" s="33" t="s">
        <v>3025</v>
      </c>
      <c r="H142" s="33" t="s">
        <v>3078</v>
      </c>
      <c r="I142" s="33" t="s">
        <v>3079</v>
      </c>
      <c r="J142" s="33" t="s">
        <v>3080</v>
      </c>
      <c r="K142" s="33" t="s">
        <v>3724</v>
      </c>
      <c r="L142" s="33" t="s">
        <v>3035</v>
      </c>
      <c r="M142" s="33" t="s">
        <v>3103</v>
      </c>
      <c r="N142" s="33" t="s">
        <v>3104</v>
      </c>
      <c r="O142" s="33" t="s">
        <v>3105</v>
      </c>
      <c r="P142" s="33" t="s">
        <v>3106</v>
      </c>
      <c r="Q142" s="1" t="str">
        <f t="shared" si="34"/>
        <v>a) a) To carry out anti-piracy attacks</v>
      </c>
      <c r="R142" s="1" t="str">
        <f t="shared" si="35"/>
        <v>b) b) To transport goods</v>
      </c>
      <c r="S142" s="1" t="str">
        <f t="shared" si="36"/>
        <v>c) c) To help provide aid to developing countries</v>
      </c>
      <c r="T142" s="1" t="str">
        <f t="shared" si="37"/>
        <v>d) d) As a cruise liner</v>
      </c>
      <c r="V142" s="1" t="str">
        <f t="shared" si="38"/>
        <v>a) a) The confirmed nationalities on board are Romanian and Libyan</v>
      </c>
      <c r="W142" s="1" t="str">
        <f t="shared" si="39"/>
        <v>b) b) The ship belongs to North Korea</v>
      </c>
      <c r="X142" s="1" t="str">
        <f t="shared" si="40"/>
        <v>c) c) More than 50% of hijackings were carried out by Somali pirates in 2009</v>
      </c>
      <c r="Y142" s="1" t="str">
        <f t="shared" si="41"/>
        <v xml:space="preserve">d) d) The number of attacks is generally decreasing       </v>
      </c>
    </row>
    <row r="143" spans="1:25" ht="45.95" customHeight="1" x14ac:dyDescent="0.25">
      <c r="A143" s="33"/>
      <c r="B143" s="33"/>
      <c r="C143" s="33"/>
      <c r="D143" s="33"/>
      <c r="E143" s="33">
        <v>12</v>
      </c>
      <c r="F143" s="33" t="s">
        <v>3006</v>
      </c>
      <c r="G143" s="33" t="s">
        <v>3026</v>
      </c>
      <c r="H143" s="33" t="s">
        <v>3081</v>
      </c>
      <c r="I143" s="33" t="s">
        <v>3082</v>
      </c>
      <c r="J143" s="33" t="s">
        <v>3083</v>
      </c>
      <c r="K143" s="33" t="s">
        <v>3084</v>
      </c>
      <c r="L143" s="33" t="s">
        <v>3036</v>
      </c>
      <c r="M143" s="33" t="s">
        <v>3107</v>
      </c>
      <c r="N143" s="33" t="s">
        <v>3108</v>
      </c>
      <c r="O143" s="33" t="s">
        <v>3109</v>
      </c>
      <c r="P143" s="33" t="s">
        <v>3110</v>
      </c>
      <c r="Q143" s="1" t="str">
        <f t="shared" si="34"/>
        <v>a) a) They complain more than people in London</v>
      </c>
      <c r="R143" s="1" t="str">
        <f t="shared" si="35"/>
        <v>b) b) They see themselves as victims</v>
      </c>
      <c r="S143" s="1" t="str">
        <f t="shared" si="36"/>
        <v>c) c) They show great compassion</v>
      </c>
      <c r="T143" s="1" t="str">
        <f t="shared" si="37"/>
        <v>d) d) They are very analytical</v>
      </c>
      <c r="V143" s="1" t="str">
        <f t="shared" si="38"/>
        <v>a) a) They suffering of the Congolese</v>
      </c>
      <c r="W143" s="1" t="str">
        <f t="shared" si="39"/>
        <v>b) b) The resilience of the Congolese</v>
      </c>
      <c r="X143" s="1" t="str">
        <f t="shared" si="40"/>
        <v>c) c) The Congolese conflict</v>
      </c>
      <c r="Y143" s="1" t="str">
        <f t="shared" si="41"/>
        <v>d) d) The normality of the Congolese</v>
      </c>
    </row>
    <row r="144" spans="1:25" ht="45.95" customHeight="1" x14ac:dyDescent="0.25">
      <c r="A144" s="33"/>
      <c r="B144" s="33"/>
      <c r="C144" s="33"/>
      <c r="D144" s="33"/>
      <c r="E144" s="33">
        <v>13</v>
      </c>
      <c r="F144" s="33" t="s">
        <v>3007</v>
      </c>
      <c r="G144" s="33" t="s">
        <v>3027</v>
      </c>
      <c r="H144" s="33" t="s">
        <v>3085</v>
      </c>
      <c r="I144" s="33" t="s">
        <v>3086</v>
      </c>
      <c r="J144" s="33" t="s">
        <v>3087</v>
      </c>
      <c r="K144" s="33" t="s">
        <v>3088</v>
      </c>
      <c r="L144" s="33" t="s">
        <v>3037</v>
      </c>
      <c r="M144" s="33" t="s">
        <v>3111</v>
      </c>
      <c r="N144" s="33" t="s">
        <v>3112</v>
      </c>
      <c r="O144" s="33" t="s">
        <v>3113</v>
      </c>
      <c r="P144" s="33" t="s">
        <v>3114</v>
      </c>
      <c r="Q144" s="1" t="str">
        <f t="shared" si="34"/>
        <v>a) a) Enriching its uranium supply</v>
      </c>
      <c r="R144" s="1" t="str">
        <f t="shared" si="35"/>
        <v>b) b) Preparing fuel for its research reactor</v>
      </c>
      <c r="S144" s="1" t="str">
        <f t="shared" si="36"/>
        <v>c) c) Producing nuclear weapons</v>
      </c>
      <c r="T144" s="1" t="str">
        <f t="shared" si="37"/>
        <v xml:space="preserve">d) d) Generating electricity  </v>
      </c>
      <c r="V144" s="1" t="str">
        <f t="shared" si="38"/>
        <v>a) a) Don’t believe Iran is capable of enriching uranium</v>
      </c>
      <c r="W144" s="1" t="str">
        <f t="shared" si="39"/>
        <v>b) b) Don’t believe Iran can prepare the reactor for its designated task</v>
      </c>
      <c r="X144" s="1" t="str">
        <f t="shared" si="40"/>
        <v>c) c) Don’t want to place more sanctions on Iran</v>
      </c>
      <c r="Y144" s="1" t="str">
        <f t="shared" si="41"/>
        <v xml:space="preserve">d) d) Want to study Iran’s cancer treatment program </v>
      </c>
    </row>
    <row r="145" spans="1:25" ht="45.95" customHeight="1" x14ac:dyDescent="0.25">
      <c r="A145" s="33"/>
      <c r="B145" s="33"/>
      <c r="C145" s="33"/>
      <c r="D145" s="33"/>
      <c r="E145" s="33">
        <v>14</v>
      </c>
      <c r="F145" s="33" t="s">
        <v>3008</v>
      </c>
      <c r="G145" s="33" t="s">
        <v>3028</v>
      </c>
      <c r="H145" s="33" t="s">
        <v>3089</v>
      </c>
      <c r="I145" s="33" t="s">
        <v>3090</v>
      </c>
      <c r="J145" s="33" t="s">
        <v>3091</v>
      </c>
      <c r="K145" s="33" t="s">
        <v>3092</v>
      </c>
      <c r="L145" s="33" t="s">
        <v>3038</v>
      </c>
      <c r="M145" s="33" t="s">
        <v>3115</v>
      </c>
      <c r="N145" s="33" t="s">
        <v>3725</v>
      </c>
      <c r="O145" s="33" t="s">
        <v>3116</v>
      </c>
      <c r="P145" s="33" t="s">
        <v>3117</v>
      </c>
      <c r="Q145" s="1" t="str">
        <f t="shared" si="34"/>
        <v>a) a) Hostile to Western visitors</v>
      </c>
      <c r="R145" s="1" t="str">
        <f t="shared" si="35"/>
        <v>b) b) Complicated to visit</v>
      </c>
      <c r="S145" s="1" t="str">
        <f t="shared" si="36"/>
        <v>c) c) Readily accessible</v>
      </c>
      <c r="T145" s="1" t="str">
        <f t="shared" si="37"/>
        <v>d) d) Overrun with tourists</v>
      </c>
      <c r="V145" s="1" t="str">
        <f t="shared" si="38"/>
        <v>a) a) They are not carrying electronic gadgets</v>
      </c>
      <c r="W145" s="1" t="str">
        <f t="shared" si="39"/>
        <v>b) b) They are being interrogated by officials</v>
      </c>
      <c r="X145" s="1" t="str">
        <f t="shared" si="40"/>
        <v>c) c) They are being searched by police</v>
      </c>
      <c r="Y145" s="1" t="str">
        <f t="shared" si="41"/>
        <v xml:space="preserve">d) d) Their plane is being inspected </v>
      </c>
    </row>
    <row r="146" spans="1:25" ht="45.95" customHeight="1" x14ac:dyDescent="0.25">
      <c r="A146" s="33"/>
      <c r="B146" s="33"/>
      <c r="C146" s="33"/>
      <c r="D146" s="33"/>
      <c r="E146" s="33">
        <v>15</v>
      </c>
      <c r="F146" s="33" t="s">
        <v>3009</v>
      </c>
      <c r="G146" s="33" t="s">
        <v>3029</v>
      </c>
      <c r="H146" s="33" t="s">
        <v>3093</v>
      </c>
      <c r="I146" s="33" t="s">
        <v>3094</v>
      </c>
      <c r="J146" s="33" t="s">
        <v>3095</v>
      </c>
      <c r="K146" s="33" t="s">
        <v>3096</v>
      </c>
      <c r="L146" s="33" t="s">
        <v>3039</v>
      </c>
      <c r="M146" s="33" t="s">
        <v>3118</v>
      </c>
      <c r="N146" s="33" t="s">
        <v>3119</v>
      </c>
      <c r="O146" s="33" t="s">
        <v>3120</v>
      </c>
      <c r="P146" s="33" t="s">
        <v>3121</v>
      </c>
      <c r="Q146" s="1" t="str">
        <f t="shared" si="34"/>
        <v>a) a) The approaching expo</v>
      </c>
      <c r="R146" s="1" t="str">
        <f t="shared" si="35"/>
        <v>b) b) A special campaign</v>
      </c>
      <c r="S146" s="1" t="str">
        <f t="shared" si="36"/>
        <v>c) c) The local authorities’ orders</v>
      </c>
      <c r="T146" s="1" t="str">
        <f t="shared" si="37"/>
        <v xml:space="preserve">d) d) The heat  </v>
      </c>
      <c r="V146" s="1" t="str">
        <f t="shared" si="38"/>
        <v>a) a) Poverty</v>
      </c>
      <c r="W146" s="1" t="str">
        <f t="shared" si="39"/>
        <v>b) b) A comfortable life</v>
      </c>
      <c r="X146" s="1" t="str">
        <f t="shared" si="40"/>
        <v>c) c) The entertainment industry</v>
      </c>
      <c r="Y146" s="1" t="str">
        <f t="shared" si="41"/>
        <v>d) d) Refinement</v>
      </c>
    </row>
    <row r="147" spans="1:25" ht="45.95" customHeight="1" x14ac:dyDescent="0.25">
      <c r="A147" s="33"/>
      <c r="B147" s="33"/>
      <c r="C147" s="33"/>
      <c r="D147" s="33"/>
      <c r="E147" s="33">
        <v>16</v>
      </c>
      <c r="F147" s="33" t="s">
        <v>3010</v>
      </c>
      <c r="G147" s="33" t="s">
        <v>3030</v>
      </c>
      <c r="H147" s="33" t="s">
        <v>1824</v>
      </c>
      <c r="I147" s="33" t="s">
        <v>3097</v>
      </c>
      <c r="J147" s="33" t="s">
        <v>1825</v>
      </c>
      <c r="K147" s="33" t="s">
        <v>1826</v>
      </c>
      <c r="L147" s="33" t="s">
        <v>3726</v>
      </c>
      <c r="M147" s="33" t="s">
        <v>1846</v>
      </c>
      <c r="N147" s="33" t="s">
        <v>1847</v>
      </c>
      <c r="O147" s="33" t="s">
        <v>1848</v>
      </c>
      <c r="P147" s="33" t="s">
        <v>1849</v>
      </c>
      <c r="Q147" s="1" t="str">
        <f t="shared" si="34"/>
        <v>a) a) The first woman to be nominated for an Oscar</v>
      </c>
      <c r="R147" s="1" t="str">
        <f t="shared" si="35"/>
        <v>b) b) One of five women who have won an Oscar</v>
      </c>
      <c r="S147" s="1" t="str">
        <f t="shared" si="36"/>
        <v>c) c) The first woman to direct a film</v>
      </c>
      <c r="T147" s="1" t="str">
        <f t="shared" si="37"/>
        <v xml:space="preserve">d) d) One of five women who have been nominated for an Oscar </v>
      </c>
      <c r="V147" s="1" t="str">
        <f t="shared" si="38"/>
        <v>a) a) Won awards for best and worst actress</v>
      </c>
      <c r="W147" s="1" t="str">
        <f t="shared" si="39"/>
        <v>b) b) Won an award for best actress only</v>
      </c>
      <c r="X147" s="1" t="str">
        <f t="shared" si="40"/>
        <v>c) c) Won an award for worst actress only</v>
      </c>
      <c r="Y147" s="1" t="str">
        <f t="shared" si="41"/>
        <v>d) d) Not won an award</v>
      </c>
    </row>
    <row r="148" spans="1:25" ht="45.95" customHeight="1" x14ac:dyDescent="0.25">
      <c r="A148" s="33"/>
      <c r="B148" s="33"/>
      <c r="C148" s="33"/>
      <c r="D148" s="33"/>
      <c r="E148" s="33">
        <v>17</v>
      </c>
      <c r="F148" s="33" t="s">
        <v>3011</v>
      </c>
      <c r="G148" s="33" t="s">
        <v>3031</v>
      </c>
      <c r="H148" s="33" t="s">
        <v>1831</v>
      </c>
      <c r="I148" s="33" t="s">
        <v>1832</v>
      </c>
      <c r="J148" s="33" t="s">
        <v>1833</v>
      </c>
      <c r="K148" s="33" t="s">
        <v>1834</v>
      </c>
      <c r="L148" s="33" t="s">
        <v>3040</v>
      </c>
      <c r="M148" s="33" t="s">
        <v>1850</v>
      </c>
      <c r="N148" s="33" t="s">
        <v>1851</v>
      </c>
      <c r="O148" s="33" t="s">
        <v>1852</v>
      </c>
      <c r="P148" s="33" t="s">
        <v>1853</v>
      </c>
      <c r="Q148" s="1" t="str">
        <f t="shared" si="34"/>
        <v>a) a) Are a hindrance to the police</v>
      </c>
      <c r="R148" s="1" t="str">
        <f t="shared" si="35"/>
        <v>b) b) Are a form of assistance to the police</v>
      </c>
      <c r="S148" s="1" t="str">
        <f t="shared" si="36"/>
        <v>c) c) Have completely replaced the police</v>
      </c>
      <c r="T148" s="1" t="str">
        <f t="shared" si="37"/>
        <v>d) d) Are rapidly disappearing</v>
      </c>
      <c r="V148" s="1" t="str">
        <f t="shared" si="38"/>
        <v>a) a) They always hand robbers over to the police</v>
      </c>
      <c r="W148" s="1" t="str">
        <f t="shared" si="39"/>
        <v>b) b) They are above the law</v>
      </c>
      <c r="X148" s="1" t="str">
        <f t="shared" si="40"/>
        <v>c) c) They sometimes consist of policemen</v>
      </c>
      <c r="Y148" s="1" t="str">
        <f t="shared" si="41"/>
        <v>d) d) They sometimes punish robbers themselves</v>
      </c>
    </row>
    <row r="149" spans="1:25" ht="45.95" customHeight="1" x14ac:dyDescent="0.25">
      <c r="A149" s="33"/>
      <c r="B149" s="33"/>
      <c r="C149" s="33"/>
      <c r="D149" s="33"/>
      <c r="E149" s="33">
        <v>18</v>
      </c>
      <c r="F149" s="33" t="s">
        <v>3012</v>
      </c>
      <c r="G149" s="33" t="s">
        <v>3032</v>
      </c>
      <c r="H149" s="33" t="s">
        <v>1839</v>
      </c>
      <c r="I149" s="33" t="s">
        <v>1840</v>
      </c>
      <c r="J149" s="33" t="s">
        <v>1841</v>
      </c>
      <c r="K149" s="33" t="s">
        <v>1842</v>
      </c>
      <c r="L149" s="33" t="s">
        <v>3041</v>
      </c>
      <c r="M149" s="33" t="s">
        <v>1854</v>
      </c>
      <c r="N149" s="33" t="s">
        <v>1855</v>
      </c>
      <c r="O149" s="33" t="s">
        <v>1856</v>
      </c>
      <c r="P149" s="33" t="s">
        <v>1857</v>
      </c>
      <c r="Q149" s="1" t="str">
        <f t="shared" si="34"/>
        <v>a) a) Make decisions independently</v>
      </c>
      <c r="R149" s="1" t="str">
        <f t="shared" si="35"/>
        <v>b) b) Often exchange land</v>
      </c>
      <c r="S149" s="1" t="str">
        <f t="shared" si="36"/>
        <v>c) c) Always approve of each others’ decisions</v>
      </c>
      <c r="T149" s="1" t="str">
        <f t="shared" si="37"/>
        <v>d) d) Make decisions together</v>
      </c>
      <c r="V149" s="1" t="str">
        <f t="shared" si="38"/>
        <v>a) a) His story was made into a movie</v>
      </c>
      <c r="W149" s="1" t="str">
        <f t="shared" si="39"/>
        <v>b) b) He is now bitter about his experience</v>
      </c>
      <c r="X149" s="1" t="str">
        <f t="shared" si="40"/>
        <v>c) c) He is surprisingly warm and friendly</v>
      </c>
      <c r="Y149" s="1" t="str">
        <f t="shared" si="41"/>
        <v xml:space="preserve">d) d) He remains wary of outsiders </v>
      </c>
    </row>
    <row r="150" spans="1:25" ht="45.95" customHeight="1" x14ac:dyDescent="0.25">
      <c r="A150" s="33"/>
      <c r="B150" s="33"/>
      <c r="C150" s="33"/>
      <c r="D150" s="33"/>
      <c r="E150" s="33">
        <v>19</v>
      </c>
      <c r="F150" s="33" t="s">
        <v>3013</v>
      </c>
      <c r="G150" s="33" t="s">
        <v>3033</v>
      </c>
      <c r="H150" s="33" t="s">
        <v>1835</v>
      </c>
      <c r="I150" s="33" t="s">
        <v>1836</v>
      </c>
      <c r="J150" s="33" t="s">
        <v>1837</v>
      </c>
      <c r="K150" s="33" t="s">
        <v>1838</v>
      </c>
      <c r="L150" s="33" t="s">
        <v>3042</v>
      </c>
      <c r="M150" s="33" t="s">
        <v>3122</v>
      </c>
      <c r="N150" s="33" t="s">
        <v>3123</v>
      </c>
      <c r="O150" s="33" t="s">
        <v>3124</v>
      </c>
      <c r="P150" s="33" t="s">
        <v>3125</v>
      </c>
      <c r="Q150" s="1" t="str">
        <f t="shared" si="34"/>
        <v>a) a) Condones the Roma</v>
      </c>
      <c r="R150" s="1" t="str">
        <f t="shared" si="35"/>
        <v>b) b) Tolerates the Roma</v>
      </c>
      <c r="S150" s="1" t="str">
        <f t="shared" si="36"/>
        <v>c) c) Supports the Roma</v>
      </c>
      <c r="T150" s="1" t="str">
        <f t="shared" si="37"/>
        <v xml:space="preserve">d) d) Is opposed to the Roma </v>
      </c>
      <c r="V150" s="1" t="str">
        <f t="shared" si="38"/>
        <v>a) a) The Roma are prevented from accessing public facilities</v>
      </c>
      <c r="W150" s="1" t="str">
        <f t="shared" si="39"/>
        <v>b) b) The wall was built to segregate the Roma</v>
      </c>
      <c r="X150" s="1" t="str">
        <f t="shared" si="40"/>
        <v>c) c) The public are angry about the building of the wall</v>
      </c>
      <c r="Y150" s="1" t="str">
        <f t="shared" si="41"/>
        <v>d) d) The Roma are not exempt from financial assistance</v>
      </c>
    </row>
    <row r="151" spans="1:25" ht="45.95" customHeight="1" x14ac:dyDescent="0.25">
      <c r="A151" s="33"/>
      <c r="B151" s="33"/>
      <c r="C151" s="33"/>
      <c r="D151" s="33"/>
      <c r="E151" s="33">
        <v>20</v>
      </c>
      <c r="F151" s="33" t="s">
        <v>3014</v>
      </c>
      <c r="G151" s="33" t="s">
        <v>3034</v>
      </c>
      <c r="H151" s="33" t="s">
        <v>3098</v>
      </c>
      <c r="I151" s="33" t="s">
        <v>3099</v>
      </c>
      <c r="J151" s="33" t="s">
        <v>3100</v>
      </c>
      <c r="K151" s="33" t="s">
        <v>3101</v>
      </c>
      <c r="L151" s="33" t="s">
        <v>3043</v>
      </c>
      <c r="M151" s="33" t="s">
        <v>3126</v>
      </c>
      <c r="N151" s="33" t="s">
        <v>3127</v>
      </c>
      <c r="O151" s="33" t="s">
        <v>3128</v>
      </c>
      <c r="P151" s="33" t="s">
        <v>3129</v>
      </c>
      <c r="Q151" s="1" t="str">
        <f t="shared" si="34"/>
        <v>a) a) Has been met with conflicting viewpoints</v>
      </c>
      <c r="R151" s="1" t="str">
        <f t="shared" si="35"/>
        <v>b) b) Has been met with enthusiasm all round</v>
      </c>
      <c r="S151" s="1" t="str">
        <f t="shared" si="36"/>
        <v>c) c) Has already been the reason for several protests</v>
      </c>
      <c r="T151" s="1" t="str">
        <f t="shared" si="37"/>
        <v xml:space="preserve">d) d) Has been rejected </v>
      </c>
      <c r="V151" s="1" t="str">
        <f t="shared" si="38"/>
        <v>a) a) They promote disease</v>
      </c>
      <c r="W151" s="1" t="str">
        <f t="shared" si="39"/>
        <v>b) b) They require more care than traditional crops</v>
      </c>
      <c r="X151" s="1" t="str">
        <f t="shared" si="40"/>
        <v>c) c) They may mix with traditional crops</v>
      </c>
      <c r="Y151" s="1" t="str">
        <f t="shared" si="41"/>
        <v>d) d) They are already found in all the EU countries</v>
      </c>
    </row>
    <row r="152" spans="1:25" ht="20.100000000000001" customHeight="1" x14ac:dyDescent="0.25">
      <c r="A152" s="18"/>
      <c r="B152" s="18"/>
      <c r="C152" s="18">
        <v>9</v>
      </c>
      <c r="D152" s="18" t="s">
        <v>3280</v>
      </c>
      <c r="E152" s="18">
        <v>1</v>
      </c>
      <c r="F152" s="18" t="s">
        <v>3281</v>
      </c>
      <c r="G152" s="18" t="s">
        <v>3301</v>
      </c>
      <c r="H152" s="18" t="s">
        <v>3331</v>
      </c>
      <c r="I152" s="18" t="s">
        <v>3332</v>
      </c>
      <c r="J152" s="18" t="s">
        <v>3333</v>
      </c>
      <c r="K152" s="18" t="s">
        <v>3334</v>
      </c>
      <c r="L152" s="18"/>
      <c r="M152" s="18"/>
      <c r="N152" s="18"/>
      <c r="O152" s="18"/>
      <c r="P152" s="18"/>
    </row>
    <row r="153" spans="1:25" ht="20.100000000000001" customHeight="1" x14ac:dyDescent="0.25">
      <c r="A153" s="18"/>
      <c r="B153" s="18"/>
      <c r="C153" s="18"/>
      <c r="D153" s="18" t="s">
        <v>2994</v>
      </c>
      <c r="E153" s="18">
        <v>2</v>
      </c>
      <c r="F153" s="18" t="s">
        <v>3282</v>
      </c>
      <c r="G153" s="18" t="s">
        <v>3302</v>
      </c>
      <c r="H153" s="18" t="s">
        <v>3335</v>
      </c>
      <c r="I153" s="18" t="s">
        <v>3336</v>
      </c>
      <c r="J153" s="18" t="s">
        <v>3337</v>
      </c>
      <c r="K153" s="18" t="s">
        <v>3338</v>
      </c>
      <c r="L153" s="18"/>
      <c r="M153" s="18"/>
      <c r="N153" s="18"/>
      <c r="O153" s="18"/>
      <c r="P153" s="18"/>
    </row>
    <row r="154" spans="1:25" ht="20.100000000000001" customHeight="1" x14ac:dyDescent="0.25">
      <c r="A154" s="18"/>
      <c r="B154" s="18"/>
      <c r="C154" s="18"/>
      <c r="D154" s="18" t="s">
        <v>359</v>
      </c>
      <c r="E154" s="18">
        <v>3</v>
      </c>
      <c r="F154" s="18" t="s">
        <v>3283</v>
      </c>
      <c r="G154" s="18" t="s">
        <v>3303</v>
      </c>
      <c r="H154" s="18" t="s">
        <v>3339</v>
      </c>
      <c r="I154" s="18" t="s">
        <v>3340</v>
      </c>
      <c r="J154" s="18" t="s">
        <v>3341</v>
      </c>
      <c r="K154" s="18" t="s">
        <v>3342</v>
      </c>
      <c r="L154" s="18"/>
      <c r="M154" s="18"/>
      <c r="N154" s="18"/>
      <c r="O154" s="18"/>
      <c r="P154" s="18"/>
    </row>
    <row r="155" spans="1:25" ht="20.100000000000001" customHeight="1" x14ac:dyDescent="0.25">
      <c r="A155" s="18"/>
      <c r="B155" s="18"/>
      <c r="C155" s="18"/>
      <c r="D155" s="18"/>
      <c r="E155" s="18">
        <v>4</v>
      </c>
      <c r="F155" s="18" t="s">
        <v>3284</v>
      </c>
      <c r="G155" s="18" t="s">
        <v>3304</v>
      </c>
      <c r="H155" s="18" t="s">
        <v>3343</v>
      </c>
      <c r="I155" s="18" t="s">
        <v>3344</v>
      </c>
      <c r="J155" s="18" t="s">
        <v>3345</v>
      </c>
      <c r="K155" s="18" t="s">
        <v>3346</v>
      </c>
      <c r="L155" s="18"/>
      <c r="M155" s="18"/>
      <c r="N155" s="18"/>
      <c r="O155" s="18"/>
      <c r="P155" s="18"/>
    </row>
    <row r="156" spans="1:25" ht="20.100000000000001" customHeight="1" x14ac:dyDescent="0.25">
      <c r="A156" s="18"/>
      <c r="B156" s="18"/>
      <c r="C156" s="18"/>
      <c r="D156" s="18"/>
      <c r="E156" s="18">
        <v>5</v>
      </c>
      <c r="F156" s="18" t="s">
        <v>3285</v>
      </c>
      <c r="G156" s="18" t="s">
        <v>3305</v>
      </c>
      <c r="H156" s="18" t="s">
        <v>3347</v>
      </c>
      <c r="I156" s="18" t="s">
        <v>3348</v>
      </c>
      <c r="J156" s="18" t="s">
        <v>3349</v>
      </c>
      <c r="K156" s="18" t="s">
        <v>3350</v>
      </c>
      <c r="L156" s="18"/>
      <c r="M156" s="18"/>
      <c r="N156" s="18"/>
      <c r="O156" s="18"/>
      <c r="P156" s="18"/>
    </row>
    <row r="157" spans="1:25" ht="20.100000000000001" customHeight="1" x14ac:dyDescent="0.25">
      <c r="A157" s="18"/>
      <c r="B157" s="18"/>
      <c r="C157" s="18"/>
      <c r="D157" s="18"/>
      <c r="E157" s="18">
        <v>6</v>
      </c>
      <c r="F157" s="18" t="s">
        <v>3286</v>
      </c>
      <c r="G157" s="18" t="s">
        <v>3306</v>
      </c>
      <c r="H157" s="18" t="s">
        <v>3351</v>
      </c>
      <c r="I157" s="18" t="s">
        <v>3352</v>
      </c>
      <c r="J157" s="18" t="s">
        <v>3353</v>
      </c>
      <c r="K157" s="18" t="s">
        <v>3354</v>
      </c>
      <c r="L157" s="18"/>
      <c r="M157" s="18"/>
      <c r="N157" s="18"/>
      <c r="O157" s="18"/>
      <c r="P157" s="18"/>
    </row>
    <row r="158" spans="1:25" ht="20.100000000000001" customHeight="1" x14ac:dyDescent="0.25">
      <c r="A158" s="18"/>
      <c r="B158" s="18"/>
      <c r="C158" s="18"/>
      <c r="D158" s="18"/>
      <c r="E158" s="18">
        <v>7</v>
      </c>
      <c r="F158" s="18" t="s">
        <v>3287</v>
      </c>
      <c r="G158" s="18" t="s">
        <v>3307</v>
      </c>
      <c r="H158" s="18" t="s">
        <v>3355</v>
      </c>
      <c r="I158" s="18" t="s">
        <v>3356</v>
      </c>
      <c r="J158" s="18" t="s">
        <v>3357</v>
      </c>
      <c r="K158" s="18" t="s">
        <v>3358</v>
      </c>
      <c r="L158" s="18"/>
      <c r="M158" s="18"/>
      <c r="N158" s="18"/>
      <c r="O158" s="18"/>
      <c r="P158" s="18"/>
    </row>
    <row r="159" spans="1:25" ht="20.100000000000001" customHeight="1" x14ac:dyDescent="0.25">
      <c r="A159" s="18"/>
      <c r="B159" s="18"/>
      <c r="C159" s="18"/>
      <c r="D159" s="18"/>
      <c r="E159" s="18">
        <v>8</v>
      </c>
      <c r="F159" s="18" t="s">
        <v>3288</v>
      </c>
      <c r="G159" s="18" t="s">
        <v>3308</v>
      </c>
      <c r="H159" s="18" t="s">
        <v>3359</v>
      </c>
      <c r="I159" s="18" t="s">
        <v>3360</v>
      </c>
      <c r="J159" s="18" t="s">
        <v>3361</v>
      </c>
      <c r="K159" s="18" t="s">
        <v>3362</v>
      </c>
      <c r="L159" s="18"/>
      <c r="M159" s="18"/>
      <c r="N159" s="18"/>
      <c r="O159" s="18"/>
      <c r="P159" s="18"/>
    </row>
    <row r="160" spans="1:25" ht="20.100000000000001" customHeight="1" x14ac:dyDescent="0.25">
      <c r="A160" s="18"/>
      <c r="B160" s="18"/>
      <c r="C160" s="18"/>
      <c r="D160" s="18"/>
      <c r="E160" s="18">
        <v>9</v>
      </c>
      <c r="F160" s="18" t="s">
        <v>3289</v>
      </c>
      <c r="G160" s="18" t="s">
        <v>3309</v>
      </c>
      <c r="H160" s="18" t="s">
        <v>3363</v>
      </c>
      <c r="I160" s="18" t="s">
        <v>3364</v>
      </c>
      <c r="J160" s="18" t="s">
        <v>3365</v>
      </c>
      <c r="K160" s="18" t="s">
        <v>3366</v>
      </c>
      <c r="L160" s="18"/>
      <c r="M160" s="18"/>
      <c r="N160" s="18"/>
      <c r="O160" s="18"/>
      <c r="P160" s="18"/>
    </row>
    <row r="161" spans="1:16" ht="20.100000000000001" customHeight="1" x14ac:dyDescent="0.25">
      <c r="A161" s="18"/>
      <c r="B161" s="18"/>
      <c r="C161" s="18"/>
      <c r="D161" s="18"/>
      <c r="E161" s="18">
        <v>10</v>
      </c>
      <c r="F161" s="18" t="s">
        <v>3290</v>
      </c>
      <c r="G161" s="18" t="s">
        <v>3310</v>
      </c>
      <c r="H161" s="18" t="s">
        <v>3367</v>
      </c>
      <c r="I161" s="18" t="s">
        <v>3368</v>
      </c>
      <c r="J161" s="18" t="s">
        <v>3369</v>
      </c>
      <c r="K161" s="18" t="s">
        <v>3370</v>
      </c>
      <c r="L161" s="18"/>
      <c r="M161" s="18"/>
      <c r="N161" s="18"/>
      <c r="O161" s="18"/>
      <c r="P161" s="18"/>
    </row>
    <row r="162" spans="1:16" ht="20.100000000000001" customHeight="1" x14ac:dyDescent="0.25">
      <c r="A162" s="18"/>
      <c r="B162" s="18"/>
      <c r="C162" s="18"/>
      <c r="D162" s="18"/>
      <c r="E162" s="18">
        <v>11</v>
      </c>
      <c r="F162" s="18" t="s">
        <v>3291</v>
      </c>
      <c r="G162" s="18" t="s">
        <v>3311</v>
      </c>
      <c r="H162" s="18" t="s">
        <v>3371</v>
      </c>
      <c r="I162" s="18" t="s">
        <v>3372</v>
      </c>
      <c r="J162" s="18" t="s">
        <v>3373</v>
      </c>
      <c r="K162" s="18" t="s">
        <v>3374</v>
      </c>
      <c r="L162" s="18" t="s">
        <v>3321</v>
      </c>
      <c r="M162" s="18" t="s">
        <v>3411</v>
      </c>
      <c r="N162" s="18" t="s">
        <v>3412</v>
      </c>
      <c r="O162" s="18" t="s">
        <v>3413</v>
      </c>
      <c r="P162" s="18" t="s">
        <v>3414</v>
      </c>
    </row>
    <row r="163" spans="1:16" ht="20.100000000000001" customHeight="1" x14ac:dyDescent="0.25">
      <c r="A163" s="18"/>
      <c r="B163" s="18"/>
      <c r="C163" s="18"/>
      <c r="D163" s="18"/>
      <c r="E163" s="18">
        <v>12</v>
      </c>
      <c r="F163" s="18" t="s">
        <v>3292</v>
      </c>
      <c r="G163" s="18" t="s">
        <v>3312</v>
      </c>
      <c r="H163" s="18" t="s">
        <v>3375</v>
      </c>
      <c r="I163" s="18" t="s">
        <v>3376</v>
      </c>
      <c r="J163" s="18" t="s">
        <v>3377</v>
      </c>
      <c r="K163" s="18" t="s">
        <v>3378</v>
      </c>
      <c r="L163" s="18" t="s">
        <v>3322</v>
      </c>
      <c r="M163" s="18" t="s">
        <v>3415</v>
      </c>
      <c r="N163" s="18" t="s">
        <v>3416</v>
      </c>
      <c r="O163" s="18" t="s">
        <v>3417</v>
      </c>
      <c r="P163" s="18" t="s">
        <v>3418</v>
      </c>
    </row>
    <row r="164" spans="1:16" ht="20.100000000000001" customHeight="1" x14ac:dyDescent="0.25">
      <c r="A164" s="18"/>
      <c r="B164" s="18"/>
      <c r="C164" s="18"/>
      <c r="D164" s="18"/>
      <c r="E164" s="18">
        <v>13</v>
      </c>
      <c r="F164" s="18" t="s">
        <v>3293</v>
      </c>
      <c r="G164" s="18" t="s">
        <v>3313</v>
      </c>
      <c r="H164" s="18" t="s">
        <v>3379</v>
      </c>
      <c r="I164" s="18" t="s">
        <v>3380</v>
      </c>
      <c r="J164" s="18" t="s">
        <v>3381</v>
      </c>
      <c r="K164" s="18" t="s">
        <v>3382</v>
      </c>
      <c r="L164" s="18" t="s">
        <v>3323</v>
      </c>
      <c r="M164" s="18" t="s">
        <v>3419</v>
      </c>
      <c r="N164" s="18" t="s">
        <v>3420</v>
      </c>
      <c r="O164" s="18" t="s">
        <v>3421</v>
      </c>
      <c r="P164" s="18" t="s">
        <v>3422</v>
      </c>
    </row>
    <row r="165" spans="1:16" ht="20.100000000000001" customHeight="1" x14ac:dyDescent="0.25">
      <c r="A165" s="18"/>
      <c r="B165" s="18"/>
      <c r="C165" s="18"/>
      <c r="D165" s="18"/>
      <c r="E165" s="18">
        <v>14</v>
      </c>
      <c r="F165" s="18" t="s">
        <v>3294</v>
      </c>
      <c r="G165" s="18" t="s">
        <v>3314</v>
      </c>
      <c r="H165" s="18" t="s">
        <v>3383</v>
      </c>
      <c r="I165" s="18" t="s">
        <v>3384</v>
      </c>
      <c r="J165" s="18" t="s">
        <v>3385</v>
      </c>
      <c r="K165" s="18" t="s">
        <v>3386</v>
      </c>
      <c r="L165" s="18" t="s">
        <v>3324</v>
      </c>
      <c r="M165" s="18" t="s">
        <v>3423</v>
      </c>
      <c r="N165" s="18" t="s">
        <v>3424</v>
      </c>
      <c r="O165" s="18" t="s">
        <v>3425</v>
      </c>
      <c r="P165" s="18" t="s">
        <v>3426</v>
      </c>
    </row>
    <row r="166" spans="1:16" ht="20.100000000000001" customHeight="1" x14ac:dyDescent="0.25">
      <c r="A166" s="18"/>
      <c r="B166" s="18"/>
      <c r="C166" s="18"/>
      <c r="D166" s="18"/>
      <c r="E166" s="18">
        <v>15</v>
      </c>
      <c r="F166" s="18" t="s">
        <v>3295</v>
      </c>
      <c r="G166" s="18" t="s">
        <v>3315</v>
      </c>
      <c r="H166" s="18" t="s">
        <v>3387</v>
      </c>
      <c r="I166" s="18" t="s">
        <v>3388</v>
      </c>
      <c r="J166" s="18" t="s">
        <v>3389</v>
      </c>
      <c r="K166" s="18" t="s">
        <v>3390</v>
      </c>
      <c r="L166" s="18" t="s">
        <v>3325</v>
      </c>
      <c r="M166" s="18" t="s">
        <v>3427</v>
      </c>
      <c r="N166" s="18" t="s">
        <v>3428</v>
      </c>
      <c r="O166" s="18" t="s">
        <v>3429</v>
      </c>
      <c r="P166" s="18" t="s">
        <v>3430</v>
      </c>
    </row>
    <row r="167" spans="1:16" ht="20.100000000000001" customHeight="1" x14ac:dyDescent="0.25">
      <c r="A167" s="18"/>
      <c r="B167" s="18"/>
      <c r="C167" s="18"/>
      <c r="D167" s="18"/>
      <c r="E167" s="18">
        <v>16</v>
      </c>
      <c r="F167" s="18" t="s">
        <v>3296</v>
      </c>
      <c r="G167" s="18" t="s">
        <v>3316</v>
      </c>
      <c r="H167" s="18" t="s">
        <v>3391</v>
      </c>
      <c r="I167" s="18" t="s">
        <v>3392</v>
      </c>
      <c r="J167" s="18" t="s">
        <v>3393</v>
      </c>
      <c r="K167" s="18" t="s">
        <v>3394</v>
      </c>
      <c r="L167" s="18" t="s">
        <v>3326</v>
      </c>
      <c r="M167" s="18" t="s">
        <v>3431</v>
      </c>
      <c r="N167" s="18" t="s">
        <v>3432</v>
      </c>
      <c r="O167" s="18" t="s">
        <v>3433</v>
      </c>
      <c r="P167" s="18" t="s">
        <v>3434</v>
      </c>
    </row>
    <row r="168" spans="1:16" ht="20.100000000000001" customHeight="1" x14ac:dyDescent="0.25">
      <c r="A168" s="18"/>
      <c r="B168" s="18"/>
      <c r="C168" s="18"/>
      <c r="D168" s="18"/>
      <c r="E168" s="18">
        <v>17</v>
      </c>
      <c r="F168" s="18" t="s">
        <v>3297</v>
      </c>
      <c r="G168" s="18" t="s">
        <v>3317</v>
      </c>
      <c r="H168" s="18" t="s">
        <v>3395</v>
      </c>
      <c r="I168" s="18" t="s">
        <v>3396</v>
      </c>
      <c r="J168" s="18" t="s">
        <v>3397</v>
      </c>
      <c r="K168" s="18" t="s">
        <v>3398</v>
      </c>
      <c r="L168" s="18" t="s">
        <v>3327</v>
      </c>
      <c r="M168" s="18" t="s">
        <v>3435</v>
      </c>
      <c r="N168" s="18" t="s">
        <v>3436</v>
      </c>
      <c r="O168" s="18" t="s">
        <v>3437</v>
      </c>
      <c r="P168" s="18" t="s">
        <v>3438</v>
      </c>
    </row>
    <row r="169" spans="1:16" ht="20.100000000000001" customHeight="1" x14ac:dyDescent="0.25">
      <c r="A169" s="18"/>
      <c r="B169" s="18"/>
      <c r="C169" s="18"/>
      <c r="D169" s="18"/>
      <c r="E169" s="18">
        <v>18</v>
      </c>
      <c r="F169" s="18" t="s">
        <v>3298</v>
      </c>
      <c r="G169" s="18" t="s">
        <v>3318</v>
      </c>
      <c r="H169" s="18" t="s">
        <v>3399</v>
      </c>
      <c r="I169" s="18" t="s">
        <v>3400</v>
      </c>
      <c r="J169" s="18" t="s">
        <v>3401</v>
      </c>
      <c r="K169" s="18" t="s">
        <v>3402</v>
      </c>
      <c r="L169" s="18" t="s">
        <v>3328</v>
      </c>
      <c r="M169" s="18" t="s">
        <v>3439</v>
      </c>
      <c r="N169" s="18" t="s">
        <v>3440</v>
      </c>
      <c r="O169" s="18" t="s">
        <v>3441</v>
      </c>
      <c r="P169" s="18" t="s">
        <v>3442</v>
      </c>
    </row>
    <row r="170" spans="1:16" ht="20.100000000000001" customHeight="1" x14ac:dyDescent="0.25">
      <c r="A170" s="18"/>
      <c r="B170" s="18"/>
      <c r="C170" s="18"/>
      <c r="D170" s="18"/>
      <c r="E170" s="18">
        <v>19</v>
      </c>
      <c r="F170" s="18" t="s">
        <v>3299</v>
      </c>
      <c r="G170" s="18" t="s">
        <v>3319</v>
      </c>
      <c r="H170" s="18" t="s">
        <v>3403</v>
      </c>
      <c r="I170" s="18" t="s">
        <v>3404</v>
      </c>
      <c r="J170" s="18" t="s">
        <v>3405</v>
      </c>
      <c r="K170" s="18" t="s">
        <v>3406</v>
      </c>
      <c r="L170" s="18" t="s">
        <v>3329</v>
      </c>
      <c r="M170" s="18" t="s">
        <v>3443</v>
      </c>
      <c r="N170" s="18" t="s">
        <v>3444</v>
      </c>
      <c r="O170" s="18" t="s">
        <v>3445</v>
      </c>
      <c r="P170" s="18" t="s">
        <v>3446</v>
      </c>
    </row>
    <row r="171" spans="1:16" ht="20.100000000000001" customHeight="1" x14ac:dyDescent="0.25">
      <c r="A171" s="18"/>
      <c r="B171" s="18"/>
      <c r="C171" s="18"/>
      <c r="D171" s="18"/>
      <c r="E171" s="18">
        <v>20</v>
      </c>
      <c r="F171" s="18" t="s">
        <v>3300</v>
      </c>
      <c r="G171" s="18" t="s">
        <v>3320</v>
      </c>
      <c r="H171" s="18" t="s">
        <v>3407</v>
      </c>
      <c r="I171" s="18" t="s">
        <v>3408</v>
      </c>
      <c r="J171" s="18" t="s">
        <v>3409</v>
      </c>
      <c r="K171" s="18" t="s">
        <v>3410</v>
      </c>
      <c r="L171" s="18" t="s">
        <v>3330</v>
      </c>
      <c r="M171" s="18" t="s">
        <v>3447</v>
      </c>
      <c r="N171" s="18" t="s">
        <v>3448</v>
      </c>
      <c r="O171" s="18" t="s">
        <v>3449</v>
      </c>
      <c r="P171" s="18" t="s">
        <v>3450</v>
      </c>
    </row>
    <row r="172" spans="1:16" ht="20.100000000000001" customHeight="1" x14ac:dyDescent="0.25">
      <c r="A172" s="25"/>
      <c r="B172" s="25"/>
      <c r="C172" s="25" t="s">
        <v>4418</v>
      </c>
      <c r="D172" s="25" t="s">
        <v>4419</v>
      </c>
      <c r="E172" s="25">
        <v>1</v>
      </c>
      <c r="F172" s="25" t="s">
        <v>4420</v>
      </c>
      <c r="G172" s="25" t="s">
        <v>4421</v>
      </c>
      <c r="H172" s="25" t="s">
        <v>4422</v>
      </c>
      <c r="I172" s="25" t="s">
        <v>4423</v>
      </c>
      <c r="J172" s="25" t="s">
        <v>4424</v>
      </c>
      <c r="K172" s="25" t="s">
        <v>4425</v>
      </c>
      <c r="L172" s="25"/>
      <c r="M172" s="25"/>
      <c r="N172" s="25"/>
      <c r="O172" s="25"/>
      <c r="P172" s="25"/>
    </row>
    <row r="173" spans="1:16" ht="20.100000000000001" customHeight="1" x14ac:dyDescent="0.25">
      <c r="A173" s="25"/>
      <c r="B173" s="25"/>
      <c r="C173" s="25"/>
      <c r="D173" s="25" t="s">
        <v>4335</v>
      </c>
      <c r="E173" s="25">
        <v>2</v>
      </c>
      <c r="F173" s="25" t="s">
        <v>4426</v>
      </c>
      <c r="G173" s="25" t="s">
        <v>4427</v>
      </c>
      <c r="H173" s="25" t="s">
        <v>4428</v>
      </c>
      <c r="I173" s="25" t="s">
        <v>4429</v>
      </c>
      <c r="J173" s="25" t="s">
        <v>4430</v>
      </c>
      <c r="K173" s="25" t="s">
        <v>4431</v>
      </c>
      <c r="L173" s="25"/>
      <c r="M173" s="25"/>
      <c r="N173" s="25"/>
      <c r="O173" s="25"/>
      <c r="P173" s="25"/>
    </row>
    <row r="174" spans="1:16" ht="20.100000000000001" customHeight="1" x14ac:dyDescent="0.25">
      <c r="A174" s="25"/>
      <c r="B174" s="25"/>
      <c r="C174" s="25"/>
      <c r="D174" s="25" t="s">
        <v>359</v>
      </c>
      <c r="E174" s="25">
        <v>3</v>
      </c>
      <c r="F174" s="25" t="s">
        <v>4432</v>
      </c>
      <c r="G174" s="25" t="s">
        <v>4433</v>
      </c>
      <c r="H174" s="25" t="s">
        <v>4434</v>
      </c>
      <c r="I174" s="25" t="s">
        <v>4435</v>
      </c>
      <c r="J174" s="25" t="s">
        <v>4436</v>
      </c>
      <c r="K174" s="25" t="s">
        <v>4437</v>
      </c>
      <c r="L174" s="25"/>
      <c r="M174" s="25"/>
      <c r="N174" s="25"/>
      <c r="O174" s="25"/>
      <c r="P174" s="25"/>
    </row>
    <row r="175" spans="1:16" ht="20.100000000000001" customHeight="1" x14ac:dyDescent="0.25">
      <c r="A175" s="25"/>
      <c r="B175" s="25"/>
      <c r="C175" s="25"/>
      <c r="D175" s="25"/>
      <c r="E175" s="25">
        <v>4</v>
      </c>
      <c r="F175" s="25" t="s">
        <v>4438</v>
      </c>
      <c r="G175" s="25" t="s">
        <v>4439</v>
      </c>
      <c r="H175" s="25" t="s">
        <v>4440</v>
      </c>
      <c r="I175" s="25" t="s">
        <v>4441</v>
      </c>
      <c r="J175" s="25" t="s">
        <v>4442</v>
      </c>
      <c r="K175" s="25" t="s">
        <v>4443</v>
      </c>
      <c r="L175" s="25"/>
      <c r="M175" s="25"/>
      <c r="N175" s="25"/>
      <c r="O175" s="25"/>
      <c r="P175" s="25"/>
    </row>
    <row r="176" spans="1:16" ht="20.100000000000001" customHeight="1" x14ac:dyDescent="0.25">
      <c r="A176" s="25"/>
      <c r="B176" s="25"/>
      <c r="C176" s="25"/>
      <c r="D176" s="25"/>
      <c r="E176" s="25">
        <v>5</v>
      </c>
      <c r="F176" s="25" t="s">
        <v>4444</v>
      </c>
      <c r="G176" s="25" t="s">
        <v>4445</v>
      </c>
      <c r="H176" s="25" t="s">
        <v>4446</v>
      </c>
      <c r="I176" s="25" t="s">
        <v>4447</v>
      </c>
      <c r="J176" s="25" t="s">
        <v>4448</v>
      </c>
      <c r="K176" s="25" t="s">
        <v>4449</v>
      </c>
      <c r="L176" s="25"/>
      <c r="M176" s="25"/>
      <c r="N176" s="25"/>
      <c r="O176" s="25"/>
      <c r="P176" s="25"/>
    </row>
    <row r="177" spans="1:16" ht="20.100000000000001" customHeight="1" x14ac:dyDescent="0.25">
      <c r="A177" s="25"/>
      <c r="B177" s="25"/>
      <c r="C177" s="25"/>
      <c r="D177" s="25"/>
      <c r="E177" s="25">
        <v>6</v>
      </c>
      <c r="F177" s="25" t="s">
        <v>4450</v>
      </c>
      <c r="G177" s="25" t="s">
        <v>4451</v>
      </c>
      <c r="H177" s="25" t="s">
        <v>4452</v>
      </c>
      <c r="I177" s="25" t="s">
        <v>4453</v>
      </c>
      <c r="J177" s="25" t="s">
        <v>4454</v>
      </c>
      <c r="K177" s="25" t="s">
        <v>4455</v>
      </c>
      <c r="L177" s="25"/>
      <c r="M177" s="25"/>
      <c r="N177" s="25"/>
      <c r="O177" s="25"/>
      <c r="P177" s="25"/>
    </row>
    <row r="178" spans="1:16" ht="20.100000000000001" customHeight="1" x14ac:dyDescent="0.25">
      <c r="A178" s="25"/>
      <c r="B178" s="25"/>
      <c r="C178" s="25"/>
      <c r="D178" s="25"/>
      <c r="E178" s="25">
        <v>7</v>
      </c>
      <c r="F178" s="25" t="s">
        <v>4456</v>
      </c>
      <c r="G178" s="25" t="s">
        <v>4457</v>
      </c>
      <c r="H178" s="25" t="s">
        <v>4458</v>
      </c>
      <c r="I178" s="25" t="s">
        <v>4459</v>
      </c>
      <c r="J178" s="25" t="s">
        <v>4460</v>
      </c>
      <c r="K178" s="25" t="s">
        <v>4461</v>
      </c>
      <c r="L178" s="25"/>
      <c r="M178" s="25"/>
      <c r="N178" s="25"/>
      <c r="O178" s="25"/>
      <c r="P178" s="25"/>
    </row>
    <row r="179" spans="1:16" ht="20.100000000000001" customHeight="1" x14ac:dyDescent="0.25">
      <c r="A179" s="25"/>
      <c r="B179" s="25"/>
      <c r="C179" s="25"/>
      <c r="D179" s="25"/>
      <c r="E179" s="25">
        <v>8</v>
      </c>
      <c r="F179" s="25" t="s">
        <v>4462</v>
      </c>
      <c r="G179" s="25" t="s">
        <v>4463</v>
      </c>
      <c r="H179" s="25" t="s">
        <v>4464</v>
      </c>
      <c r="I179" s="25" t="s">
        <v>4465</v>
      </c>
      <c r="J179" s="25" t="s">
        <v>4466</v>
      </c>
      <c r="K179" s="25" t="s">
        <v>4467</v>
      </c>
      <c r="L179" s="25"/>
      <c r="M179" s="25"/>
      <c r="N179" s="25"/>
      <c r="O179" s="25"/>
      <c r="P179" s="25"/>
    </row>
    <row r="180" spans="1:16" ht="20.100000000000001" customHeight="1" x14ac:dyDescent="0.25">
      <c r="A180" s="25"/>
      <c r="B180" s="25"/>
      <c r="C180" s="25"/>
      <c r="D180" s="25"/>
      <c r="E180" s="25">
        <v>9</v>
      </c>
      <c r="F180" s="25" t="s">
        <v>4468</v>
      </c>
      <c r="G180" s="25" t="s">
        <v>4469</v>
      </c>
      <c r="H180" s="25" t="s">
        <v>4470</v>
      </c>
      <c r="I180" s="25" t="s">
        <v>4471</v>
      </c>
      <c r="J180" s="25" t="s">
        <v>1864</v>
      </c>
      <c r="K180" s="25" t="s">
        <v>4472</v>
      </c>
      <c r="L180" s="25"/>
      <c r="M180" s="25"/>
      <c r="N180" s="25"/>
      <c r="O180" s="25"/>
      <c r="P180" s="25"/>
    </row>
    <row r="181" spans="1:16" ht="20.100000000000001" customHeight="1" x14ac:dyDescent="0.25">
      <c r="A181" s="25"/>
      <c r="B181" s="25"/>
      <c r="C181" s="25"/>
      <c r="D181" s="25"/>
      <c r="E181" s="25">
        <v>10</v>
      </c>
      <c r="F181" s="25" t="s">
        <v>4473</v>
      </c>
      <c r="G181" s="25" t="s">
        <v>4474</v>
      </c>
      <c r="H181" s="25" t="s">
        <v>4475</v>
      </c>
      <c r="I181" s="25" t="s">
        <v>4476</v>
      </c>
      <c r="J181" s="25" t="s">
        <v>4477</v>
      </c>
      <c r="K181" s="25" t="s">
        <v>4478</v>
      </c>
      <c r="L181" s="25"/>
      <c r="M181" s="25"/>
      <c r="N181" s="25"/>
      <c r="O181" s="25"/>
      <c r="P181" s="25"/>
    </row>
    <row r="182" spans="1:16" ht="20.100000000000001" customHeight="1" x14ac:dyDescent="0.25">
      <c r="A182" s="25"/>
      <c r="B182" s="25"/>
      <c r="C182" s="25"/>
      <c r="D182" s="25"/>
      <c r="E182" s="25">
        <v>11</v>
      </c>
      <c r="F182" s="25" t="s">
        <v>4479</v>
      </c>
      <c r="G182" s="25" t="s">
        <v>4480</v>
      </c>
      <c r="H182" s="25" t="s">
        <v>4481</v>
      </c>
      <c r="I182" s="25" t="s">
        <v>4482</v>
      </c>
      <c r="J182" s="25" t="s">
        <v>4483</v>
      </c>
      <c r="K182" s="25" t="s">
        <v>4484</v>
      </c>
      <c r="L182" s="25" t="s">
        <v>4485</v>
      </c>
      <c r="M182" s="25" t="s">
        <v>4486</v>
      </c>
      <c r="N182" s="25" t="s">
        <v>4487</v>
      </c>
      <c r="O182" s="25" t="s">
        <v>4488</v>
      </c>
      <c r="P182" s="25" t="s">
        <v>4489</v>
      </c>
    </row>
    <row r="183" spans="1:16" ht="20.100000000000001" customHeight="1" x14ac:dyDescent="0.25">
      <c r="A183" s="25"/>
      <c r="B183" s="25"/>
      <c r="C183" s="25"/>
      <c r="D183" s="25"/>
      <c r="E183" s="25">
        <v>12</v>
      </c>
      <c r="F183" s="25" t="s">
        <v>4490</v>
      </c>
      <c r="G183" s="25" t="s">
        <v>4491</v>
      </c>
      <c r="H183" s="25" t="s">
        <v>4492</v>
      </c>
      <c r="I183" s="25" t="s">
        <v>4493</v>
      </c>
      <c r="J183" s="25" t="s">
        <v>4494</v>
      </c>
      <c r="K183" s="25" t="s">
        <v>4495</v>
      </c>
      <c r="L183" s="25" t="s">
        <v>4496</v>
      </c>
      <c r="M183" s="25" t="s">
        <v>4497</v>
      </c>
      <c r="N183" s="25" t="s">
        <v>4498</v>
      </c>
      <c r="O183" s="25" t="s">
        <v>4499</v>
      </c>
      <c r="P183" s="25" t="s">
        <v>4500</v>
      </c>
    </row>
    <row r="184" spans="1:16" ht="20.100000000000001" customHeight="1" x14ac:dyDescent="0.25">
      <c r="A184" s="25"/>
      <c r="B184" s="25"/>
      <c r="C184" s="25"/>
      <c r="D184" s="25"/>
      <c r="E184" s="25">
        <v>13</v>
      </c>
      <c r="F184" s="25" t="s">
        <v>4501</v>
      </c>
      <c r="G184" s="25" t="s">
        <v>4502</v>
      </c>
      <c r="H184" s="25" t="s">
        <v>4503</v>
      </c>
      <c r="I184" s="25" t="s">
        <v>1861</v>
      </c>
      <c r="J184" s="25" t="s">
        <v>1863</v>
      </c>
      <c r="K184" s="25" t="s">
        <v>4504</v>
      </c>
      <c r="L184" s="25" t="s">
        <v>4505</v>
      </c>
      <c r="M184" s="25" t="s">
        <v>4506</v>
      </c>
      <c r="N184" s="25" t="s">
        <v>1227</v>
      </c>
      <c r="O184" s="25" t="s">
        <v>4507</v>
      </c>
      <c r="P184" s="25" t="s">
        <v>4508</v>
      </c>
    </row>
    <row r="185" spans="1:16" ht="20.100000000000001" customHeight="1" x14ac:dyDescent="0.25">
      <c r="A185" s="25"/>
      <c r="B185" s="25"/>
      <c r="C185" s="25"/>
      <c r="D185" s="25"/>
      <c r="E185" s="25">
        <v>14</v>
      </c>
      <c r="F185" s="25" t="s">
        <v>4574</v>
      </c>
      <c r="G185" s="25" t="s">
        <v>4509</v>
      </c>
      <c r="H185" s="25" t="s">
        <v>4510</v>
      </c>
      <c r="I185" s="25" t="s">
        <v>4511</v>
      </c>
      <c r="J185" s="25" t="s">
        <v>4575</v>
      </c>
      <c r="K185" s="25" t="s">
        <v>4513</v>
      </c>
      <c r="L185" s="25" t="s">
        <v>4514</v>
      </c>
      <c r="M185" s="25" t="s">
        <v>4515</v>
      </c>
      <c r="N185" s="25" t="s">
        <v>4576</v>
      </c>
      <c r="O185" s="25" t="s">
        <v>4517</v>
      </c>
      <c r="P185" s="25" t="s">
        <v>4518</v>
      </c>
    </row>
    <row r="186" spans="1:16" ht="20.100000000000001" customHeight="1" x14ac:dyDescent="0.25">
      <c r="A186" s="25"/>
      <c r="B186" s="25"/>
      <c r="C186" s="25"/>
      <c r="D186" s="25"/>
      <c r="E186" s="25">
        <v>15</v>
      </c>
      <c r="F186" s="25" t="s">
        <v>4577</v>
      </c>
      <c r="G186" s="25" t="s">
        <v>4519</v>
      </c>
      <c r="H186" s="25" t="s">
        <v>4520</v>
      </c>
      <c r="I186" s="25" t="s">
        <v>4521</v>
      </c>
      <c r="J186" s="25" t="s">
        <v>4522</v>
      </c>
      <c r="K186" s="25" t="s">
        <v>4578</v>
      </c>
      <c r="L186" s="25" t="s">
        <v>4524</v>
      </c>
      <c r="M186" s="25" t="s">
        <v>4525</v>
      </c>
      <c r="N186" s="25" t="s">
        <v>4579</v>
      </c>
      <c r="O186" s="25" t="s">
        <v>4527</v>
      </c>
      <c r="P186" s="25" t="s">
        <v>4528</v>
      </c>
    </row>
    <row r="187" spans="1:16" ht="20.100000000000001" customHeight="1" x14ac:dyDescent="0.25">
      <c r="A187" s="25"/>
      <c r="B187" s="25"/>
      <c r="C187" s="25"/>
      <c r="D187" s="25"/>
      <c r="E187" s="25">
        <v>16</v>
      </c>
      <c r="F187" s="25" t="s">
        <v>4580</v>
      </c>
      <c r="G187" s="25" t="s">
        <v>4529</v>
      </c>
      <c r="H187" s="25" t="s">
        <v>4581</v>
      </c>
      <c r="I187" s="25" t="s">
        <v>4531</v>
      </c>
      <c r="J187" s="25" t="s">
        <v>4532</v>
      </c>
      <c r="K187" s="25" t="s">
        <v>4533</v>
      </c>
      <c r="L187" s="25" t="s">
        <v>4534</v>
      </c>
      <c r="M187" s="25" t="s">
        <v>4535</v>
      </c>
      <c r="N187" s="25" t="s">
        <v>4536</v>
      </c>
      <c r="O187" s="25" t="s">
        <v>4582</v>
      </c>
      <c r="P187" s="25" t="s">
        <v>4538</v>
      </c>
    </row>
    <row r="188" spans="1:16" ht="20.100000000000001" customHeight="1" x14ac:dyDescent="0.25">
      <c r="A188" s="25"/>
      <c r="B188" s="25"/>
      <c r="C188" s="25"/>
      <c r="D188" s="25"/>
      <c r="E188" s="25">
        <v>17</v>
      </c>
      <c r="F188" s="25" t="s">
        <v>4583</v>
      </c>
      <c r="G188" s="25" t="s">
        <v>4539</v>
      </c>
      <c r="H188" s="25" t="s">
        <v>1859</v>
      </c>
      <c r="I188" s="25" t="s">
        <v>4540</v>
      </c>
      <c r="J188" s="25" t="s">
        <v>1865</v>
      </c>
      <c r="K188" s="25" t="s">
        <v>4584</v>
      </c>
      <c r="L188" s="25" t="s">
        <v>4542</v>
      </c>
      <c r="M188" s="25" t="s">
        <v>1860</v>
      </c>
      <c r="N188" s="25" t="s">
        <v>1862</v>
      </c>
      <c r="O188" s="25" t="s">
        <v>1866</v>
      </c>
      <c r="P188" s="25" t="s">
        <v>4585</v>
      </c>
    </row>
    <row r="189" spans="1:16" ht="20.100000000000001" customHeight="1" x14ac:dyDescent="0.25">
      <c r="A189" s="25"/>
      <c r="B189" s="25"/>
      <c r="C189" s="25"/>
      <c r="D189" s="25"/>
      <c r="E189" s="25">
        <v>18</v>
      </c>
      <c r="F189" s="25" t="s">
        <v>4586</v>
      </c>
      <c r="G189" s="25" t="s">
        <v>4544</v>
      </c>
      <c r="H189" s="25" t="s">
        <v>4545</v>
      </c>
      <c r="I189" s="25" t="s">
        <v>4546</v>
      </c>
      <c r="J189" s="25" t="s">
        <v>4547</v>
      </c>
      <c r="K189" s="25" t="s">
        <v>4587</v>
      </c>
      <c r="L189" s="25" t="s">
        <v>4549</v>
      </c>
      <c r="M189" s="25" t="s">
        <v>4588</v>
      </c>
      <c r="N189" s="25" t="s">
        <v>4551</v>
      </c>
      <c r="O189" s="25" t="s">
        <v>4552</v>
      </c>
      <c r="P189" s="25" t="s">
        <v>4553</v>
      </c>
    </row>
    <row r="190" spans="1:16" ht="20.100000000000001" customHeight="1" x14ac:dyDescent="0.25">
      <c r="A190" s="25"/>
      <c r="B190" s="25"/>
      <c r="C190" s="25"/>
      <c r="D190" s="25"/>
      <c r="E190" s="25">
        <v>19</v>
      </c>
      <c r="F190" s="25" t="s">
        <v>4589</v>
      </c>
      <c r="G190" s="25" t="s">
        <v>4554</v>
      </c>
      <c r="H190" s="25" t="s">
        <v>4555</v>
      </c>
      <c r="I190" s="25" t="s">
        <v>4556</v>
      </c>
      <c r="J190" s="25" t="s">
        <v>4590</v>
      </c>
      <c r="K190" s="25" t="s">
        <v>4558</v>
      </c>
      <c r="L190" s="25" t="s">
        <v>4559</v>
      </c>
      <c r="M190" s="25" t="s">
        <v>4560</v>
      </c>
      <c r="N190" s="25" t="s">
        <v>4561</v>
      </c>
      <c r="O190" s="25" t="s">
        <v>4562</v>
      </c>
      <c r="P190" s="25" t="s">
        <v>4591</v>
      </c>
    </row>
    <row r="191" spans="1:16" ht="20.100000000000001" customHeight="1" x14ac:dyDescent="0.25">
      <c r="A191" s="25"/>
      <c r="B191" s="25"/>
      <c r="C191" s="25"/>
      <c r="D191" s="25"/>
      <c r="E191" s="25">
        <v>20</v>
      </c>
      <c r="F191" s="25" t="s">
        <v>4592</v>
      </c>
      <c r="G191" s="25" t="s">
        <v>4564</v>
      </c>
      <c r="H191" s="25" t="s">
        <v>4565</v>
      </c>
      <c r="I191" s="25" t="s">
        <v>4593</v>
      </c>
      <c r="J191" s="25" t="s">
        <v>4567</v>
      </c>
      <c r="K191" s="25" t="s">
        <v>4568</v>
      </c>
      <c r="L191" s="25" t="s">
        <v>4569</v>
      </c>
      <c r="M191" s="25" t="s">
        <v>4594</v>
      </c>
      <c r="N191" s="25" t="s">
        <v>4571</v>
      </c>
      <c r="O191" s="25" t="s">
        <v>4572</v>
      </c>
      <c r="P191" s="25" t="s">
        <v>4573</v>
      </c>
    </row>
    <row r="192" spans="1:16" s="93" customFormat="1" ht="30" customHeight="1" x14ac:dyDescent="0.25">
      <c r="A192" s="26"/>
      <c r="B192" s="26"/>
      <c r="C192" s="26" t="s">
        <v>4336</v>
      </c>
      <c r="D192" s="26" t="s">
        <v>4337</v>
      </c>
      <c r="E192" s="26">
        <v>1</v>
      </c>
      <c r="F192" s="26" t="s">
        <v>4338</v>
      </c>
      <c r="G192" s="26" t="s">
        <v>4305</v>
      </c>
      <c r="H192" s="26" t="s">
        <v>4223</v>
      </c>
      <c r="I192" s="26" t="s">
        <v>4224</v>
      </c>
      <c r="J192" s="26" t="s">
        <v>4225</v>
      </c>
      <c r="K192" s="26" t="s">
        <v>4358</v>
      </c>
      <c r="L192" s="26"/>
      <c r="M192" s="26"/>
      <c r="N192" s="26"/>
      <c r="O192" s="26"/>
      <c r="P192" s="26"/>
    </row>
    <row r="193" spans="1:16" s="93" customFormat="1" ht="30" customHeight="1" x14ac:dyDescent="0.25">
      <c r="A193" s="26"/>
      <c r="B193" s="26"/>
      <c r="C193" s="26"/>
      <c r="D193" s="26" t="s">
        <v>4335</v>
      </c>
      <c r="E193" s="26">
        <v>2</v>
      </c>
      <c r="F193" s="26" t="s">
        <v>4339</v>
      </c>
      <c r="G193" s="26" t="s">
        <v>4306</v>
      </c>
      <c r="H193" s="26" t="s">
        <v>4227</v>
      </c>
      <c r="I193" s="26" t="s">
        <v>4359</v>
      </c>
      <c r="J193" s="26" t="s">
        <v>4229</v>
      </c>
      <c r="K193" s="26" t="s">
        <v>4230</v>
      </c>
      <c r="L193" s="26"/>
      <c r="M193" s="26"/>
      <c r="N193" s="26"/>
      <c r="O193" s="26"/>
      <c r="P193" s="26"/>
    </row>
    <row r="194" spans="1:16" s="93" customFormat="1" ht="30" customHeight="1" x14ac:dyDescent="0.25">
      <c r="A194" s="26"/>
      <c r="B194" s="26"/>
      <c r="C194" s="26"/>
      <c r="D194" s="26" t="s">
        <v>359</v>
      </c>
      <c r="E194" s="26">
        <v>3</v>
      </c>
      <c r="F194" s="26" t="s">
        <v>4340</v>
      </c>
      <c r="G194" s="26" t="s">
        <v>4307</v>
      </c>
      <c r="H194" s="26" t="s">
        <v>4231</v>
      </c>
      <c r="I194" s="26" t="s">
        <v>4360</v>
      </c>
      <c r="J194" s="26" t="s">
        <v>4233</v>
      </c>
      <c r="K194" s="26" t="s">
        <v>4234</v>
      </c>
      <c r="L194" s="26"/>
      <c r="M194" s="26"/>
      <c r="N194" s="26"/>
      <c r="O194" s="26"/>
      <c r="P194" s="26"/>
    </row>
    <row r="195" spans="1:16" s="93" customFormat="1" ht="30" customHeight="1" x14ac:dyDescent="0.25">
      <c r="A195" s="26"/>
      <c r="B195" s="26"/>
      <c r="C195" s="26"/>
      <c r="D195" s="26"/>
      <c r="E195" s="26">
        <v>4</v>
      </c>
      <c r="F195" s="26" t="s">
        <v>4341</v>
      </c>
      <c r="G195" s="26" t="s">
        <v>4308</v>
      </c>
      <c r="H195" s="26" t="s">
        <v>4235</v>
      </c>
      <c r="I195" s="26" t="s">
        <v>4361</v>
      </c>
      <c r="J195" s="26" t="s">
        <v>4237</v>
      </c>
      <c r="K195" s="26" t="s">
        <v>4238</v>
      </c>
      <c r="L195" s="26"/>
      <c r="M195" s="26"/>
      <c r="N195" s="26"/>
      <c r="O195" s="26"/>
      <c r="P195" s="26"/>
    </row>
    <row r="196" spans="1:16" s="93" customFormat="1" ht="30" customHeight="1" x14ac:dyDescent="0.25">
      <c r="A196" s="26"/>
      <c r="B196" s="26"/>
      <c r="C196" s="26"/>
      <c r="D196" s="26"/>
      <c r="E196" s="26">
        <v>5</v>
      </c>
      <c r="F196" s="26" t="s">
        <v>4342</v>
      </c>
      <c r="G196" s="26" t="s">
        <v>4309</v>
      </c>
      <c r="H196" s="26" t="s">
        <v>4239</v>
      </c>
      <c r="I196" s="26" t="s">
        <v>4240</v>
      </c>
      <c r="J196" s="26" t="s">
        <v>4362</v>
      </c>
      <c r="K196" s="26" t="s">
        <v>4242</v>
      </c>
      <c r="L196" s="26"/>
      <c r="M196" s="26"/>
      <c r="N196" s="26"/>
      <c r="O196" s="26"/>
      <c r="P196" s="26"/>
    </row>
    <row r="197" spans="1:16" s="93" customFormat="1" ht="30" customHeight="1" x14ac:dyDescent="0.25">
      <c r="A197" s="26"/>
      <c r="B197" s="26"/>
      <c r="C197" s="26"/>
      <c r="D197" s="26"/>
      <c r="E197" s="26">
        <v>6</v>
      </c>
      <c r="F197" s="26" t="s">
        <v>4343</v>
      </c>
      <c r="G197" s="26" t="s">
        <v>4310</v>
      </c>
      <c r="H197" s="26" t="s">
        <v>4243</v>
      </c>
      <c r="I197" s="26" t="s">
        <v>4244</v>
      </c>
      <c r="J197" s="26" t="s">
        <v>4245</v>
      </c>
      <c r="K197" s="26" t="s">
        <v>4363</v>
      </c>
      <c r="L197" s="26"/>
      <c r="M197" s="26"/>
      <c r="N197" s="26"/>
      <c r="O197" s="26"/>
      <c r="P197" s="26"/>
    </row>
    <row r="198" spans="1:16" s="93" customFormat="1" ht="30" customHeight="1" x14ac:dyDescent="0.25">
      <c r="A198" s="26"/>
      <c r="B198" s="26"/>
      <c r="C198" s="26"/>
      <c r="D198" s="26"/>
      <c r="E198" s="26">
        <v>7</v>
      </c>
      <c r="F198" s="26" t="s">
        <v>4344</v>
      </c>
      <c r="G198" s="26" t="s">
        <v>4311</v>
      </c>
      <c r="H198" s="26" t="s">
        <v>4247</v>
      </c>
      <c r="I198" s="26" t="s">
        <v>4248</v>
      </c>
      <c r="J198" s="26" t="s">
        <v>4249</v>
      </c>
      <c r="K198" s="26" t="s">
        <v>4364</v>
      </c>
      <c r="L198" s="26"/>
      <c r="M198" s="26"/>
      <c r="N198" s="26"/>
      <c r="O198" s="26"/>
      <c r="P198" s="26"/>
    </row>
    <row r="199" spans="1:16" s="93" customFormat="1" ht="30" customHeight="1" x14ac:dyDescent="0.25">
      <c r="A199" s="26"/>
      <c r="B199" s="26"/>
      <c r="C199" s="26"/>
      <c r="D199" s="26"/>
      <c r="E199" s="26">
        <v>8</v>
      </c>
      <c r="F199" s="26" t="s">
        <v>4345</v>
      </c>
      <c r="G199" s="26" t="s">
        <v>4312</v>
      </c>
      <c r="H199" s="26" t="s">
        <v>4251</v>
      </c>
      <c r="I199" s="26" t="s">
        <v>4252</v>
      </c>
      <c r="J199" s="26" t="s">
        <v>4365</v>
      </c>
      <c r="K199" s="26" t="s">
        <v>4254</v>
      </c>
      <c r="L199" s="26"/>
      <c r="M199" s="26"/>
      <c r="N199" s="26"/>
      <c r="O199" s="26"/>
      <c r="P199" s="26"/>
    </row>
    <row r="200" spans="1:16" s="93" customFormat="1" ht="30" customHeight="1" x14ac:dyDescent="0.25">
      <c r="A200" s="26"/>
      <c r="B200" s="26"/>
      <c r="C200" s="26"/>
      <c r="D200" s="26"/>
      <c r="E200" s="26">
        <v>9</v>
      </c>
      <c r="F200" s="26" t="s">
        <v>4346</v>
      </c>
      <c r="G200" s="26" t="s">
        <v>4313</v>
      </c>
      <c r="H200" s="26" t="s">
        <v>4255</v>
      </c>
      <c r="I200" s="26" t="s">
        <v>4256</v>
      </c>
      <c r="J200" s="26" t="s">
        <v>4257</v>
      </c>
      <c r="K200" s="26" t="s">
        <v>4366</v>
      </c>
      <c r="L200" s="26"/>
      <c r="M200" s="26"/>
      <c r="N200" s="26"/>
      <c r="O200" s="26"/>
      <c r="P200" s="26"/>
    </row>
    <row r="201" spans="1:16" s="93" customFormat="1" ht="30" customHeight="1" x14ac:dyDescent="0.25">
      <c r="A201" s="26"/>
      <c r="B201" s="26"/>
      <c r="C201" s="26"/>
      <c r="D201" s="26"/>
      <c r="E201" s="26">
        <v>10</v>
      </c>
      <c r="F201" s="26" t="s">
        <v>4347</v>
      </c>
      <c r="G201" s="26" t="s">
        <v>4314</v>
      </c>
      <c r="H201" s="26" t="s">
        <v>1663</v>
      </c>
      <c r="I201" s="26" t="s">
        <v>1664</v>
      </c>
      <c r="J201" s="26" t="s">
        <v>1665</v>
      </c>
      <c r="K201" s="26" t="s">
        <v>4367</v>
      </c>
      <c r="L201" s="26"/>
      <c r="M201" s="26"/>
      <c r="N201" s="26"/>
      <c r="O201" s="26"/>
      <c r="P201" s="26"/>
    </row>
    <row r="202" spans="1:16" s="93" customFormat="1" ht="30" customHeight="1" x14ac:dyDescent="0.25">
      <c r="A202" s="26"/>
      <c r="B202" s="26"/>
      <c r="C202" s="26"/>
      <c r="D202" s="26"/>
      <c r="E202" s="26">
        <v>11</v>
      </c>
      <c r="F202" s="26" t="s">
        <v>4348</v>
      </c>
      <c r="G202" s="26" t="s">
        <v>4315</v>
      </c>
      <c r="H202" s="26" t="s">
        <v>4265</v>
      </c>
      <c r="I202" s="26" t="s">
        <v>4266</v>
      </c>
      <c r="J202" s="26" t="s">
        <v>4368</v>
      </c>
      <c r="K202" s="26" t="s">
        <v>4268</v>
      </c>
      <c r="L202" s="26" t="s">
        <v>4325</v>
      </c>
      <c r="M202" s="26" t="s">
        <v>4286</v>
      </c>
      <c r="N202" s="26" t="s">
        <v>4369</v>
      </c>
      <c r="O202" s="26" t="s">
        <v>4288</v>
      </c>
      <c r="P202" s="26" t="s">
        <v>4289</v>
      </c>
    </row>
    <row r="203" spans="1:16" s="93" customFormat="1" ht="30" customHeight="1" x14ac:dyDescent="0.25">
      <c r="A203" s="26"/>
      <c r="B203" s="26"/>
      <c r="C203" s="26"/>
      <c r="D203" s="26"/>
      <c r="E203" s="26">
        <v>12</v>
      </c>
      <c r="F203" s="26" t="s">
        <v>4349</v>
      </c>
      <c r="G203" s="26" t="s">
        <v>4316</v>
      </c>
      <c r="H203" s="26" t="s">
        <v>4269</v>
      </c>
      <c r="I203" s="26" t="s">
        <v>4270</v>
      </c>
      <c r="J203" s="26" t="s">
        <v>1644</v>
      </c>
      <c r="K203" s="26" t="s">
        <v>4371</v>
      </c>
      <c r="L203" s="26" t="s">
        <v>4326</v>
      </c>
      <c r="M203" s="26" t="s">
        <v>1666</v>
      </c>
      <c r="N203" s="26" t="s">
        <v>4370</v>
      </c>
      <c r="O203" s="26" t="s">
        <v>4291</v>
      </c>
      <c r="P203" s="26" t="s">
        <v>1667</v>
      </c>
    </row>
    <row r="204" spans="1:16" s="93" customFormat="1" ht="30" customHeight="1" x14ac:dyDescent="0.25">
      <c r="A204" s="26"/>
      <c r="B204" s="26"/>
      <c r="C204" s="26"/>
      <c r="D204" s="26"/>
      <c r="E204" s="26">
        <v>13</v>
      </c>
      <c r="F204" s="26" t="s">
        <v>4350</v>
      </c>
      <c r="G204" s="26" t="s">
        <v>4317</v>
      </c>
      <c r="H204" s="26" t="s">
        <v>4272</v>
      </c>
      <c r="I204" s="26" t="s">
        <v>1645</v>
      </c>
      <c r="J204" s="26" t="s">
        <v>4372</v>
      </c>
      <c r="K204" s="26" t="s">
        <v>4274</v>
      </c>
      <c r="L204" s="26" t="s">
        <v>4327</v>
      </c>
      <c r="M204" s="26" t="s">
        <v>4373</v>
      </c>
      <c r="N204" s="26" t="s">
        <v>1669</v>
      </c>
      <c r="O204" s="26" t="s">
        <v>1670</v>
      </c>
      <c r="P204" s="26" t="s">
        <v>1671</v>
      </c>
    </row>
    <row r="205" spans="1:16" s="93" customFormat="1" ht="30" customHeight="1" x14ac:dyDescent="0.25">
      <c r="A205" s="26"/>
      <c r="B205" s="26"/>
      <c r="C205" s="26"/>
      <c r="D205" s="26"/>
      <c r="E205" s="26">
        <v>14</v>
      </c>
      <c r="F205" s="26" t="s">
        <v>4351</v>
      </c>
      <c r="G205" s="26" t="s">
        <v>4318</v>
      </c>
      <c r="H205" s="26" t="s">
        <v>4275</v>
      </c>
      <c r="I205" s="26" t="s">
        <v>4374</v>
      </c>
      <c r="J205" s="26" t="s">
        <v>4277</v>
      </c>
      <c r="K205" s="26" t="s">
        <v>4278</v>
      </c>
      <c r="L205" s="26" t="s">
        <v>4328</v>
      </c>
      <c r="M205" s="26" t="s">
        <v>4292</v>
      </c>
      <c r="N205" s="26" t="s">
        <v>4293</v>
      </c>
      <c r="O205" s="26" t="s">
        <v>4294</v>
      </c>
      <c r="P205" s="26" t="s">
        <v>4375</v>
      </c>
    </row>
    <row r="206" spans="1:16" s="93" customFormat="1" ht="30" customHeight="1" x14ac:dyDescent="0.25">
      <c r="A206" s="26"/>
      <c r="B206" s="26"/>
      <c r="C206" s="26"/>
      <c r="D206" s="26"/>
      <c r="E206" s="26">
        <v>15</v>
      </c>
      <c r="F206" s="26" t="s">
        <v>4352</v>
      </c>
      <c r="G206" s="26" t="s">
        <v>4319</v>
      </c>
      <c r="H206" s="26" t="s">
        <v>4279</v>
      </c>
      <c r="I206" s="26" t="s">
        <v>1646</v>
      </c>
      <c r="J206" s="26" t="s">
        <v>1647</v>
      </c>
      <c r="K206" s="26" t="s">
        <v>4376</v>
      </c>
      <c r="L206" s="26" t="s">
        <v>4329</v>
      </c>
      <c r="M206" s="26" t="s">
        <v>4377</v>
      </c>
      <c r="N206" s="26" t="s">
        <v>1672</v>
      </c>
      <c r="O206" s="26" t="s">
        <v>1673</v>
      </c>
      <c r="P206" s="26" t="s">
        <v>4297</v>
      </c>
    </row>
    <row r="207" spans="1:16" s="93" customFormat="1" ht="30" customHeight="1" x14ac:dyDescent="0.25">
      <c r="A207" s="26"/>
      <c r="B207" s="26"/>
      <c r="C207" s="26"/>
      <c r="D207" s="26"/>
      <c r="E207" s="26">
        <v>16</v>
      </c>
      <c r="F207" s="26" t="s">
        <v>4353</v>
      </c>
      <c r="G207" s="26" t="s">
        <v>4320</v>
      </c>
      <c r="H207" s="26" t="s">
        <v>4379</v>
      </c>
      <c r="I207" s="26" t="s">
        <v>4281</v>
      </c>
      <c r="J207" s="26" t="s">
        <v>1649</v>
      </c>
      <c r="K207" s="26" t="s">
        <v>1650</v>
      </c>
      <c r="L207" s="26" t="s">
        <v>4330</v>
      </c>
      <c r="M207" s="26" t="s">
        <v>4298</v>
      </c>
      <c r="N207" s="26" t="s">
        <v>4299</v>
      </c>
      <c r="O207" s="26" t="s">
        <v>4378</v>
      </c>
      <c r="P207" s="26" t="s">
        <v>4301</v>
      </c>
    </row>
    <row r="208" spans="1:16" s="93" customFormat="1" ht="30" customHeight="1" x14ac:dyDescent="0.25">
      <c r="A208" s="26"/>
      <c r="B208" s="26"/>
      <c r="C208" s="26"/>
      <c r="D208" s="26"/>
      <c r="E208" s="26">
        <v>17</v>
      </c>
      <c r="F208" s="26" t="s">
        <v>4354</v>
      </c>
      <c r="G208" s="26" t="s">
        <v>4321</v>
      </c>
      <c r="H208" s="26" t="s">
        <v>1651</v>
      </c>
      <c r="I208" s="26" t="s">
        <v>1652</v>
      </c>
      <c r="J208" s="26" t="s">
        <v>4380</v>
      </c>
      <c r="K208" s="26" t="s">
        <v>1654</v>
      </c>
      <c r="L208" s="26" t="s">
        <v>4331</v>
      </c>
      <c r="M208" s="26" t="s">
        <v>1674</v>
      </c>
      <c r="N208" s="26" t="s">
        <v>4381</v>
      </c>
      <c r="O208" s="26" t="s">
        <v>4302</v>
      </c>
      <c r="P208" s="26" t="s">
        <v>4303</v>
      </c>
    </row>
    <row r="209" spans="1:16" s="93" customFormat="1" ht="30" customHeight="1" x14ac:dyDescent="0.25">
      <c r="A209" s="26"/>
      <c r="B209" s="26"/>
      <c r="C209" s="26"/>
      <c r="D209" s="26"/>
      <c r="E209" s="26">
        <v>18</v>
      </c>
      <c r="F209" s="26" t="s">
        <v>4355</v>
      </c>
      <c r="G209" s="26" t="s">
        <v>4322</v>
      </c>
      <c r="H209" s="26" t="s">
        <v>4383</v>
      </c>
      <c r="I209" s="26" t="s">
        <v>1656</v>
      </c>
      <c r="J209" s="26" t="s">
        <v>4282</v>
      </c>
      <c r="K209" s="26" t="s">
        <v>4283</v>
      </c>
      <c r="L209" s="26" t="s">
        <v>4332</v>
      </c>
      <c r="M209" s="26" t="s">
        <v>1676</v>
      </c>
      <c r="N209" s="26" t="s">
        <v>1677</v>
      </c>
      <c r="O209" s="26" t="s">
        <v>4382</v>
      </c>
      <c r="P209" s="26" t="s">
        <v>1679</v>
      </c>
    </row>
    <row r="210" spans="1:16" s="93" customFormat="1" ht="30" customHeight="1" x14ac:dyDescent="0.25">
      <c r="A210" s="26"/>
      <c r="B210" s="26"/>
      <c r="C210" s="26"/>
      <c r="D210" s="26"/>
      <c r="E210" s="26">
        <v>19</v>
      </c>
      <c r="F210" s="26" t="s">
        <v>4356</v>
      </c>
      <c r="G210" s="26" t="s">
        <v>4323</v>
      </c>
      <c r="H210" s="26" t="s">
        <v>1657</v>
      </c>
      <c r="I210" s="26" t="s">
        <v>4384</v>
      </c>
      <c r="J210" s="26" t="s">
        <v>1659</v>
      </c>
      <c r="K210" s="26" t="s">
        <v>4284</v>
      </c>
      <c r="L210" s="26" t="s">
        <v>4333</v>
      </c>
      <c r="M210" s="26" t="s">
        <v>1680</v>
      </c>
      <c r="N210" s="26" t="s">
        <v>1681</v>
      </c>
      <c r="O210" s="26" t="s">
        <v>4385</v>
      </c>
      <c r="P210" s="26" t="s">
        <v>4304</v>
      </c>
    </row>
    <row r="211" spans="1:16" s="93" customFormat="1" ht="30" customHeight="1" x14ac:dyDescent="0.25">
      <c r="A211" s="26"/>
      <c r="B211" s="26"/>
      <c r="C211" s="26"/>
      <c r="D211" s="26"/>
      <c r="E211" s="26">
        <v>20</v>
      </c>
      <c r="F211" s="26" t="s">
        <v>4357</v>
      </c>
      <c r="G211" s="26" t="s">
        <v>4324</v>
      </c>
      <c r="H211" s="26" t="s">
        <v>1660</v>
      </c>
      <c r="I211" s="26" t="s">
        <v>4386</v>
      </c>
      <c r="J211" s="26" t="s">
        <v>1662</v>
      </c>
      <c r="K211" s="26" t="s">
        <v>4285</v>
      </c>
      <c r="L211" s="26" t="s">
        <v>4334</v>
      </c>
      <c r="M211" s="26" t="s">
        <v>1683</v>
      </c>
      <c r="N211" s="26" t="s">
        <v>1684</v>
      </c>
      <c r="O211" s="26" t="s">
        <v>1685</v>
      </c>
      <c r="P211" s="26" t="s">
        <v>4387</v>
      </c>
    </row>
    <row r="212" spans="1:16" s="93" customFormat="1" ht="31.5" customHeight="1" x14ac:dyDescent="0.25">
      <c r="A212" s="33"/>
      <c r="B212" s="33"/>
      <c r="C212" s="33" t="s">
        <v>4002</v>
      </c>
      <c r="D212" s="33" t="s">
        <v>3727</v>
      </c>
      <c r="E212" s="33">
        <v>1</v>
      </c>
      <c r="F212" s="33" t="s">
        <v>3729</v>
      </c>
      <c r="G212" s="33" t="s">
        <v>4015</v>
      </c>
      <c r="H212" s="33" t="s">
        <v>4016</v>
      </c>
      <c r="I212" s="33" t="s">
        <v>3047</v>
      </c>
      <c r="J212" s="33" t="s">
        <v>3102</v>
      </c>
      <c r="K212" s="33" t="s">
        <v>3048</v>
      </c>
      <c r="L212" s="33"/>
      <c r="M212" s="33"/>
      <c r="N212" s="33"/>
      <c r="O212" s="33"/>
      <c r="P212" s="33"/>
    </row>
    <row r="213" spans="1:16" s="93" customFormat="1" ht="32.25" customHeight="1" x14ac:dyDescent="0.25">
      <c r="A213" s="33"/>
      <c r="B213" s="33"/>
      <c r="C213" s="33"/>
      <c r="D213" s="33" t="s">
        <v>2994</v>
      </c>
      <c r="E213" s="33">
        <v>2</v>
      </c>
      <c r="F213" s="33" t="s">
        <v>3730</v>
      </c>
      <c r="G213" s="33" t="s">
        <v>3016</v>
      </c>
      <c r="H213" s="33" t="s">
        <v>3049</v>
      </c>
      <c r="I213" s="33" t="s">
        <v>4018</v>
      </c>
      <c r="J213" s="33" t="s">
        <v>3051</v>
      </c>
      <c r="K213" s="33" t="s">
        <v>3052</v>
      </c>
      <c r="L213" s="33"/>
      <c r="M213" s="33"/>
      <c r="N213" s="33"/>
      <c r="O213" s="33"/>
      <c r="P213" s="33"/>
    </row>
    <row r="214" spans="1:16" s="93" customFormat="1" ht="39.75" customHeight="1" x14ac:dyDescent="0.25">
      <c r="A214" s="33"/>
      <c r="B214" s="33"/>
      <c r="C214" s="33"/>
      <c r="D214" s="33" t="s">
        <v>359</v>
      </c>
      <c r="E214" s="33">
        <v>3</v>
      </c>
      <c r="F214" s="33" t="s">
        <v>3731</v>
      </c>
      <c r="G214" s="33" t="s">
        <v>3017</v>
      </c>
      <c r="H214" s="33" t="s">
        <v>3053</v>
      </c>
      <c r="I214" s="33" t="s">
        <v>3054</v>
      </c>
      <c r="J214" s="33" t="s">
        <v>4019</v>
      </c>
      <c r="K214" s="33" t="s">
        <v>3056</v>
      </c>
      <c r="L214" s="33"/>
      <c r="M214" s="33"/>
      <c r="N214" s="33"/>
      <c r="O214" s="33"/>
      <c r="P214" s="33"/>
    </row>
    <row r="215" spans="1:16" s="93" customFormat="1" ht="24.95" customHeight="1" x14ac:dyDescent="0.25">
      <c r="A215" s="33"/>
      <c r="B215" s="33"/>
      <c r="C215" s="33"/>
      <c r="D215" s="33"/>
      <c r="E215" s="33">
        <v>4</v>
      </c>
      <c r="F215" s="33" t="s">
        <v>3732</v>
      </c>
      <c r="G215" s="33" t="s">
        <v>3018</v>
      </c>
      <c r="H215" s="33" t="s">
        <v>3057</v>
      </c>
      <c r="I215" s="33" t="s">
        <v>3058</v>
      </c>
      <c r="J215" s="33" t="s">
        <v>3059</v>
      </c>
      <c r="K215" s="33" t="s">
        <v>3060</v>
      </c>
      <c r="L215" s="33"/>
      <c r="M215" s="33"/>
      <c r="N215" s="33"/>
      <c r="O215" s="33"/>
      <c r="P215" s="33"/>
    </row>
    <row r="216" spans="1:16" s="93" customFormat="1" ht="24.95" customHeight="1" x14ac:dyDescent="0.25">
      <c r="A216" s="33"/>
      <c r="B216" s="33"/>
      <c r="C216" s="33"/>
      <c r="D216" s="33"/>
      <c r="E216" s="33">
        <v>5</v>
      </c>
      <c r="F216" s="33" t="s">
        <v>3733</v>
      </c>
      <c r="G216" s="33" t="s">
        <v>3019</v>
      </c>
      <c r="H216" s="33" t="s">
        <v>3061</v>
      </c>
      <c r="I216" s="33" t="s">
        <v>3062</v>
      </c>
      <c r="J216" s="33" t="s">
        <v>3063</v>
      </c>
      <c r="K216" s="33" t="s">
        <v>3064</v>
      </c>
      <c r="L216" s="33"/>
      <c r="M216" s="33"/>
      <c r="N216" s="33"/>
      <c r="O216" s="33"/>
      <c r="P216" s="33"/>
    </row>
    <row r="217" spans="1:16" s="93" customFormat="1" ht="24.95" customHeight="1" x14ac:dyDescent="0.25">
      <c r="A217" s="33"/>
      <c r="B217" s="33"/>
      <c r="C217" s="33"/>
      <c r="D217" s="33"/>
      <c r="E217" s="33">
        <v>6</v>
      </c>
      <c r="F217" s="33" t="s">
        <v>3734</v>
      </c>
      <c r="G217" s="33" t="s">
        <v>3021</v>
      </c>
      <c r="H217" s="33" t="s">
        <v>3065</v>
      </c>
      <c r="I217" s="33" t="s">
        <v>1843</v>
      </c>
      <c r="J217" s="33" t="s">
        <v>1844</v>
      </c>
      <c r="K217" s="33" t="s">
        <v>1845</v>
      </c>
      <c r="L217" s="33"/>
      <c r="M217" s="33"/>
      <c r="N217" s="33"/>
      <c r="O217" s="33"/>
      <c r="P217" s="33"/>
    </row>
    <row r="218" spans="1:16" s="93" customFormat="1" ht="24.95" customHeight="1" x14ac:dyDescent="0.25">
      <c r="A218" s="33"/>
      <c r="B218" s="33"/>
      <c r="C218" s="33"/>
      <c r="D218" s="33"/>
      <c r="E218" s="33">
        <v>7</v>
      </c>
      <c r="F218" s="33" t="s">
        <v>3735</v>
      </c>
      <c r="G218" s="33" t="s">
        <v>3022</v>
      </c>
      <c r="H218" s="33" t="s">
        <v>3066</v>
      </c>
      <c r="I218" s="33" t="s">
        <v>3067</v>
      </c>
      <c r="J218" s="33" t="s">
        <v>3068</v>
      </c>
      <c r="K218" s="33" t="s">
        <v>3069</v>
      </c>
      <c r="L218" s="33"/>
      <c r="M218" s="33"/>
      <c r="N218" s="33"/>
      <c r="O218" s="33"/>
      <c r="P218" s="33"/>
    </row>
    <row r="219" spans="1:16" s="93" customFormat="1" ht="24.95" customHeight="1" x14ac:dyDescent="0.25">
      <c r="A219" s="33"/>
      <c r="B219" s="33"/>
      <c r="C219" s="33"/>
      <c r="D219" s="33"/>
      <c r="E219" s="33">
        <v>8</v>
      </c>
      <c r="F219" s="33" t="s">
        <v>3736</v>
      </c>
      <c r="G219" s="33" t="s">
        <v>3020</v>
      </c>
      <c r="H219" s="33" t="s">
        <v>3070</v>
      </c>
      <c r="I219" s="33" t="s">
        <v>3071</v>
      </c>
      <c r="J219" s="33" t="s">
        <v>3072</v>
      </c>
      <c r="K219" s="33" t="s">
        <v>3073</v>
      </c>
      <c r="L219" s="33"/>
      <c r="M219" s="33"/>
      <c r="N219" s="33"/>
      <c r="O219" s="33"/>
      <c r="P219" s="33"/>
    </row>
    <row r="220" spans="1:16" s="93" customFormat="1" ht="24.95" customHeight="1" x14ac:dyDescent="0.25">
      <c r="A220" s="33"/>
      <c r="B220" s="33"/>
      <c r="C220" s="33"/>
      <c r="D220" s="33"/>
      <c r="E220" s="33">
        <v>9</v>
      </c>
      <c r="F220" s="33" t="s">
        <v>3737</v>
      </c>
      <c r="G220" s="33" t="s">
        <v>3023</v>
      </c>
      <c r="H220" s="33" t="s">
        <v>3074</v>
      </c>
      <c r="I220" s="33" t="s">
        <v>3075</v>
      </c>
      <c r="J220" s="33" t="s">
        <v>3076</v>
      </c>
      <c r="K220" s="33" t="s">
        <v>3077</v>
      </c>
      <c r="L220" s="33"/>
      <c r="M220" s="33"/>
      <c r="N220" s="33"/>
      <c r="O220" s="33"/>
      <c r="P220" s="33"/>
    </row>
    <row r="221" spans="1:16" s="93" customFormat="1" ht="24.95" customHeight="1" x14ac:dyDescent="0.25">
      <c r="A221" s="33"/>
      <c r="B221" s="33"/>
      <c r="C221" s="33"/>
      <c r="D221" s="33"/>
      <c r="E221" s="33">
        <v>10</v>
      </c>
      <c r="F221" s="33" t="s">
        <v>3738</v>
      </c>
      <c r="G221" s="33" t="s">
        <v>3024</v>
      </c>
      <c r="H221" s="33" t="s">
        <v>1827</v>
      </c>
      <c r="I221" s="33" t="s">
        <v>1828</v>
      </c>
      <c r="J221" s="33" t="s">
        <v>1829</v>
      </c>
      <c r="K221" s="33" t="s">
        <v>1830</v>
      </c>
      <c r="L221" s="33"/>
      <c r="M221" s="33"/>
      <c r="N221" s="33"/>
      <c r="O221" s="33"/>
      <c r="P221" s="33"/>
    </row>
    <row r="222" spans="1:16" s="93" customFormat="1" ht="24.95" customHeight="1" x14ac:dyDescent="0.25">
      <c r="A222" s="33"/>
      <c r="B222" s="33"/>
      <c r="C222" s="33"/>
      <c r="D222" s="33"/>
      <c r="E222" s="33">
        <v>11</v>
      </c>
      <c r="F222" s="33" t="s">
        <v>3739</v>
      </c>
      <c r="G222" s="33" t="s">
        <v>3025</v>
      </c>
      <c r="H222" s="33" t="s">
        <v>3078</v>
      </c>
      <c r="I222" s="33" t="s">
        <v>3079</v>
      </c>
      <c r="J222" s="33" t="s">
        <v>3080</v>
      </c>
      <c r="K222" s="33" t="s">
        <v>3724</v>
      </c>
      <c r="L222" s="33" t="s">
        <v>3035</v>
      </c>
      <c r="M222" s="33" t="s">
        <v>3103</v>
      </c>
      <c r="N222" s="33" t="s">
        <v>3104</v>
      </c>
      <c r="O222" s="33" t="s">
        <v>3105</v>
      </c>
      <c r="P222" s="33" t="s">
        <v>3106</v>
      </c>
    </row>
    <row r="223" spans="1:16" s="93" customFormat="1" ht="24.95" customHeight="1" x14ac:dyDescent="0.25">
      <c r="A223" s="33"/>
      <c r="B223" s="33"/>
      <c r="C223" s="33"/>
      <c r="D223" s="33"/>
      <c r="E223" s="33">
        <v>12</v>
      </c>
      <c r="F223" s="33" t="s">
        <v>3740</v>
      </c>
      <c r="G223" s="33" t="s">
        <v>3026</v>
      </c>
      <c r="H223" s="33" t="s">
        <v>3081</v>
      </c>
      <c r="I223" s="33" t="s">
        <v>3082</v>
      </c>
      <c r="J223" s="33" t="s">
        <v>3083</v>
      </c>
      <c r="K223" s="33" t="s">
        <v>3084</v>
      </c>
      <c r="L223" s="33" t="s">
        <v>3036</v>
      </c>
      <c r="M223" s="33" t="s">
        <v>3107</v>
      </c>
      <c r="N223" s="33" t="s">
        <v>3108</v>
      </c>
      <c r="O223" s="33" t="s">
        <v>3109</v>
      </c>
      <c r="P223" s="33" t="s">
        <v>3110</v>
      </c>
    </row>
    <row r="224" spans="1:16" s="93" customFormat="1" ht="24.95" customHeight="1" x14ac:dyDescent="0.25">
      <c r="A224" s="33"/>
      <c r="B224" s="33"/>
      <c r="C224" s="33"/>
      <c r="D224" s="33"/>
      <c r="E224" s="33">
        <v>13</v>
      </c>
      <c r="F224" s="33" t="s">
        <v>3741</v>
      </c>
      <c r="G224" s="33" t="s">
        <v>3027</v>
      </c>
      <c r="H224" s="33" t="s">
        <v>3085</v>
      </c>
      <c r="I224" s="33" t="s">
        <v>3086</v>
      </c>
      <c r="J224" s="33" t="s">
        <v>3087</v>
      </c>
      <c r="K224" s="33" t="s">
        <v>3088</v>
      </c>
      <c r="L224" s="33" t="s">
        <v>3037</v>
      </c>
      <c r="M224" s="33" t="s">
        <v>3111</v>
      </c>
      <c r="N224" s="33" t="s">
        <v>3112</v>
      </c>
      <c r="O224" s="33" t="s">
        <v>3113</v>
      </c>
      <c r="P224" s="33" t="s">
        <v>3114</v>
      </c>
    </row>
    <row r="225" spans="1:16" s="93" customFormat="1" ht="24.95" customHeight="1" x14ac:dyDescent="0.25">
      <c r="A225" s="33"/>
      <c r="B225" s="33"/>
      <c r="C225" s="33"/>
      <c r="D225" s="33"/>
      <c r="E225" s="33">
        <v>14</v>
      </c>
      <c r="F225" s="33" t="s">
        <v>3742</v>
      </c>
      <c r="G225" s="33" t="s">
        <v>3028</v>
      </c>
      <c r="H225" s="33" t="s">
        <v>3089</v>
      </c>
      <c r="I225" s="33" t="s">
        <v>3090</v>
      </c>
      <c r="J225" s="33" t="s">
        <v>3091</v>
      </c>
      <c r="K225" s="33" t="s">
        <v>3092</v>
      </c>
      <c r="L225" s="33" t="s">
        <v>3038</v>
      </c>
      <c r="M225" s="33" t="s">
        <v>3115</v>
      </c>
      <c r="N225" s="33" t="s">
        <v>3725</v>
      </c>
      <c r="O225" s="33" t="s">
        <v>3116</v>
      </c>
      <c r="P225" s="33" t="s">
        <v>3117</v>
      </c>
    </row>
    <row r="226" spans="1:16" s="93" customFormat="1" ht="24.95" customHeight="1" x14ac:dyDescent="0.25">
      <c r="A226" s="33"/>
      <c r="B226" s="33"/>
      <c r="C226" s="33"/>
      <c r="D226" s="33"/>
      <c r="E226" s="33">
        <v>15</v>
      </c>
      <c r="F226" s="33" t="s">
        <v>3743</v>
      </c>
      <c r="G226" s="33" t="s">
        <v>3029</v>
      </c>
      <c r="H226" s="33" t="s">
        <v>3093</v>
      </c>
      <c r="I226" s="33" t="s">
        <v>3094</v>
      </c>
      <c r="J226" s="33" t="s">
        <v>3095</v>
      </c>
      <c r="K226" s="33" t="s">
        <v>3096</v>
      </c>
      <c r="L226" s="33" t="s">
        <v>3039</v>
      </c>
      <c r="M226" s="33" t="s">
        <v>3118</v>
      </c>
      <c r="N226" s="33" t="s">
        <v>3119</v>
      </c>
      <c r="O226" s="33" t="s">
        <v>3120</v>
      </c>
      <c r="P226" s="33" t="s">
        <v>3121</v>
      </c>
    </row>
    <row r="227" spans="1:16" s="93" customFormat="1" ht="24.95" customHeight="1" x14ac:dyDescent="0.25">
      <c r="A227" s="33"/>
      <c r="B227" s="33"/>
      <c r="C227" s="33"/>
      <c r="D227" s="33"/>
      <c r="E227" s="33">
        <v>16</v>
      </c>
      <c r="F227" s="33" t="s">
        <v>3744</v>
      </c>
      <c r="G227" s="33" t="s">
        <v>3030</v>
      </c>
      <c r="H227" s="33" t="s">
        <v>1824</v>
      </c>
      <c r="I227" s="33" t="s">
        <v>3097</v>
      </c>
      <c r="J227" s="33" t="s">
        <v>1825</v>
      </c>
      <c r="K227" s="33" t="s">
        <v>1826</v>
      </c>
      <c r="L227" s="33" t="s">
        <v>3726</v>
      </c>
      <c r="M227" s="33" t="s">
        <v>1846</v>
      </c>
      <c r="N227" s="33" t="s">
        <v>1847</v>
      </c>
      <c r="O227" s="33" t="s">
        <v>1848</v>
      </c>
      <c r="P227" s="33" t="s">
        <v>1849</v>
      </c>
    </row>
    <row r="228" spans="1:16" s="93" customFormat="1" ht="24.95" customHeight="1" x14ac:dyDescent="0.25">
      <c r="A228" s="33"/>
      <c r="B228" s="33"/>
      <c r="C228" s="33"/>
      <c r="D228" s="33"/>
      <c r="E228" s="33">
        <v>17</v>
      </c>
      <c r="F228" s="33" t="s">
        <v>3745</v>
      </c>
      <c r="G228" s="33" t="s">
        <v>3031</v>
      </c>
      <c r="H228" s="33" t="s">
        <v>1831</v>
      </c>
      <c r="I228" s="33" t="s">
        <v>1832</v>
      </c>
      <c r="J228" s="33" t="s">
        <v>1833</v>
      </c>
      <c r="K228" s="33" t="s">
        <v>1834</v>
      </c>
      <c r="L228" s="33" t="s">
        <v>3040</v>
      </c>
      <c r="M228" s="33" t="s">
        <v>1850</v>
      </c>
      <c r="N228" s="33" t="s">
        <v>1851</v>
      </c>
      <c r="O228" s="33" t="s">
        <v>1852</v>
      </c>
      <c r="P228" s="33" t="s">
        <v>1853</v>
      </c>
    </row>
    <row r="229" spans="1:16" s="93" customFormat="1" ht="24.95" customHeight="1" x14ac:dyDescent="0.25">
      <c r="A229" s="33"/>
      <c r="B229" s="33"/>
      <c r="C229" s="33"/>
      <c r="D229" s="33"/>
      <c r="E229" s="33">
        <v>18</v>
      </c>
      <c r="F229" s="33" t="s">
        <v>3746</v>
      </c>
      <c r="G229" s="33" t="s">
        <v>3032</v>
      </c>
      <c r="H229" s="33" t="s">
        <v>1839</v>
      </c>
      <c r="I229" s="33" t="s">
        <v>1840</v>
      </c>
      <c r="J229" s="33" t="s">
        <v>1841</v>
      </c>
      <c r="K229" s="33" t="s">
        <v>1842</v>
      </c>
      <c r="L229" s="33" t="s">
        <v>3041</v>
      </c>
      <c r="M229" s="33" t="s">
        <v>1854</v>
      </c>
      <c r="N229" s="33" t="s">
        <v>1855</v>
      </c>
      <c r="O229" s="33" t="s">
        <v>1856</v>
      </c>
      <c r="P229" s="33" t="s">
        <v>1857</v>
      </c>
    </row>
    <row r="230" spans="1:16" s="93" customFormat="1" ht="24.95" customHeight="1" x14ac:dyDescent="0.25">
      <c r="A230" s="33"/>
      <c r="B230" s="33"/>
      <c r="C230" s="33"/>
      <c r="D230" s="33"/>
      <c r="E230" s="33">
        <v>19</v>
      </c>
      <c r="F230" s="33" t="s">
        <v>3747</v>
      </c>
      <c r="G230" s="33" t="s">
        <v>3033</v>
      </c>
      <c r="H230" s="33" t="s">
        <v>1835</v>
      </c>
      <c r="I230" s="33" t="s">
        <v>1836</v>
      </c>
      <c r="J230" s="33" t="s">
        <v>1837</v>
      </c>
      <c r="K230" s="33" t="s">
        <v>1838</v>
      </c>
      <c r="L230" s="33" t="s">
        <v>3042</v>
      </c>
      <c r="M230" s="33" t="s">
        <v>3122</v>
      </c>
      <c r="N230" s="33" t="s">
        <v>3123</v>
      </c>
      <c r="O230" s="33" t="s">
        <v>3124</v>
      </c>
      <c r="P230" s="33" t="s">
        <v>3125</v>
      </c>
    </row>
    <row r="231" spans="1:16" s="93" customFormat="1" ht="24.95" customHeight="1" x14ac:dyDescent="0.25">
      <c r="A231" s="33"/>
      <c r="B231" s="33"/>
      <c r="C231" s="33"/>
      <c r="D231" s="33"/>
      <c r="E231" s="33">
        <v>20</v>
      </c>
      <c r="F231" s="33" t="s">
        <v>3748</v>
      </c>
      <c r="G231" s="33" t="s">
        <v>3034</v>
      </c>
      <c r="H231" s="33" t="s">
        <v>3098</v>
      </c>
      <c r="I231" s="33" t="s">
        <v>3099</v>
      </c>
      <c r="J231" s="33" t="s">
        <v>3100</v>
      </c>
      <c r="K231" s="33" t="s">
        <v>3101</v>
      </c>
      <c r="L231" s="33" t="s">
        <v>3043</v>
      </c>
      <c r="M231" s="33" t="s">
        <v>3126</v>
      </c>
      <c r="N231" s="33" t="s">
        <v>3127</v>
      </c>
      <c r="O231" s="33" t="s">
        <v>3128</v>
      </c>
      <c r="P231" s="33" t="s">
        <v>3129</v>
      </c>
    </row>
    <row r="232" spans="1:16" s="93" customFormat="1" ht="24.95" customHeight="1" x14ac:dyDescent="0.25">
      <c r="A232" s="18"/>
      <c r="B232" s="18"/>
      <c r="C232" s="18" t="s">
        <v>4003</v>
      </c>
      <c r="D232" s="18" t="s">
        <v>3728</v>
      </c>
      <c r="E232" s="18">
        <v>1</v>
      </c>
      <c r="F232" s="18" t="s">
        <v>4013</v>
      </c>
      <c r="G232" s="18" t="s">
        <v>3301</v>
      </c>
      <c r="H232" s="18" t="s">
        <v>3331</v>
      </c>
      <c r="I232" s="18" t="s">
        <v>3332</v>
      </c>
      <c r="J232" s="18" t="s">
        <v>3333</v>
      </c>
      <c r="K232" s="18" t="s">
        <v>4014</v>
      </c>
      <c r="L232" s="18"/>
      <c r="M232" s="18"/>
      <c r="N232" s="18"/>
      <c r="O232" s="18"/>
      <c r="P232" s="18"/>
    </row>
    <row r="233" spans="1:16" s="93" customFormat="1" ht="24.95" customHeight="1" x14ac:dyDescent="0.25">
      <c r="A233" s="18"/>
      <c r="B233" s="18"/>
      <c r="C233" s="18"/>
      <c r="D233" s="18" t="s">
        <v>2994</v>
      </c>
      <c r="E233" s="18">
        <v>2</v>
      </c>
      <c r="F233" s="18" t="s">
        <v>4060</v>
      </c>
      <c r="G233" s="18" t="s">
        <v>3302</v>
      </c>
      <c r="H233" s="18" t="s">
        <v>3335</v>
      </c>
      <c r="I233" s="18" t="s">
        <v>4061</v>
      </c>
      <c r="J233" s="18" t="s">
        <v>3337</v>
      </c>
      <c r="K233" s="18" t="s">
        <v>3338</v>
      </c>
      <c r="L233" s="18"/>
      <c r="M233" s="18"/>
      <c r="N233" s="18"/>
      <c r="O233" s="18"/>
      <c r="P233" s="18"/>
    </row>
    <row r="234" spans="1:16" s="93" customFormat="1" ht="24.95" customHeight="1" x14ac:dyDescent="0.25">
      <c r="A234" s="18"/>
      <c r="B234" s="18"/>
      <c r="C234" s="18"/>
      <c r="D234" s="18" t="s">
        <v>359</v>
      </c>
      <c r="E234" s="18">
        <v>3</v>
      </c>
      <c r="F234" s="18" t="s">
        <v>4017</v>
      </c>
      <c r="G234" s="18" t="s">
        <v>3303</v>
      </c>
      <c r="H234" s="18" t="s">
        <v>3339</v>
      </c>
      <c r="I234" s="18" t="s">
        <v>3340</v>
      </c>
      <c r="J234" s="18" t="s">
        <v>4062</v>
      </c>
      <c r="K234" s="18" t="s">
        <v>3342</v>
      </c>
      <c r="L234" s="18"/>
      <c r="M234" s="18"/>
      <c r="N234" s="18"/>
      <c r="O234" s="18"/>
      <c r="P234" s="18"/>
    </row>
    <row r="235" spans="1:16" s="93" customFormat="1" ht="24.95" customHeight="1" x14ac:dyDescent="0.25">
      <c r="A235" s="18"/>
      <c r="B235" s="18"/>
      <c r="C235" s="18"/>
      <c r="D235" s="18"/>
      <c r="E235" s="18">
        <v>4</v>
      </c>
      <c r="F235" s="18" t="s">
        <v>4020</v>
      </c>
      <c r="G235" s="18" t="s">
        <v>3304</v>
      </c>
      <c r="H235" s="18" t="s">
        <v>3343</v>
      </c>
      <c r="I235" s="18" t="s">
        <v>4021</v>
      </c>
      <c r="J235" s="18" t="s">
        <v>3345</v>
      </c>
      <c r="K235" s="18" t="s">
        <v>3346</v>
      </c>
      <c r="L235" s="18"/>
      <c r="M235" s="18"/>
      <c r="N235" s="18"/>
      <c r="O235" s="18"/>
      <c r="P235" s="18"/>
    </row>
    <row r="236" spans="1:16" s="93" customFormat="1" ht="24.95" customHeight="1" x14ac:dyDescent="0.25">
      <c r="A236" s="18"/>
      <c r="B236" s="18"/>
      <c r="C236" s="18"/>
      <c r="D236" s="18"/>
      <c r="E236" s="18">
        <v>5</v>
      </c>
      <c r="F236" s="18" t="s">
        <v>4022</v>
      </c>
      <c r="G236" s="18" t="s">
        <v>3305</v>
      </c>
      <c r="H236" s="18" t="s">
        <v>3347</v>
      </c>
      <c r="I236" s="18" t="s">
        <v>3348</v>
      </c>
      <c r="J236" s="18" t="s">
        <v>4023</v>
      </c>
      <c r="K236" s="18" t="s">
        <v>3350</v>
      </c>
      <c r="L236" s="18"/>
      <c r="M236" s="18"/>
      <c r="N236" s="18"/>
      <c r="O236" s="18"/>
      <c r="P236" s="18"/>
    </row>
    <row r="237" spans="1:16" s="93" customFormat="1" ht="24.95" customHeight="1" x14ac:dyDescent="0.25">
      <c r="A237" s="18"/>
      <c r="B237" s="18"/>
      <c r="C237" s="18"/>
      <c r="D237" s="18"/>
      <c r="E237" s="18">
        <v>6</v>
      </c>
      <c r="F237" s="18" t="s">
        <v>4024</v>
      </c>
      <c r="G237" s="18" t="s">
        <v>3306</v>
      </c>
      <c r="H237" s="18" t="s">
        <v>3351</v>
      </c>
      <c r="I237" s="18" t="s">
        <v>3352</v>
      </c>
      <c r="J237" s="18" t="s">
        <v>3353</v>
      </c>
      <c r="K237" s="18" t="s">
        <v>4025</v>
      </c>
      <c r="L237" s="18"/>
      <c r="M237" s="18"/>
      <c r="N237" s="18"/>
      <c r="O237" s="18"/>
      <c r="P237" s="18"/>
    </row>
    <row r="238" spans="1:16" s="93" customFormat="1" ht="24.95" customHeight="1" x14ac:dyDescent="0.25">
      <c r="A238" s="18"/>
      <c r="B238" s="18"/>
      <c r="C238" s="18"/>
      <c r="D238" s="18"/>
      <c r="E238" s="18">
        <v>7</v>
      </c>
      <c r="F238" s="18" t="s">
        <v>4026</v>
      </c>
      <c r="G238" s="18" t="s">
        <v>3307</v>
      </c>
      <c r="H238" s="18" t="s">
        <v>4027</v>
      </c>
      <c r="I238" s="18" t="s">
        <v>3356</v>
      </c>
      <c r="J238" s="18" t="s">
        <v>3357</v>
      </c>
      <c r="K238" s="18" t="s">
        <v>3358</v>
      </c>
      <c r="L238" s="18"/>
      <c r="M238" s="18"/>
      <c r="N238" s="18"/>
      <c r="O238" s="18"/>
      <c r="P238" s="18"/>
    </row>
    <row r="239" spans="1:16" s="93" customFormat="1" ht="24.95" customHeight="1" x14ac:dyDescent="0.25">
      <c r="A239" s="18"/>
      <c r="B239" s="18"/>
      <c r="C239" s="18"/>
      <c r="D239" s="18"/>
      <c r="E239" s="18">
        <v>8</v>
      </c>
      <c r="F239" s="18" t="s">
        <v>4028</v>
      </c>
      <c r="G239" s="18" t="s">
        <v>3308</v>
      </c>
      <c r="H239" s="18" t="s">
        <v>3359</v>
      </c>
      <c r="I239" s="18" t="s">
        <v>3360</v>
      </c>
      <c r="J239" s="18" t="s">
        <v>4029</v>
      </c>
      <c r="K239" s="18" t="s">
        <v>3362</v>
      </c>
      <c r="L239" s="18"/>
      <c r="M239" s="18"/>
      <c r="N239" s="18"/>
      <c r="O239" s="18"/>
      <c r="P239" s="18"/>
    </row>
    <row r="240" spans="1:16" s="93" customFormat="1" ht="24.95" customHeight="1" x14ac:dyDescent="0.25">
      <c r="A240" s="18"/>
      <c r="B240" s="18"/>
      <c r="C240" s="18"/>
      <c r="D240" s="18"/>
      <c r="E240" s="18">
        <v>9</v>
      </c>
      <c r="F240" s="18" t="s">
        <v>4030</v>
      </c>
      <c r="G240" s="18" t="s">
        <v>3309</v>
      </c>
      <c r="H240" s="18" t="s">
        <v>3363</v>
      </c>
      <c r="I240" s="18" t="s">
        <v>3364</v>
      </c>
      <c r="J240" s="18" t="s">
        <v>4031</v>
      </c>
      <c r="K240" s="18" t="s">
        <v>3366</v>
      </c>
      <c r="L240" s="18"/>
      <c r="M240" s="18"/>
      <c r="N240" s="18"/>
      <c r="O240" s="18"/>
      <c r="P240" s="18"/>
    </row>
    <row r="241" spans="1:16" s="93" customFormat="1" ht="24.95" customHeight="1" x14ac:dyDescent="0.25">
      <c r="A241" s="18"/>
      <c r="B241" s="18"/>
      <c r="C241" s="18"/>
      <c r="D241" s="18"/>
      <c r="E241" s="18">
        <v>10</v>
      </c>
      <c r="F241" s="18" t="s">
        <v>4032</v>
      </c>
      <c r="G241" s="18" t="s">
        <v>3310</v>
      </c>
      <c r="H241" s="18" t="s">
        <v>4033</v>
      </c>
      <c r="I241" s="18" t="s">
        <v>3368</v>
      </c>
      <c r="J241" s="18" t="s">
        <v>3369</v>
      </c>
      <c r="K241" s="18" t="s">
        <v>3370</v>
      </c>
      <c r="L241" s="18"/>
      <c r="M241" s="18"/>
      <c r="N241" s="18"/>
      <c r="O241" s="18"/>
      <c r="P241" s="18"/>
    </row>
    <row r="242" spans="1:16" s="93" customFormat="1" ht="24.95" customHeight="1" x14ac:dyDescent="0.25">
      <c r="A242" s="18"/>
      <c r="B242" s="18"/>
      <c r="C242" s="18"/>
      <c r="D242" s="18"/>
      <c r="E242" s="18">
        <v>11</v>
      </c>
      <c r="F242" s="18" t="s">
        <v>4063</v>
      </c>
      <c r="G242" s="18" t="s">
        <v>3311</v>
      </c>
      <c r="H242" s="18" t="s">
        <v>3371</v>
      </c>
      <c r="I242" s="18" t="s">
        <v>4034</v>
      </c>
      <c r="J242" s="18" t="s">
        <v>3373</v>
      </c>
      <c r="K242" s="18" t="s">
        <v>3374</v>
      </c>
      <c r="L242" s="18" t="s">
        <v>3321</v>
      </c>
      <c r="M242" s="18" t="s">
        <v>3411</v>
      </c>
      <c r="N242" s="18" t="s">
        <v>3412</v>
      </c>
      <c r="O242" s="18" t="s">
        <v>4035</v>
      </c>
      <c r="P242" s="18" t="s">
        <v>3414</v>
      </c>
    </row>
    <row r="243" spans="1:16" s="93" customFormat="1" ht="24.95" customHeight="1" x14ac:dyDescent="0.25">
      <c r="A243" s="18"/>
      <c r="B243" s="18"/>
      <c r="C243" s="18"/>
      <c r="D243" s="18"/>
      <c r="E243" s="18">
        <v>12</v>
      </c>
      <c r="F243" s="18" t="s">
        <v>4064</v>
      </c>
      <c r="G243" s="18" t="s">
        <v>3312</v>
      </c>
      <c r="H243" s="18" t="s">
        <v>3375</v>
      </c>
      <c r="I243" s="18" t="s">
        <v>3376</v>
      </c>
      <c r="J243" s="18" t="s">
        <v>4036</v>
      </c>
      <c r="K243" s="18" t="s">
        <v>3378</v>
      </c>
      <c r="L243" s="18" t="s">
        <v>3322</v>
      </c>
      <c r="M243" s="18" t="s">
        <v>3415</v>
      </c>
      <c r="N243" s="18" t="s">
        <v>3416</v>
      </c>
      <c r="O243" s="18" t="s">
        <v>3417</v>
      </c>
      <c r="P243" s="18" t="s">
        <v>3418</v>
      </c>
    </row>
    <row r="244" spans="1:16" s="93" customFormat="1" ht="24.95" customHeight="1" x14ac:dyDescent="0.25">
      <c r="A244" s="18"/>
      <c r="B244" s="18"/>
      <c r="C244" s="18"/>
      <c r="D244" s="18"/>
      <c r="E244" s="18">
        <v>13</v>
      </c>
      <c r="F244" s="18" t="s">
        <v>4037</v>
      </c>
      <c r="G244" s="18" t="s">
        <v>3313</v>
      </c>
      <c r="H244" s="18" t="s">
        <v>4038</v>
      </c>
      <c r="I244" s="18" t="s">
        <v>3380</v>
      </c>
      <c r="J244" s="18" t="s">
        <v>3381</v>
      </c>
      <c r="K244" s="18" t="s">
        <v>3382</v>
      </c>
      <c r="L244" s="18" t="s">
        <v>3323</v>
      </c>
      <c r="M244" s="18" t="s">
        <v>3419</v>
      </c>
      <c r="N244" s="18" t="s">
        <v>4039</v>
      </c>
      <c r="O244" s="18" t="s">
        <v>3421</v>
      </c>
      <c r="P244" s="18" t="s">
        <v>3422</v>
      </c>
    </row>
    <row r="245" spans="1:16" s="93" customFormat="1" ht="24.95" customHeight="1" x14ac:dyDescent="0.25">
      <c r="A245" s="18"/>
      <c r="B245" s="18"/>
      <c r="C245" s="18"/>
      <c r="D245" s="18"/>
      <c r="E245" s="18">
        <v>14</v>
      </c>
      <c r="F245" s="18" t="s">
        <v>4040</v>
      </c>
      <c r="G245" s="18" t="s">
        <v>3314</v>
      </c>
      <c r="H245" s="18" t="s">
        <v>3383</v>
      </c>
      <c r="I245" s="18" t="s">
        <v>3384</v>
      </c>
      <c r="J245" s="18" t="s">
        <v>4041</v>
      </c>
      <c r="K245" s="18" t="s">
        <v>3386</v>
      </c>
      <c r="L245" s="18" t="s">
        <v>3324</v>
      </c>
      <c r="M245" s="18" t="s">
        <v>4042</v>
      </c>
      <c r="N245" s="18" t="s">
        <v>3424</v>
      </c>
      <c r="O245" s="18" t="s">
        <v>3425</v>
      </c>
      <c r="P245" s="18" t="s">
        <v>3426</v>
      </c>
    </row>
    <row r="246" spans="1:16" s="93" customFormat="1" ht="24.95" customHeight="1" x14ac:dyDescent="0.25">
      <c r="A246" s="18"/>
      <c r="B246" s="18"/>
      <c r="C246" s="18"/>
      <c r="D246" s="18"/>
      <c r="E246" s="18">
        <v>15</v>
      </c>
      <c r="F246" s="18" t="s">
        <v>4065</v>
      </c>
      <c r="G246" s="18" t="s">
        <v>3315</v>
      </c>
      <c r="H246" s="18" t="s">
        <v>3387</v>
      </c>
      <c r="I246" s="18" t="s">
        <v>3388</v>
      </c>
      <c r="J246" s="18" t="s">
        <v>3389</v>
      </c>
      <c r="K246" s="18" t="s">
        <v>4043</v>
      </c>
      <c r="L246" s="18" t="s">
        <v>3325</v>
      </c>
      <c r="M246" s="18" t="s">
        <v>3427</v>
      </c>
      <c r="N246" s="18" t="s">
        <v>4044</v>
      </c>
      <c r="O246" s="18" t="s">
        <v>3429</v>
      </c>
      <c r="P246" s="18" t="s">
        <v>3430</v>
      </c>
    </row>
    <row r="247" spans="1:16" s="93" customFormat="1" ht="24.95" customHeight="1" x14ac:dyDescent="0.25">
      <c r="A247" s="18"/>
      <c r="B247" s="18"/>
      <c r="C247" s="18"/>
      <c r="D247" s="18"/>
      <c r="E247" s="18">
        <v>16</v>
      </c>
      <c r="F247" s="18" t="s">
        <v>4045</v>
      </c>
      <c r="G247" s="18" t="s">
        <v>3316</v>
      </c>
      <c r="H247" s="18" t="s">
        <v>3391</v>
      </c>
      <c r="I247" s="18" t="s">
        <v>3392</v>
      </c>
      <c r="J247" s="18" t="s">
        <v>3393</v>
      </c>
      <c r="K247" s="18" t="s">
        <v>4046</v>
      </c>
      <c r="L247" s="18" t="s">
        <v>3326</v>
      </c>
      <c r="M247" s="18" t="s">
        <v>4047</v>
      </c>
      <c r="N247" s="18" t="s">
        <v>3432</v>
      </c>
      <c r="O247" s="18" t="s">
        <v>3433</v>
      </c>
      <c r="P247" s="18" t="s">
        <v>3434</v>
      </c>
    </row>
    <row r="248" spans="1:16" s="93" customFormat="1" ht="24.95" customHeight="1" x14ac:dyDescent="0.25">
      <c r="A248" s="18"/>
      <c r="B248" s="18"/>
      <c r="C248" s="18"/>
      <c r="D248" s="18"/>
      <c r="E248" s="18">
        <v>17</v>
      </c>
      <c r="F248" s="18" t="s">
        <v>4048</v>
      </c>
      <c r="G248" s="18" t="s">
        <v>3317</v>
      </c>
      <c r="H248" s="18" t="s">
        <v>3395</v>
      </c>
      <c r="I248" s="18" t="s">
        <v>4049</v>
      </c>
      <c r="J248" s="18" t="s">
        <v>3397</v>
      </c>
      <c r="K248" s="18" t="s">
        <v>3398</v>
      </c>
      <c r="L248" s="18" t="s">
        <v>3327</v>
      </c>
      <c r="M248" s="18" t="s">
        <v>3435</v>
      </c>
      <c r="N248" s="18" t="s">
        <v>3436</v>
      </c>
      <c r="O248" s="18" t="s">
        <v>3437</v>
      </c>
      <c r="P248" s="18" t="s">
        <v>4050</v>
      </c>
    </row>
    <row r="249" spans="1:16" s="93" customFormat="1" ht="24.95" customHeight="1" x14ac:dyDescent="0.25">
      <c r="A249" s="18"/>
      <c r="B249" s="18"/>
      <c r="C249" s="18"/>
      <c r="D249" s="18"/>
      <c r="E249" s="18">
        <v>18</v>
      </c>
      <c r="F249" s="18" t="s">
        <v>4051</v>
      </c>
      <c r="G249" s="18" t="s">
        <v>3318</v>
      </c>
      <c r="H249" s="18" t="s">
        <v>3399</v>
      </c>
      <c r="I249" s="18" t="s">
        <v>3400</v>
      </c>
      <c r="J249" s="18" t="s">
        <v>3401</v>
      </c>
      <c r="K249" s="18" t="s">
        <v>4053</v>
      </c>
      <c r="L249" s="18" t="s">
        <v>3328</v>
      </c>
      <c r="M249" s="18" t="s">
        <v>3439</v>
      </c>
      <c r="N249" s="18" t="s">
        <v>3440</v>
      </c>
      <c r="O249" s="18" t="s">
        <v>4052</v>
      </c>
      <c r="P249" s="18" t="s">
        <v>3442</v>
      </c>
    </row>
    <row r="250" spans="1:16" s="93" customFormat="1" ht="24.95" customHeight="1" x14ac:dyDescent="0.25">
      <c r="A250" s="18"/>
      <c r="B250" s="18"/>
      <c r="C250" s="18"/>
      <c r="D250" s="18"/>
      <c r="E250" s="18">
        <v>19</v>
      </c>
      <c r="F250" s="18" t="s">
        <v>4054</v>
      </c>
      <c r="G250" s="18" t="s">
        <v>3319</v>
      </c>
      <c r="H250" s="18" t="s">
        <v>3403</v>
      </c>
      <c r="I250" s="18" t="s">
        <v>4055</v>
      </c>
      <c r="J250" s="18" t="s">
        <v>3405</v>
      </c>
      <c r="K250" s="18" t="s">
        <v>3406</v>
      </c>
      <c r="L250" s="18" t="s">
        <v>3329</v>
      </c>
      <c r="M250" s="18" t="s">
        <v>3443</v>
      </c>
      <c r="N250" s="18" t="s">
        <v>3444</v>
      </c>
      <c r="O250" s="18" t="s">
        <v>3445</v>
      </c>
      <c r="P250" s="18" t="s">
        <v>4056</v>
      </c>
    </row>
    <row r="251" spans="1:16" s="93" customFormat="1" ht="24.95" customHeight="1" x14ac:dyDescent="0.25">
      <c r="A251" s="18"/>
      <c r="B251" s="18"/>
      <c r="C251" s="18"/>
      <c r="D251" s="18"/>
      <c r="E251" s="18">
        <v>20</v>
      </c>
      <c r="F251" s="18" t="s">
        <v>4057</v>
      </c>
      <c r="G251" s="18" t="s">
        <v>3320</v>
      </c>
      <c r="H251" s="18" t="s">
        <v>4058</v>
      </c>
      <c r="I251" s="18" t="s">
        <v>3408</v>
      </c>
      <c r="J251" s="18" t="s">
        <v>3409</v>
      </c>
      <c r="K251" s="18" t="s">
        <v>3410</v>
      </c>
      <c r="L251" s="18" t="s">
        <v>3330</v>
      </c>
      <c r="M251" s="18" t="s">
        <v>3447</v>
      </c>
      <c r="N251" s="18" t="s">
        <v>3448</v>
      </c>
      <c r="O251" s="18" t="s">
        <v>4059</v>
      </c>
      <c r="P251" s="18" t="s">
        <v>3450</v>
      </c>
    </row>
    <row r="252" spans="1:16" s="93" customFormat="1" ht="24.95" customHeight="1" x14ac:dyDescent="0.25">
      <c r="A252" s="16"/>
      <c r="B252" s="16"/>
      <c r="C252" s="16">
        <v>1000</v>
      </c>
      <c r="D252" s="16" t="s">
        <v>4179</v>
      </c>
      <c r="E252" s="16">
        <v>1</v>
      </c>
      <c r="F252" s="16" t="s">
        <v>4389</v>
      </c>
      <c r="G252" s="16" t="s">
        <v>4180</v>
      </c>
      <c r="H252" s="16" t="s">
        <v>4066</v>
      </c>
      <c r="I252" s="16" t="s">
        <v>4067</v>
      </c>
      <c r="J252" s="16" t="s">
        <v>4198</v>
      </c>
      <c r="K252" s="16" t="s">
        <v>4197</v>
      </c>
      <c r="L252" s="16"/>
      <c r="M252" s="16"/>
      <c r="N252" s="16"/>
      <c r="O252" s="16"/>
      <c r="P252" s="16"/>
    </row>
    <row r="253" spans="1:16" s="93" customFormat="1" ht="33.75" customHeight="1" x14ac:dyDescent="0.25">
      <c r="A253" s="16"/>
      <c r="B253" s="16"/>
      <c r="C253" s="16"/>
      <c r="D253" s="16" t="s">
        <v>4400</v>
      </c>
      <c r="E253" s="16">
        <v>2</v>
      </c>
      <c r="F253" s="16" t="s">
        <v>4393</v>
      </c>
      <c r="G253" s="16" t="s">
        <v>4174</v>
      </c>
      <c r="H253" s="16" t="s">
        <v>4068</v>
      </c>
      <c r="I253" s="16" t="s">
        <v>4069</v>
      </c>
      <c r="J253" s="16" t="s">
        <v>4070</v>
      </c>
      <c r="K253" s="16" t="s">
        <v>4071</v>
      </c>
      <c r="L253" s="16"/>
      <c r="M253" s="16"/>
      <c r="N253" s="16"/>
      <c r="O253" s="16"/>
      <c r="P253" s="16"/>
    </row>
    <row r="254" spans="1:16" s="93" customFormat="1" ht="24.95" customHeight="1" x14ac:dyDescent="0.25">
      <c r="A254" s="16"/>
      <c r="B254" s="16"/>
      <c r="C254" s="16"/>
      <c r="D254" s="16"/>
      <c r="E254" s="16">
        <v>3</v>
      </c>
      <c r="F254" s="16" t="s">
        <v>4415</v>
      </c>
      <c r="G254" s="16" t="s">
        <v>4181</v>
      </c>
      <c r="H254" s="16" t="s">
        <v>4072</v>
      </c>
      <c r="I254" s="16" t="s">
        <v>4073</v>
      </c>
      <c r="J254" s="16" t="s">
        <v>4074</v>
      </c>
      <c r="K254" s="16" t="s">
        <v>4075</v>
      </c>
      <c r="L254" s="16"/>
      <c r="M254" s="16"/>
      <c r="N254" s="16"/>
      <c r="O254" s="16"/>
      <c r="P254" s="16"/>
    </row>
    <row r="255" spans="1:16" s="93" customFormat="1" ht="24.95" customHeight="1" x14ac:dyDescent="0.25">
      <c r="A255" s="16"/>
      <c r="B255" s="16"/>
      <c r="C255" s="16"/>
      <c r="D255" s="16"/>
      <c r="E255" s="16">
        <v>4</v>
      </c>
      <c r="F255" s="16" t="s">
        <v>4414</v>
      </c>
      <c r="G255" s="16" t="s">
        <v>4182</v>
      </c>
      <c r="H255" s="16" t="s">
        <v>4076</v>
      </c>
      <c r="I255" s="16" t="s">
        <v>4077</v>
      </c>
      <c r="J255" s="16" t="s">
        <v>4078</v>
      </c>
      <c r="K255" s="16" t="s">
        <v>4079</v>
      </c>
      <c r="L255" s="16"/>
      <c r="M255" s="16"/>
      <c r="N255" s="16"/>
      <c r="O255" s="16"/>
      <c r="P255" s="16"/>
    </row>
    <row r="256" spans="1:16" s="93" customFormat="1" ht="24.95" customHeight="1" x14ac:dyDescent="0.25">
      <c r="A256" s="16"/>
      <c r="B256" s="16"/>
      <c r="C256" s="16"/>
      <c r="D256" s="16"/>
      <c r="E256" s="16">
        <v>5</v>
      </c>
      <c r="F256" s="16" t="s">
        <v>4394</v>
      </c>
      <c r="G256" s="16" t="s">
        <v>4173</v>
      </c>
      <c r="H256" s="16" t="s">
        <v>4080</v>
      </c>
      <c r="I256" s="16" t="s">
        <v>4081</v>
      </c>
      <c r="J256" s="16" t="s">
        <v>4082</v>
      </c>
      <c r="K256" s="16" t="s">
        <v>4083</v>
      </c>
      <c r="L256" s="16"/>
      <c r="M256" s="16"/>
      <c r="N256" s="16"/>
      <c r="O256" s="16"/>
      <c r="P256" s="16"/>
    </row>
    <row r="257" spans="1:16" s="93" customFormat="1" ht="24.95" customHeight="1" x14ac:dyDescent="0.25">
      <c r="A257" s="16"/>
      <c r="B257" s="16"/>
      <c r="C257" s="16"/>
      <c r="D257" s="16"/>
      <c r="E257" s="16">
        <v>6</v>
      </c>
      <c r="F257" s="16" t="s">
        <v>4395</v>
      </c>
      <c r="G257" s="16" t="s">
        <v>4183</v>
      </c>
      <c r="H257" s="16" t="s">
        <v>4403</v>
      </c>
      <c r="I257" s="16" t="s">
        <v>4084</v>
      </c>
      <c r="J257" s="16" t="s">
        <v>4085</v>
      </c>
      <c r="K257" s="16" t="s">
        <v>4086</v>
      </c>
      <c r="L257" s="16"/>
      <c r="M257" s="16"/>
      <c r="N257" s="16"/>
      <c r="O257" s="16"/>
      <c r="P257" s="16"/>
    </row>
    <row r="258" spans="1:16" s="93" customFormat="1" ht="24.95" customHeight="1" x14ac:dyDescent="0.25">
      <c r="A258" s="16"/>
      <c r="B258" s="16"/>
      <c r="C258" s="16"/>
      <c r="D258" s="16"/>
      <c r="E258" s="16">
        <v>7</v>
      </c>
      <c r="F258" s="16" t="s">
        <v>4390</v>
      </c>
      <c r="G258" s="16" t="s">
        <v>4175</v>
      </c>
      <c r="H258" s="16" t="s">
        <v>4087</v>
      </c>
      <c r="I258" s="16" t="s">
        <v>4088</v>
      </c>
      <c r="J258" s="16" t="s">
        <v>4089</v>
      </c>
      <c r="K258" s="16" t="s">
        <v>4090</v>
      </c>
      <c r="L258" s="16"/>
      <c r="M258" s="16"/>
      <c r="N258" s="16"/>
      <c r="O258" s="16"/>
      <c r="P258" s="16"/>
    </row>
    <row r="259" spans="1:16" s="93" customFormat="1" ht="24.95" customHeight="1" x14ac:dyDescent="0.25">
      <c r="A259" s="16"/>
      <c r="B259" s="16"/>
      <c r="C259" s="16"/>
      <c r="D259" s="16"/>
      <c r="E259" s="16">
        <v>8</v>
      </c>
      <c r="F259" s="16" t="s">
        <v>4396</v>
      </c>
      <c r="G259" s="16" t="s">
        <v>4176</v>
      </c>
      <c r="H259" s="16" t="s">
        <v>4199</v>
      </c>
      <c r="I259" s="16" t="s">
        <v>4091</v>
      </c>
      <c r="J259" s="16" t="s">
        <v>4092</v>
      </c>
      <c r="K259" s="16" t="s">
        <v>4404</v>
      </c>
      <c r="L259" s="16"/>
      <c r="M259" s="16"/>
      <c r="N259" s="16"/>
      <c r="O259" s="16"/>
      <c r="P259" s="16"/>
    </row>
    <row r="260" spans="1:16" s="93" customFormat="1" ht="24.95" customHeight="1" x14ac:dyDescent="0.25">
      <c r="A260" s="16"/>
      <c r="B260" s="16"/>
      <c r="C260" s="16"/>
      <c r="D260" s="16"/>
      <c r="E260" s="16">
        <v>9</v>
      </c>
      <c r="F260" s="16" t="s">
        <v>4391</v>
      </c>
      <c r="G260" s="16" t="s">
        <v>4184</v>
      </c>
      <c r="H260" s="16" t="s">
        <v>4093</v>
      </c>
      <c r="I260" s="16" t="s">
        <v>4405</v>
      </c>
      <c r="J260" s="16" t="s">
        <v>4094</v>
      </c>
      <c r="K260" s="16" t="s">
        <v>4095</v>
      </c>
      <c r="L260" s="16"/>
      <c r="M260" s="16"/>
      <c r="N260" s="16"/>
      <c r="O260" s="16"/>
      <c r="P260" s="16"/>
    </row>
    <row r="261" spans="1:16" s="93" customFormat="1" ht="24.95" customHeight="1" x14ac:dyDescent="0.25">
      <c r="A261" s="16"/>
      <c r="B261" s="16"/>
      <c r="C261" s="16"/>
      <c r="D261" s="16"/>
      <c r="E261" s="16">
        <v>10</v>
      </c>
      <c r="F261" s="16" t="s">
        <v>4397</v>
      </c>
      <c r="G261" s="16" t="s">
        <v>4185</v>
      </c>
      <c r="H261" s="16" t="s">
        <v>4096</v>
      </c>
      <c r="I261" s="16" t="s">
        <v>4097</v>
      </c>
      <c r="J261" s="16" t="s">
        <v>4200</v>
      </c>
      <c r="K261" s="16" t="s">
        <v>4098</v>
      </c>
      <c r="L261" s="16"/>
      <c r="M261" s="16"/>
      <c r="N261" s="16"/>
      <c r="O261" s="16"/>
      <c r="P261" s="16"/>
    </row>
    <row r="262" spans="1:16" s="93" customFormat="1" ht="24.95" customHeight="1" x14ac:dyDescent="0.25">
      <c r="A262" s="16"/>
      <c r="B262" s="16"/>
      <c r="C262" s="16"/>
      <c r="D262" s="16"/>
      <c r="E262" s="16">
        <v>11</v>
      </c>
      <c r="F262" s="16" t="s">
        <v>4398</v>
      </c>
      <c r="G262" s="16" t="s">
        <v>4186</v>
      </c>
      <c r="H262" s="16" t="s">
        <v>4201</v>
      </c>
      <c r="I262" s="16" t="s">
        <v>4099</v>
      </c>
      <c r="J262" s="16" t="s">
        <v>4100</v>
      </c>
      <c r="K262" s="16" t="s">
        <v>4101</v>
      </c>
      <c r="L262" s="16" t="s">
        <v>4388</v>
      </c>
      <c r="M262" s="16" t="s">
        <v>4102</v>
      </c>
      <c r="N262" s="16" t="s">
        <v>4103</v>
      </c>
      <c r="O262" s="16" t="s">
        <v>4104</v>
      </c>
      <c r="P262" s="16" t="s">
        <v>4105</v>
      </c>
    </row>
    <row r="263" spans="1:16" s="93" customFormat="1" ht="24.95" customHeight="1" x14ac:dyDescent="0.25">
      <c r="A263" s="16"/>
      <c r="B263" s="16"/>
      <c r="C263" s="16"/>
      <c r="D263" s="16"/>
      <c r="E263" s="16">
        <v>12</v>
      </c>
      <c r="F263" s="16" t="s">
        <v>4399</v>
      </c>
      <c r="G263" s="16" t="s">
        <v>4187</v>
      </c>
      <c r="H263" s="16" t="s">
        <v>4106</v>
      </c>
      <c r="I263" s="16" t="s">
        <v>4406</v>
      </c>
      <c r="J263" s="16" t="s">
        <v>4107</v>
      </c>
      <c r="K263" s="16" t="s">
        <v>4108</v>
      </c>
      <c r="L263" s="16" t="s">
        <v>4193</v>
      </c>
      <c r="M263" s="16" t="s">
        <v>4109</v>
      </c>
      <c r="N263" s="16" t="s">
        <v>4110</v>
      </c>
      <c r="O263" s="16" t="s">
        <v>4111</v>
      </c>
      <c r="P263" s="16" t="s">
        <v>4112</v>
      </c>
    </row>
    <row r="264" spans="1:16" s="93" customFormat="1" ht="24.95" customHeight="1" x14ac:dyDescent="0.25">
      <c r="A264" s="16"/>
      <c r="B264" s="16"/>
      <c r="C264" s="16"/>
      <c r="D264" s="16"/>
      <c r="E264" s="16">
        <v>13</v>
      </c>
      <c r="F264" s="16" t="s">
        <v>4413</v>
      </c>
      <c r="G264" s="16" t="s">
        <v>4188</v>
      </c>
      <c r="H264" s="16" t="s">
        <v>4113</v>
      </c>
      <c r="I264" s="16" t="s">
        <v>4114</v>
      </c>
      <c r="J264" s="16" t="s">
        <v>4407</v>
      </c>
      <c r="K264" s="16" t="s">
        <v>4115</v>
      </c>
      <c r="L264" s="16" t="s">
        <v>4202</v>
      </c>
      <c r="M264" s="16" t="s">
        <v>4116</v>
      </c>
      <c r="N264" s="16" t="s">
        <v>4117</v>
      </c>
      <c r="O264" s="16" t="s">
        <v>4118</v>
      </c>
      <c r="P264" s="16" t="s">
        <v>4119</v>
      </c>
    </row>
    <row r="265" spans="1:16" s="93" customFormat="1" ht="24.95" customHeight="1" x14ac:dyDescent="0.25">
      <c r="A265" s="16"/>
      <c r="B265" s="16"/>
      <c r="C265" s="16"/>
      <c r="D265" s="16"/>
      <c r="E265" s="16">
        <v>14</v>
      </c>
      <c r="F265" s="16" t="s">
        <v>4392</v>
      </c>
      <c r="G265" s="16" t="s">
        <v>4189</v>
      </c>
      <c r="H265" s="16" t="s">
        <v>4120</v>
      </c>
      <c r="I265" s="16" t="s">
        <v>4121</v>
      </c>
      <c r="J265" s="16" t="s">
        <v>4122</v>
      </c>
      <c r="K265" s="16" t="s">
        <v>4123</v>
      </c>
      <c r="L265" s="16" t="s">
        <v>4203</v>
      </c>
      <c r="M265" s="16" t="s">
        <v>4124</v>
      </c>
      <c r="N265" s="16" t="s">
        <v>4125</v>
      </c>
      <c r="O265" s="16" t="s">
        <v>4126</v>
      </c>
      <c r="P265" s="16" t="s">
        <v>4127</v>
      </c>
    </row>
    <row r="266" spans="1:16" s="93" customFormat="1" ht="24.95" customHeight="1" x14ac:dyDescent="0.25">
      <c r="A266" s="16"/>
      <c r="B266" s="16"/>
      <c r="C266" s="16"/>
      <c r="D266" s="16"/>
      <c r="E266" s="16">
        <v>15</v>
      </c>
      <c r="F266" s="16" t="s">
        <v>4412</v>
      </c>
      <c r="G266" s="16" t="s">
        <v>4190</v>
      </c>
      <c r="H266" s="16" t="s">
        <v>4128</v>
      </c>
      <c r="I266" s="16" t="s">
        <v>4129</v>
      </c>
      <c r="J266" s="16" t="s">
        <v>4130</v>
      </c>
      <c r="K266" s="16" t="s">
        <v>4131</v>
      </c>
      <c r="L266" s="16" t="s">
        <v>4177</v>
      </c>
      <c r="M266" s="16" t="s">
        <v>4132</v>
      </c>
      <c r="N266" s="16" t="s">
        <v>4133</v>
      </c>
      <c r="O266" s="16" t="s">
        <v>4134</v>
      </c>
      <c r="P266" s="16" t="s">
        <v>4135</v>
      </c>
    </row>
    <row r="267" spans="1:16" s="93" customFormat="1" ht="24.95" customHeight="1" x14ac:dyDescent="0.25">
      <c r="A267" s="16"/>
      <c r="B267" s="16"/>
      <c r="C267" s="16"/>
      <c r="D267" s="16"/>
      <c r="E267" s="16">
        <v>16</v>
      </c>
      <c r="F267" s="16" t="s">
        <v>4416</v>
      </c>
      <c r="G267" s="16" t="s">
        <v>4191</v>
      </c>
      <c r="H267" s="16" t="s">
        <v>4204</v>
      </c>
      <c r="I267" s="16" t="s">
        <v>4136</v>
      </c>
      <c r="J267" s="16" t="s">
        <v>4137</v>
      </c>
      <c r="K267" s="16" t="s">
        <v>4138</v>
      </c>
      <c r="L267" s="16" t="s">
        <v>4194</v>
      </c>
      <c r="M267" s="16" t="s">
        <v>4139</v>
      </c>
      <c r="N267" s="16" t="s">
        <v>4205</v>
      </c>
      <c r="O267" s="16" t="s">
        <v>4140</v>
      </c>
      <c r="P267" s="16" t="s">
        <v>4141</v>
      </c>
    </row>
    <row r="268" spans="1:16" s="93" customFormat="1" ht="24.95" customHeight="1" x14ac:dyDescent="0.25">
      <c r="A268" s="16"/>
      <c r="B268" s="16"/>
      <c r="C268" s="16"/>
      <c r="D268" s="16"/>
      <c r="E268" s="16">
        <v>17</v>
      </c>
      <c r="F268" s="16" t="s">
        <v>4401</v>
      </c>
      <c r="G268" s="16" t="s">
        <v>4408</v>
      </c>
      <c r="H268" s="16" t="s">
        <v>4206</v>
      </c>
      <c r="I268" s="16" t="s">
        <v>4142</v>
      </c>
      <c r="J268" s="16" t="s">
        <v>4143</v>
      </c>
      <c r="K268" s="16" t="s">
        <v>4144</v>
      </c>
      <c r="L268" s="16" t="s">
        <v>4195</v>
      </c>
      <c r="M268" s="16" t="s">
        <v>4145</v>
      </c>
      <c r="N268" s="16" t="s">
        <v>4146</v>
      </c>
      <c r="O268" s="16" t="s">
        <v>4147</v>
      </c>
      <c r="P268" s="16" t="s">
        <v>4148</v>
      </c>
    </row>
    <row r="269" spans="1:16" s="93" customFormat="1" ht="24.95" customHeight="1" x14ac:dyDescent="0.25">
      <c r="A269" s="16"/>
      <c r="B269" s="16"/>
      <c r="C269" s="16"/>
      <c r="D269" s="16"/>
      <c r="E269" s="16">
        <v>18</v>
      </c>
      <c r="F269" s="16" t="s">
        <v>4417</v>
      </c>
      <c r="G269" s="16" t="s">
        <v>4409</v>
      </c>
      <c r="H269" s="16" t="s">
        <v>4149</v>
      </c>
      <c r="I269" s="16" t="s">
        <v>4150</v>
      </c>
      <c r="J269" s="16" t="s">
        <v>4151</v>
      </c>
      <c r="K269" s="16" t="s">
        <v>4152</v>
      </c>
      <c r="L269" s="16" t="s">
        <v>4196</v>
      </c>
      <c r="M269" s="16" t="s">
        <v>4153</v>
      </c>
      <c r="N269" s="16" t="s">
        <v>4154</v>
      </c>
      <c r="O269" s="16" t="s">
        <v>4155</v>
      </c>
      <c r="P269" s="16" t="s">
        <v>4156</v>
      </c>
    </row>
    <row r="270" spans="1:16" s="93" customFormat="1" ht="24.95" customHeight="1" x14ac:dyDescent="0.25">
      <c r="A270" s="16"/>
      <c r="B270" s="16"/>
      <c r="C270" s="16"/>
      <c r="D270" s="16"/>
      <c r="E270" s="16">
        <v>19</v>
      </c>
      <c r="F270" s="16" t="s">
        <v>4402</v>
      </c>
      <c r="G270" s="16" t="s">
        <v>4410</v>
      </c>
      <c r="H270" s="16" t="s">
        <v>4157</v>
      </c>
      <c r="I270" s="16" t="s">
        <v>4158</v>
      </c>
      <c r="J270" s="16" t="s">
        <v>4159</v>
      </c>
      <c r="K270" s="16" t="s">
        <v>4160</v>
      </c>
      <c r="L270" s="16" t="s">
        <v>4178</v>
      </c>
      <c r="M270" s="16" t="s">
        <v>4161</v>
      </c>
      <c r="N270" s="16" t="s">
        <v>4162</v>
      </c>
      <c r="O270" s="16" t="s">
        <v>4163</v>
      </c>
      <c r="P270" s="16" t="s">
        <v>4164</v>
      </c>
    </row>
    <row r="271" spans="1:16" s="93" customFormat="1" ht="24.95" customHeight="1" x14ac:dyDescent="0.25">
      <c r="A271" s="16"/>
      <c r="B271" s="16"/>
      <c r="C271" s="16"/>
      <c r="D271" s="16"/>
      <c r="E271" s="16">
        <v>20</v>
      </c>
      <c r="F271" s="16" t="s">
        <v>4411</v>
      </c>
      <c r="G271" s="16" t="s">
        <v>4192</v>
      </c>
      <c r="H271" s="16" t="s">
        <v>4165</v>
      </c>
      <c r="I271" s="16" t="s">
        <v>4166</v>
      </c>
      <c r="J271" s="16" t="s">
        <v>4167</v>
      </c>
      <c r="K271" s="16" t="s">
        <v>4168</v>
      </c>
      <c r="L271" s="16" t="s">
        <v>4207</v>
      </c>
      <c r="M271" s="16" t="s">
        <v>4169</v>
      </c>
      <c r="N271" s="16" t="s">
        <v>4170</v>
      </c>
      <c r="O271" s="16" t="s">
        <v>4171</v>
      </c>
      <c r="P271" s="16" t="s">
        <v>4172</v>
      </c>
    </row>
    <row r="272" spans="1:16" s="93" customFormat="1" ht="15" customHeight="1" x14ac:dyDescent="0.25">
      <c r="A272" s="97"/>
      <c r="B272" s="97"/>
      <c r="C272" s="97">
        <v>106</v>
      </c>
      <c r="D272" s="97" t="s">
        <v>5449</v>
      </c>
      <c r="E272" s="97">
        <v>1</v>
      </c>
      <c r="F272" s="97" t="s">
        <v>5469</v>
      </c>
      <c r="G272" s="97" t="s">
        <v>5070</v>
      </c>
      <c r="H272" s="97" t="s">
        <v>5100</v>
      </c>
      <c r="I272" s="97" t="s">
        <v>5101</v>
      </c>
      <c r="J272" s="97" t="s">
        <v>5102</v>
      </c>
      <c r="K272" s="97" t="s">
        <v>5103</v>
      </c>
      <c r="L272" s="97"/>
      <c r="M272" s="97"/>
      <c r="N272" s="97"/>
      <c r="O272" s="97"/>
      <c r="P272" s="97"/>
    </row>
    <row r="273" spans="1:16" s="93" customFormat="1" ht="15" customHeight="1" x14ac:dyDescent="0.25">
      <c r="A273" s="97"/>
      <c r="B273" s="97"/>
      <c r="C273" s="97"/>
      <c r="D273" s="100">
        <v>41365</v>
      </c>
      <c r="E273" s="97">
        <v>2</v>
      </c>
      <c r="F273" s="97" t="s">
        <v>5042</v>
      </c>
      <c r="G273" s="97" t="s">
        <v>5071</v>
      </c>
      <c r="H273" s="97" t="s">
        <v>5104</v>
      </c>
      <c r="I273" s="97" t="s">
        <v>5105</v>
      </c>
      <c r="J273" s="97" t="s">
        <v>5106</v>
      </c>
      <c r="K273" s="97" t="s">
        <v>5107</v>
      </c>
      <c r="L273" s="97"/>
      <c r="M273" s="97"/>
      <c r="N273" s="97"/>
      <c r="O273" s="97"/>
      <c r="P273" s="97"/>
    </row>
    <row r="274" spans="1:16" s="93" customFormat="1" ht="15" customHeight="1" x14ac:dyDescent="0.25">
      <c r="A274" s="97"/>
      <c r="B274" s="97"/>
      <c r="C274" s="97"/>
      <c r="D274" s="18" t="s">
        <v>359</v>
      </c>
      <c r="E274" s="97">
        <v>3</v>
      </c>
      <c r="F274" s="97" t="s">
        <v>5043</v>
      </c>
      <c r="G274" s="97" t="s">
        <v>5072</v>
      </c>
      <c r="H274" s="97" t="s">
        <v>5108</v>
      </c>
      <c r="I274" s="97" t="s">
        <v>5109</v>
      </c>
      <c r="J274" s="97" t="s">
        <v>5110</v>
      </c>
      <c r="K274" s="97" t="s">
        <v>5111</v>
      </c>
      <c r="L274" s="97"/>
      <c r="M274" s="97"/>
      <c r="N274" s="97"/>
      <c r="O274" s="97"/>
      <c r="P274" s="97"/>
    </row>
    <row r="275" spans="1:16" s="93" customFormat="1" ht="15" customHeight="1" x14ac:dyDescent="0.25">
      <c r="A275" s="97"/>
      <c r="B275" s="97"/>
      <c r="C275" s="97"/>
      <c r="D275" s="97"/>
      <c r="E275" s="97">
        <v>4</v>
      </c>
      <c r="F275" s="97" t="s">
        <v>5044</v>
      </c>
      <c r="G275" s="97" t="s">
        <v>5073</v>
      </c>
      <c r="H275" s="97" t="s">
        <v>5112</v>
      </c>
      <c r="I275" s="97" t="s">
        <v>5113</v>
      </c>
      <c r="J275" s="97" t="s">
        <v>5114</v>
      </c>
      <c r="K275" s="97" t="s">
        <v>5115</v>
      </c>
      <c r="L275" s="97"/>
      <c r="M275" s="97"/>
      <c r="N275" s="97"/>
      <c r="O275" s="97"/>
      <c r="P275" s="97"/>
    </row>
    <row r="276" spans="1:16" s="93" customFormat="1" ht="15" customHeight="1" x14ac:dyDescent="0.25">
      <c r="A276" s="97"/>
      <c r="B276" s="97"/>
      <c r="C276" s="97"/>
      <c r="D276" s="97"/>
      <c r="E276" s="97">
        <v>5</v>
      </c>
      <c r="F276" s="97" t="s">
        <v>5045</v>
      </c>
      <c r="G276" s="97" t="s">
        <v>5074</v>
      </c>
      <c r="H276" s="97" t="s">
        <v>5116</v>
      </c>
      <c r="I276" s="97" t="s">
        <v>5117</v>
      </c>
      <c r="J276" s="97" t="s">
        <v>5118</v>
      </c>
      <c r="K276" s="97" t="s">
        <v>5119</v>
      </c>
      <c r="L276" s="97"/>
      <c r="M276" s="97"/>
      <c r="N276" s="97"/>
      <c r="O276" s="97"/>
      <c r="P276" s="97"/>
    </row>
    <row r="277" spans="1:16" s="93" customFormat="1" ht="15" customHeight="1" x14ac:dyDescent="0.25">
      <c r="A277" s="97"/>
      <c r="B277" s="97"/>
      <c r="C277" s="97"/>
      <c r="D277" s="97"/>
      <c r="E277" s="97">
        <v>6</v>
      </c>
      <c r="F277" s="97" t="s">
        <v>5046</v>
      </c>
      <c r="G277" s="97" t="s">
        <v>5075</v>
      </c>
      <c r="H277" s="97" t="s">
        <v>5120</v>
      </c>
      <c r="I277" s="97" t="s">
        <v>5121</v>
      </c>
      <c r="J277" s="97" t="s">
        <v>5122</v>
      </c>
      <c r="K277" s="97" t="s">
        <v>5123</v>
      </c>
      <c r="L277" s="97"/>
      <c r="M277" s="97"/>
      <c r="N277" s="97"/>
      <c r="O277" s="97"/>
      <c r="P277" s="97"/>
    </row>
    <row r="278" spans="1:16" s="93" customFormat="1" ht="15" customHeight="1" x14ac:dyDescent="0.25">
      <c r="A278" s="97"/>
      <c r="B278" s="97"/>
      <c r="C278" s="97"/>
      <c r="D278" s="97"/>
      <c r="E278" s="97">
        <v>7</v>
      </c>
      <c r="F278" s="97" t="s">
        <v>5047</v>
      </c>
      <c r="G278" s="97" t="s">
        <v>5076</v>
      </c>
      <c r="H278" s="97" t="s">
        <v>5124</v>
      </c>
      <c r="I278" s="97" t="s">
        <v>5125</v>
      </c>
      <c r="J278" s="97" t="s">
        <v>5126</v>
      </c>
      <c r="K278" s="97" t="s">
        <v>5127</v>
      </c>
      <c r="L278" s="97"/>
      <c r="M278" s="97"/>
      <c r="N278" s="97"/>
      <c r="O278" s="97"/>
      <c r="P278" s="97"/>
    </row>
    <row r="279" spans="1:16" s="93" customFormat="1" ht="15" customHeight="1" x14ac:dyDescent="0.25">
      <c r="A279" s="97"/>
      <c r="B279" s="97"/>
      <c r="C279" s="97"/>
      <c r="D279" s="97"/>
      <c r="E279" s="97">
        <v>8</v>
      </c>
      <c r="F279" s="97" t="s">
        <v>5048</v>
      </c>
      <c r="G279" s="97" t="s">
        <v>5077</v>
      </c>
      <c r="H279" s="97" t="s">
        <v>5128</v>
      </c>
      <c r="I279" s="97" t="s">
        <v>5129</v>
      </c>
      <c r="J279" s="97" t="s">
        <v>5130</v>
      </c>
      <c r="K279" s="97" t="s">
        <v>5131</v>
      </c>
      <c r="L279" s="97"/>
      <c r="M279" s="97"/>
      <c r="N279" s="97"/>
      <c r="O279" s="97"/>
      <c r="P279" s="97"/>
    </row>
    <row r="280" spans="1:16" s="93" customFormat="1" ht="15" customHeight="1" x14ac:dyDescent="0.25">
      <c r="A280" s="97"/>
      <c r="B280" s="97"/>
      <c r="C280" s="97"/>
      <c r="D280" s="97"/>
      <c r="E280" s="97">
        <v>9</v>
      </c>
      <c r="F280" s="97" t="s">
        <v>5049</v>
      </c>
      <c r="G280" s="97" t="s">
        <v>5078</v>
      </c>
      <c r="H280" s="97" t="s">
        <v>5132</v>
      </c>
      <c r="I280" s="97" t="s">
        <v>5133</v>
      </c>
      <c r="J280" s="97" t="s">
        <v>5134</v>
      </c>
      <c r="K280" s="97" t="s">
        <v>5135</v>
      </c>
      <c r="L280" s="97"/>
      <c r="M280" s="97"/>
      <c r="N280" s="97"/>
      <c r="O280" s="97"/>
      <c r="P280" s="97"/>
    </row>
    <row r="281" spans="1:16" s="93" customFormat="1" ht="15" customHeight="1" x14ac:dyDescent="0.25">
      <c r="A281" s="97"/>
      <c r="B281" s="97"/>
      <c r="C281" s="97"/>
      <c r="D281" s="97"/>
      <c r="E281" s="97">
        <v>10</v>
      </c>
      <c r="F281" s="97" t="s">
        <v>5050</v>
      </c>
      <c r="G281" s="97" t="s">
        <v>5079</v>
      </c>
      <c r="H281" s="97" t="s">
        <v>5136</v>
      </c>
      <c r="I281" s="97" t="s">
        <v>5137</v>
      </c>
      <c r="J281" s="97" t="s">
        <v>5138</v>
      </c>
      <c r="K281" s="97" t="s">
        <v>5139</v>
      </c>
      <c r="L281" s="97"/>
      <c r="M281" s="97"/>
      <c r="N281" s="97"/>
      <c r="O281" s="97"/>
      <c r="P281" s="97"/>
    </row>
    <row r="282" spans="1:16" s="93" customFormat="1" ht="15" customHeight="1" x14ac:dyDescent="0.25">
      <c r="A282" s="97"/>
      <c r="B282" s="97"/>
      <c r="C282" s="97"/>
      <c r="D282" s="97"/>
      <c r="E282" s="97">
        <v>11</v>
      </c>
      <c r="F282" s="97" t="s">
        <v>5051</v>
      </c>
      <c r="G282" s="97" t="s">
        <v>5080</v>
      </c>
      <c r="H282" s="97" t="s">
        <v>5140</v>
      </c>
      <c r="I282" s="97" t="s">
        <v>5141</v>
      </c>
      <c r="J282" s="97" t="s">
        <v>5142</v>
      </c>
      <c r="K282" s="97" t="s">
        <v>5143</v>
      </c>
      <c r="L282" s="97"/>
      <c r="M282" s="97"/>
      <c r="N282" s="97"/>
      <c r="O282" s="97"/>
      <c r="P282" s="97"/>
    </row>
    <row r="283" spans="1:16" s="93" customFormat="1" ht="15" customHeight="1" x14ac:dyDescent="0.25">
      <c r="A283" s="97"/>
      <c r="B283" s="97"/>
      <c r="C283" s="97"/>
      <c r="D283" s="97"/>
      <c r="E283" s="97">
        <v>12</v>
      </c>
      <c r="F283" s="97" t="s">
        <v>5052</v>
      </c>
      <c r="G283" s="97" t="s">
        <v>5081</v>
      </c>
      <c r="H283" s="97" t="s">
        <v>5144</v>
      </c>
      <c r="I283" s="97" t="s">
        <v>5145</v>
      </c>
      <c r="J283" s="97" t="s">
        <v>5146</v>
      </c>
      <c r="K283" s="97" t="s">
        <v>5147</v>
      </c>
      <c r="L283" s="97"/>
      <c r="M283" s="97"/>
      <c r="N283" s="97"/>
      <c r="O283" s="97"/>
      <c r="P283" s="97"/>
    </row>
    <row r="284" spans="1:16" s="93" customFormat="1" ht="15" customHeight="1" x14ac:dyDescent="0.25">
      <c r="A284" s="97"/>
      <c r="B284" s="97"/>
      <c r="C284" s="97"/>
      <c r="D284" s="97"/>
      <c r="E284" s="97">
        <v>13</v>
      </c>
      <c r="F284" s="97" t="s">
        <v>5053</v>
      </c>
      <c r="G284" s="97" t="s">
        <v>5082</v>
      </c>
      <c r="H284" s="97" t="s">
        <v>5148</v>
      </c>
      <c r="I284" s="97" t="s">
        <v>5149</v>
      </c>
      <c r="J284" s="97" t="s">
        <v>5150</v>
      </c>
      <c r="K284" s="97" t="s">
        <v>5151</v>
      </c>
      <c r="L284" s="97"/>
      <c r="M284" s="97"/>
      <c r="N284" s="97"/>
      <c r="O284" s="97"/>
      <c r="P284" s="97"/>
    </row>
    <row r="285" spans="1:16" s="93" customFormat="1" ht="15" customHeight="1" x14ac:dyDescent="0.25">
      <c r="A285" s="97"/>
      <c r="B285" s="97"/>
      <c r="C285" s="97"/>
      <c r="D285" s="97"/>
      <c r="E285" s="97">
        <v>14</v>
      </c>
      <c r="F285" s="97" t="s">
        <v>5054</v>
      </c>
      <c r="G285" s="97" t="s">
        <v>5083</v>
      </c>
      <c r="H285" s="97" t="s">
        <v>5152</v>
      </c>
      <c r="I285" s="97" t="s">
        <v>5153</v>
      </c>
      <c r="J285" s="97" t="s">
        <v>5154</v>
      </c>
      <c r="K285" s="97" t="s">
        <v>5155</v>
      </c>
      <c r="L285" s="97"/>
      <c r="M285" s="97"/>
      <c r="N285" s="97"/>
      <c r="O285" s="97"/>
      <c r="P285" s="97"/>
    </row>
    <row r="286" spans="1:16" s="93" customFormat="1" ht="15" customHeight="1" x14ac:dyDescent="0.25">
      <c r="A286" s="97"/>
      <c r="B286" s="97"/>
      <c r="C286" s="97"/>
      <c r="D286" s="97"/>
      <c r="E286" s="97">
        <v>15</v>
      </c>
      <c r="F286" s="97" t="s">
        <v>5055</v>
      </c>
      <c r="G286" s="97" t="s">
        <v>5084</v>
      </c>
      <c r="H286" s="97" t="s">
        <v>5156</v>
      </c>
      <c r="I286" s="97" t="s">
        <v>5157</v>
      </c>
      <c r="J286" s="97" t="s">
        <v>5158</v>
      </c>
      <c r="K286" s="97" t="s">
        <v>5159</v>
      </c>
      <c r="L286" s="97"/>
      <c r="M286" s="97"/>
      <c r="N286" s="97"/>
      <c r="O286" s="97"/>
      <c r="P286" s="97"/>
    </row>
    <row r="287" spans="1:16" s="93" customFormat="1" ht="15" customHeight="1" x14ac:dyDescent="0.25">
      <c r="A287" s="97"/>
      <c r="B287" s="97"/>
      <c r="C287" s="97"/>
      <c r="D287" s="97"/>
      <c r="E287" s="97">
        <v>16</v>
      </c>
      <c r="F287" s="97" t="s">
        <v>5056</v>
      </c>
      <c r="G287" s="97" t="s">
        <v>5085</v>
      </c>
      <c r="H287" s="97" t="s">
        <v>5160</v>
      </c>
      <c r="I287" s="97" t="s">
        <v>5161</v>
      </c>
      <c r="J287" s="97" t="s">
        <v>5162</v>
      </c>
      <c r="K287" s="97" t="s">
        <v>5163</v>
      </c>
      <c r="L287" s="97"/>
      <c r="M287" s="97"/>
      <c r="N287" s="97"/>
      <c r="O287" s="97"/>
      <c r="P287" s="97"/>
    </row>
    <row r="288" spans="1:16" s="93" customFormat="1" ht="15" customHeight="1" x14ac:dyDescent="0.25">
      <c r="A288" s="97"/>
      <c r="B288" s="97"/>
      <c r="C288" s="97"/>
      <c r="D288" s="97"/>
      <c r="E288" s="97">
        <v>17</v>
      </c>
      <c r="F288" s="97" t="s">
        <v>5057</v>
      </c>
      <c r="G288" s="97" t="s">
        <v>5086</v>
      </c>
      <c r="H288" s="97" t="s">
        <v>5164</v>
      </c>
      <c r="I288" s="97" t="s">
        <v>5165</v>
      </c>
      <c r="J288" s="97" t="s">
        <v>5166</v>
      </c>
      <c r="K288" s="97" t="s">
        <v>5167</v>
      </c>
      <c r="L288" s="97"/>
      <c r="M288" s="97"/>
      <c r="N288" s="97"/>
      <c r="O288" s="97"/>
      <c r="P288" s="97"/>
    </row>
    <row r="289" spans="1:16" s="93" customFormat="1" ht="15" customHeight="1" x14ac:dyDescent="0.25">
      <c r="A289" s="97"/>
      <c r="B289" s="97"/>
      <c r="C289" s="97"/>
      <c r="D289" s="97"/>
      <c r="E289" s="97">
        <v>18</v>
      </c>
      <c r="F289" s="97" t="s">
        <v>5058</v>
      </c>
      <c r="G289" s="97" t="s">
        <v>5087</v>
      </c>
      <c r="H289" s="97" t="s">
        <v>5168</v>
      </c>
      <c r="I289" s="97" t="s">
        <v>5169</v>
      </c>
      <c r="J289" s="97" t="s">
        <v>5170</v>
      </c>
      <c r="K289" s="97" t="s">
        <v>5171</v>
      </c>
      <c r="L289" s="97"/>
      <c r="M289" s="97"/>
      <c r="N289" s="97"/>
      <c r="O289" s="97"/>
      <c r="P289" s="97"/>
    </row>
    <row r="290" spans="1:16" s="93" customFormat="1" ht="15" customHeight="1" x14ac:dyDescent="0.25">
      <c r="A290" s="97"/>
      <c r="B290" s="97"/>
      <c r="C290" s="97"/>
      <c r="D290" s="97"/>
      <c r="E290" s="97">
        <v>19</v>
      </c>
      <c r="F290" s="97" t="s">
        <v>5059</v>
      </c>
      <c r="G290" s="97" t="s">
        <v>5088</v>
      </c>
      <c r="H290" s="97" t="s">
        <v>5172</v>
      </c>
      <c r="I290" s="97" t="s">
        <v>5173</v>
      </c>
      <c r="J290" s="97" t="s">
        <v>5174</v>
      </c>
      <c r="K290" s="97" t="s">
        <v>5175</v>
      </c>
      <c r="L290" s="97"/>
      <c r="M290" s="97"/>
      <c r="N290" s="97"/>
      <c r="O290" s="97"/>
      <c r="P290" s="97"/>
    </row>
    <row r="291" spans="1:16" s="93" customFormat="1" ht="15" customHeight="1" x14ac:dyDescent="0.25">
      <c r="A291" s="97"/>
      <c r="B291" s="97"/>
      <c r="C291" s="97"/>
      <c r="D291" s="97"/>
      <c r="E291" s="97">
        <v>20</v>
      </c>
      <c r="F291" s="97" t="s">
        <v>5060</v>
      </c>
      <c r="G291" s="97" t="s">
        <v>5089</v>
      </c>
      <c r="H291" s="97" t="s">
        <v>5176</v>
      </c>
      <c r="I291" s="97" t="s">
        <v>5177</v>
      </c>
      <c r="J291" s="97" t="s">
        <v>5178</v>
      </c>
      <c r="K291" s="97" t="s">
        <v>5179</v>
      </c>
      <c r="L291" s="97"/>
      <c r="M291" s="97"/>
      <c r="N291" s="97"/>
      <c r="O291" s="97"/>
      <c r="P291" s="97"/>
    </row>
    <row r="292" spans="1:16" s="93" customFormat="1" ht="15" customHeight="1" x14ac:dyDescent="0.25">
      <c r="A292" s="97"/>
      <c r="B292" s="97"/>
      <c r="C292" s="97"/>
      <c r="D292" s="97"/>
      <c r="E292" s="97">
        <v>21</v>
      </c>
      <c r="F292" s="97" t="s">
        <v>5061</v>
      </c>
      <c r="G292" s="97" t="s">
        <v>5090</v>
      </c>
      <c r="H292" s="97" t="s">
        <v>5180</v>
      </c>
      <c r="I292" s="97" t="s">
        <v>5181</v>
      </c>
      <c r="J292" s="97" t="s">
        <v>5182</v>
      </c>
      <c r="K292" s="97" t="s">
        <v>5183</v>
      </c>
      <c r="L292" s="97"/>
      <c r="M292" s="97"/>
      <c r="N292" s="97"/>
      <c r="O292" s="97"/>
      <c r="P292" s="97"/>
    </row>
    <row r="293" spans="1:16" s="93" customFormat="1" ht="15" customHeight="1" x14ac:dyDescent="0.25">
      <c r="A293" s="97"/>
      <c r="B293" s="97"/>
      <c r="C293" s="97"/>
      <c r="D293" s="97"/>
      <c r="E293" s="97">
        <v>22</v>
      </c>
      <c r="F293" s="97" t="s">
        <v>5467</v>
      </c>
      <c r="G293" s="97" t="s">
        <v>5091</v>
      </c>
      <c r="H293" s="97" t="s">
        <v>5184</v>
      </c>
      <c r="I293" s="97" t="s">
        <v>5185</v>
      </c>
      <c r="J293" s="97" t="s">
        <v>5186</v>
      </c>
      <c r="K293" s="97" t="s">
        <v>5187</v>
      </c>
      <c r="L293" s="97"/>
      <c r="M293" s="97"/>
      <c r="N293" s="97"/>
      <c r="O293" s="97"/>
      <c r="P293" s="97"/>
    </row>
    <row r="294" spans="1:16" s="93" customFormat="1" ht="15" customHeight="1" x14ac:dyDescent="0.25">
      <c r="A294" s="97"/>
      <c r="B294" s="97"/>
      <c r="C294" s="97"/>
      <c r="D294" s="97"/>
      <c r="E294" s="97">
        <v>23</v>
      </c>
      <c r="F294" s="97" t="s">
        <v>5062</v>
      </c>
      <c r="G294" s="97" t="s">
        <v>5092</v>
      </c>
      <c r="H294" s="97" t="s">
        <v>5188</v>
      </c>
      <c r="I294" s="97" t="s">
        <v>5189</v>
      </c>
      <c r="J294" s="97" t="s">
        <v>5190</v>
      </c>
      <c r="K294" s="97" t="s">
        <v>5191</v>
      </c>
      <c r="L294" s="97"/>
      <c r="M294" s="97"/>
      <c r="N294" s="97"/>
      <c r="O294" s="97"/>
      <c r="P294" s="97"/>
    </row>
    <row r="295" spans="1:16" s="93" customFormat="1" ht="15" customHeight="1" x14ac:dyDescent="0.25">
      <c r="A295" s="97"/>
      <c r="B295" s="97"/>
      <c r="C295" s="97"/>
      <c r="D295" s="97"/>
      <c r="E295" s="97">
        <v>24</v>
      </c>
      <c r="F295" s="97" t="s">
        <v>5063</v>
      </c>
      <c r="G295" s="97" t="s">
        <v>5093</v>
      </c>
      <c r="H295" s="97" t="s">
        <v>5192</v>
      </c>
      <c r="I295" s="97" t="s">
        <v>5193</v>
      </c>
      <c r="J295" s="97" t="s">
        <v>5194</v>
      </c>
      <c r="K295" s="97" t="s">
        <v>5195</v>
      </c>
      <c r="L295" s="97"/>
      <c r="M295" s="97"/>
      <c r="N295" s="97"/>
      <c r="O295" s="97"/>
      <c r="P295" s="97"/>
    </row>
    <row r="296" spans="1:16" s="93" customFormat="1" ht="15" customHeight="1" x14ac:dyDescent="0.25">
      <c r="A296" s="97"/>
      <c r="B296" s="97"/>
      <c r="C296" s="97"/>
      <c r="D296" s="97"/>
      <c r="E296" s="97">
        <v>25</v>
      </c>
      <c r="F296" s="97" t="s">
        <v>5064</v>
      </c>
      <c r="G296" s="97" t="s">
        <v>5094</v>
      </c>
      <c r="H296" s="97" t="s">
        <v>5196</v>
      </c>
      <c r="I296" s="97" t="s">
        <v>5197</v>
      </c>
      <c r="J296" s="97" t="s">
        <v>5198</v>
      </c>
      <c r="K296" s="97" t="s">
        <v>5199</v>
      </c>
      <c r="L296" s="97"/>
      <c r="M296" s="97"/>
      <c r="N296" s="97"/>
      <c r="O296" s="97"/>
      <c r="P296" s="97"/>
    </row>
    <row r="297" spans="1:16" s="93" customFormat="1" ht="15" customHeight="1" x14ac:dyDescent="0.25">
      <c r="A297" s="97"/>
      <c r="B297" s="97"/>
      <c r="C297" s="97"/>
      <c r="D297" s="97"/>
      <c r="E297" s="97">
        <v>26</v>
      </c>
      <c r="F297" s="97" t="s">
        <v>5065</v>
      </c>
      <c r="G297" s="97" t="s">
        <v>5095</v>
      </c>
      <c r="H297" s="97" t="s">
        <v>5200</v>
      </c>
      <c r="I297" s="97" t="s">
        <v>5201</v>
      </c>
      <c r="J297" s="97" t="s">
        <v>5202</v>
      </c>
      <c r="K297" s="97" t="s">
        <v>5203</v>
      </c>
      <c r="L297" s="97"/>
      <c r="M297" s="97"/>
      <c r="N297" s="97"/>
      <c r="O297" s="97"/>
      <c r="P297" s="97"/>
    </row>
    <row r="298" spans="1:16" s="93" customFormat="1" ht="15" customHeight="1" x14ac:dyDescent="0.25">
      <c r="A298" s="97"/>
      <c r="B298" s="97"/>
      <c r="C298" s="97"/>
      <c r="D298" s="97"/>
      <c r="E298" s="97">
        <v>27</v>
      </c>
      <c r="F298" s="97" t="s">
        <v>5066</v>
      </c>
      <c r="G298" s="97" t="s">
        <v>5096</v>
      </c>
      <c r="H298" s="97" t="s">
        <v>5204</v>
      </c>
      <c r="I298" s="97" t="s">
        <v>5205</v>
      </c>
      <c r="J298" s="97" t="s">
        <v>5206</v>
      </c>
      <c r="K298" s="97" t="s">
        <v>5207</v>
      </c>
      <c r="L298" s="97"/>
      <c r="M298" s="97"/>
      <c r="N298" s="97"/>
      <c r="O298" s="97"/>
      <c r="P298" s="97"/>
    </row>
    <row r="299" spans="1:16" s="93" customFormat="1" ht="15" customHeight="1" x14ac:dyDescent="0.25">
      <c r="A299" s="97"/>
      <c r="B299" s="97"/>
      <c r="C299" s="97"/>
      <c r="D299" s="97"/>
      <c r="E299" s="97">
        <v>28</v>
      </c>
      <c r="F299" s="97" t="s">
        <v>5067</v>
      </c>
      <c r="G299" s="97" t="s">
        <v>5097</v>
      </c>
      <c r="H299" s="97" t="s">
        <v>5208</v>
      </c>
      <c r="I299" s="97" t="s">
        <v>5209</v>
      </c>
      <c r="J299" s="97" t="s">
        <v>5210</v>
      </c>
      <c r="K299" s="97" t="s">
        <v>5211</v>
      </c>
      <c r="L299" s="97"/>
      <c r="M299" s="97"/>
      <c r="N299" s="97"/>
      <c r="O299" s="97"/>
      <c r="P299" s="97"/>
    </row>
    <row r="300" spans="1:16" s="93" customFormat="1" ht="15" customHeight="1" x14ac:dyDescent="0.25">
      <c r="A300" s="97"/>
      <c r="B300" s="97"/>
      <c r="C300" s="97"/>
      <c r="D300" s="97"/>
      <c r="E300" s="97">
        <v>29</v>
      </c>
      <c r="F300" s="97" t="s">
        <v>5068</v>
      </c>
      <c r="G300" s="97" t="s">
        <v>5098</v>
      </c>
      <c r="H300" s="97" t="s">
        <v>5212</v>
      </c>
      <c r="I300" s="97" t="s">
        <v>5213</v>
      </c>
      <c r="J300" s="97" t="s">
        <v>5214</v>
      </c>
      <c r="K300" s="97" t="s">
        <v>5215</v>
      </c>
      <c r="L300" s="97"/>
      <c r="M300" s="97"/>
      <c r="N300" s="97"/>
      <c r="O300" s="97"/>
      <c r="P300" s="97"/>
    </row>
    <row r="301" spans="1:16" s="93" customFormat="1" ht="15" customHeight="1" x14ac:dyDescent="0.25">
      <c r="A301" s="97"/>
      <c r="B301" s="97"/>
      <c r="C301" s="97"/>
      <c r="D301" s="97"/>
      <c r="E301" s="97">
        <v>30</v>
      </c>
      <c r="F301" s="97" t="s">
        <v>5069</v>
      </c>
      <c r="G301" s="97" t="s">
        <v>5099</v>
      </c>
      <c r="H301" s="97" t="s">
        <v>5216</v>
      </c>
      <c r="I301" s="97" t="s">
        <v>5217</v>
      </c>
      <c r="J301" s="97" t="s">
        <v>5218</v>
      </c>
      <c r="K301" s="97" t="s">
        <v>5219</v>
      </c>
      <c r="L301" s="97"/>
      <c r="M301" s="97"/>
      <c r="N301" s="97"/>
      <c r="O301" s="97"/>
      <c r="P301" s="97"/>
    </row>
    <row r="302" spans="1:16" s="93" customFormat="1" ht="15" customHeight="1" x14ac:dyDescent="0.25">
      <c r="A302" s="98"/>
      <c r="B302" s="98"/>
      <c r="C302" s="98" t="s">
        <v>5369</v>
      </c>
      <c r="D302" s="98" t="s">
        <v>5448</v>
      </c>
      <c r="E302" s="98">
        <v>1</v>
      </c>
      <c r="F302" s="98" t="s">
        <v>5221</v>
      </c>
      <c r="G302" s="98" t="s">
        <v>5070</v>
      </c>
      <c r="H302" s="98" t="s">
        <v>5108</v>
      </c>
      <c r="I302" s="98" t="s">
        <v>5109</v>
      </c>
      <c r="J302" s="98" t="s">
        <v>5110</v>
      </c>
      <c r="K302" s="98" t="s">
        <v>5111</v>
      </c>
    </row>
    <row r="303" spans="1:16" s="93" customFormat="1" ht="15" customHeight="1" x14ac:dyDescent="0.25">
      <c r="A303" s="98"/>
      <c r="B303" s="98"/>
      <c r="C303" s="98"/>
      <c r="D303" s="98" t="s">
        <v>5220</v>
      </c>
      <c r="E303" s="98">
        <v>2</v>
      </c>
      <c r="F303" s="98" t="s">
        <v>5222</v>
      </c>
      <c r="G303" s="98" t="s">
        <v>5071</v>
      </c>
      <c r="H303" s="98" t="s">
        <v>5251</v>
      </c>
      <c r="I303" s="98" t="s">
        <v>5252</v>
      </c>
      <c r="J303" s="98" t="s">
        <v>5253</v>
      </c>
      <c r="K303" s="98" t="s">
        <v>5254</v>
      </c>
    </row>
    <row r="304" spans="1:16" s="93" customFormat="1" ht="15" customHeight="1" x14ac:dyDescent="0.25">
      <c r="A304" s="98"/>
      <c r="B304" s="98"/>
      <c r="C304" s="98"/>
      <c r="D304" s="98"/>
      <c r="E304" s="98">
        <v>3</v>
      </c>
      <c r="F304" s="98" t="s">
        <v>5223</v>
      </c>
      <c r="G304" s="98" t="s">
        <v>5072</v>
      </c>
      <c r="H304" s="98" t="s">
        <v>5255</v>
      </c>
      <c r="I304" s="98" t="s">
        <v>5256</v>
      </c>
      <c r="J304" s="98" t="s">
        <v>5257</v>
      </c>
      <c r="K304" s="98" t="s">
        <v>5258</v>
      </c>
    </row>
    <row r="305" spans="1:11" s="93" customFormat="1" ht="15" customHeight="1" x14ac:dyDescent="0.25">
      <c r="A305" s="98"/>
      <c r="B305" s="98"/>
      <c r="C305" s="98"/>
      <c r="D305" s="98"/>
      <c r="E305" s="98">
        <v>4</v>
      </c>
      <c r="F305" s="98" t="s">
        <v>5224</v>
      </c>
      <c r="G305" s="98" t="s">
        <v>5073</v>
      </c>
      <c r="H305" s="98" t="s">
        <v>5259</v>
      </c>
      <c r="I305" s="98" t="s">
        <v>5260</v>
      </c>
      <c r="J305" s="98" t="s">
        <v>5261</v>
      </c>
      <c r="K305" s="98" t="s">
        <v>5262</v>
      </c>
    </row>
    <row r="306" spans="1:11" s="93" customFormat="1" ht="15" customHeight="1" x14ac:dyDescent="0.25">
      <c r="A306" s="98"/>
      <c r="B306" s="98"/>
      <c r="C306" s="98"/>
      <c r="D306" s="98"/>
      <c r="E306" s="98">
        <v>5</v>
      </c>
      <c r="F306" s="98" t="s">
        <v>5225</v>
      </c>
      <c r="G306" s="98" t="s">
        <v>5074</v>
      </c>
      <c r="H306" s="98" t="s">
        <v>5263</v>
      </c>
      <c r="I306" s="98" t="s">
        <v>5264</v>
      </c>
      <c r="J306" s="98" t="s">
        <v>5265</v>
      </c>
      <c r="K306" s="98" t="s">
        <v>5266</v>
      </c>
    </row>
    <row r="307" spans="1:11" s="93" customFormat="1" ht="15" customHeight="1" x14ac:dyDescent="0.25">
      <c r="A307" s="98"/>
      <c r="B307" s="98"/>
      <c r="C307" s="98"/>
      <c r="D307" s="98"/>
      <c r="E307" s="98">
        <v>6</v>
      </c>
      <c r="F307" s="98" t="s">
        <v>5226</v>
      </c>
      <c r="G307" s="98" t="s">
        <v>5075</v>
      </c>
      <c r="H307" s="98" t="s">
        <v>5267</v>
      </c>
      <c r="I307" s="98" t="s">
        <v>5268</v>
      </c>
      <c r="J307" s="98" t="s">
        <v>5269</v>
      </c>
      <c r="K307" s="98" t="s">
        <v>5270</v>
      </c>
    </row>
    <row r="308" spans="1:11" s="93" customFormat="1" ht="15" customHeight="1" x14ac:dyDescent="0.25">
      <c r="A308" s="98"/>
      <c r="B308" s="98"/>
      <c r="C308" s="98"/>
      <c r="D308" s="98"/>
      <c r="E308" s="98">
        <v>7</v>
      </c>
      <c r="F308" s="98" t="s">
        <v>5227</v>
      </c>
      <c r="G308" s="98" t="s">
        <v>5076</v>
      </c>
      <c r="H308" s="98" t="s">
        <v>5271</v>
      </c>
      <c r="I308" s="98" t="s">
        <v>5272</v>
      </c>
      <c r="J308" s="98" t="s">
        <v>5273</v>
      </c>
      <c r="K308" s="98" t="s">
        <v>5274</v>
      </c>
    </row>
    <row r="309" spans="1:11" s="93" customFormat="1" ht="15" customHeight="1" x14ac:dyDescent="0.25">
      <c r="A309" s="98"/>
      <c r="B309" s="98"/>
      <c r="C309" s="98"/>
      <c r="D309" s="98"/>
      <c r="E309" s="98">
        <v>8</v>
      </c>
      <c r="F309" s="98" t="s">
        <v>5228</v>
      </c>
      <c r="G309" s="98" t="s">
        <v>5077</v>
      </c>
      <c r="H309" s="98" t="s">
        <v>5275</v>
      </c>
      <c r="I309" s="98" t="s">
        <v>5276</v>
      </c>
      <c r="J309" s="98" t="s">
        <v>5277</v>
      </c>
      <c r="K309" s="98" t="s">
        <v>5278</v>
      </c>
    </row>
    <row r="310" spans="1:11" s="93" customFormat="1" ht="15" customHeight="1" x14ac:dyDescent="0.25">
      <c r="A310" s="98"/>
      <c r="B310" s="98"/>
      <c r="C310" s="98"/>
      <c r="D310" s="98"/>
      <c r="E310" s="98">
        <v>9</v>
      </c>
      <c r="F310" s="98" t="s">
        <v>5229</v>
      </c>
      <c r="G310" s="98" t="s">
        <v>5078</v>
      </c>
      <c r="H310" s="98" t="s">
        <v>5279</v>
      </c>
      <c r="I310" s="98" t="s">
        <v>5280</v>
      </c>
      <c r="J310" s="98" t="s">
        <v>5281</v>
      </c>
      <c r="K310" s="98" t="s">
        <v>5282</v>
      </c>
    </row>
    <row r="311" spans="1:11" s="93" customFormat="1" ht="15" customHeight="1" x14ac:dyDescent="0.25">
      <c r="A311" s="98"/>
      <c r="B311" s="98"/>
      <c r="C311" s="98"/>
      <c r="D311" s="98"/>
      <c r="E311" s="98">
        <v>10</v>
      </c>
      <c r="F311" s="98" t="s">
        <v>5230</v>
      </c>
      <c r="G311" s="98" t="s">
        <v>5079</v>
      </c>
      <c r="H311" s="98" t="s">
        <v>5283</v>
      </c>
      <c r="I311" s="98" t="s">
        <v>5284</v>
      </c>
      <c r="J311" s="98" t="s">
        <v>5285</v>
      </c>
      <c r="K311" s="98" t="s">
        <v>5286</v>
      </c>
    </row>
    <row r="312" spans="1:11" s="93" customFormat="1" ht="15" customHeight="1" x14ac:dyDescent="0.25">
      <c r="A312" s="98"/>
      <c r="B312" s="98"/>
      <c r="C312" s="98"/>
      <c r="D312" s="98"/>
      <c r="E312" s="98">
        <v>11</v>
      </c>
      <c r="F312" s="98" t="s">
        <v>5231</v>
      </c>
      <c r="G312" s="98" t="s">
        <v>5080</v>
      </c>
      <c r="H312" s="98" t="s">
        <v>5287</v>
      </c>
      <c r="I312" s="98" t="s">
        <v>5288</v>
      </c>
      <c r="J312" s="98" t="s">
        <v>5289</v>
      </c>
      <c r="K312" s="98" t="s">
        <v>5290</v>
      </c>
    </row>
    <row r="313" spans="1:11" s="93" customFormat="1" ht="15" customHeight="1" x14ac:dyDescent="0.25">
      <c r="A313" s="98"/>
      <c r="B313" s="98"/>
      <c r="C313" s="98"/>
      <c r="D313" s="98"/>
      <c r="E313" s="98">
        <v>12</v>
      </c>
      <c r="F313" s="98" t="s">
        <v>5232</v>
      </c>
      <c r="G313" s="98" t="s">
        <v>5081</v>
      </c>
      <c r="H313" s="98" t="s">
        <v>5291</v>
      </c>
      <c r="I313" s="98" t="s">
        <v>5292</v>
      </c>
      <c r="J313" s="98" t="s">
        <v>5293</v>
      </c>
      <c r="K313" s="98" t="s">
        <v>5294</v>
      </c>
    </row>
    <row r="314" spans="1:11" s="93" customFormat="1" ht="15" customHeight="1" x14ac:dyDescent="0.25">
      <c r="A314" s="98"/>
      <c r="B314" s="98"/>
      <c r="C314" s="98"/>
      <c r="D314" s="98"/>
      <c r="E314" s="98">
        <v>13</v>
      </c>
      <c r="F314" s="98" t="s">
        <v>5233</v>
      </c>
      <c r="G314" s="98" t="s">
        <v>5082</v>
      </c>
      <c r="H314" s="98" t="s">
        <v>5295</v>
      </c>
      <c r="I314" s="98" t="s">
        <v>5296</v>
      </c>
      <c r="J314" s="98" t="s">
        <v>5297</v>
      </c>
      <c r="K314" s="98" t="s">
        <v>5298</v>
      </c>
    </row>
    <row r="315" spans="1:11" s="93" customFormat="1" ht="15" customHeight="1" x14ac:dyDescent="0.25">
      <c r="A315" s="98"/>
      <c r="B315" s="98"/>
      <c r="C315" s="98"/>
      <c r="D315" s="98"/>
      <c r="E315" s="98">
        <v>14</v>
      </c>
      <c r="F315" s="98" t="s">
        <v>5234</v>
      </c>
      <c r="G315" s="98" t="s">
        <v>5083</v>
      </c>
      <c r="H315" s="98" t="s">
        <v>5299</v>
      </c>
      <c r="I315" s="98" t="s">
        <v>5300</v>
      </c>
      <c r="J315" s="98" t="s">
        <v>5301</v>
      </c>
      <c r="K315" s="98" t="s">
        <v>5302</v>
      </c>
    </row>
    <row r="316" spans="1:11" s="93" customFormat="1" ht="15" customHeight="1" x14ac:dyDescent="0.25">
      <c r="A316" s="98"/>
      <c r="B316" s="98"/>
      <c r="C316" s="98"/>
      <c r="D316" s="98"/>
      <c r="E316" s="98">
        <v>15</v>
      </c>
      <c r="F316" s="98" t="s">
        <v>5235</v>
      </c>
      <c r="G316" s="98" t="s">
        <v>5084</v>
      </c>
      <c r="H316" s="98" t="s">
        <v>5303</v>
      </c>
      <c r="I316" s="98" t="s">
        <v>5304</v>
      </c>
      <c r="J316" s="98" t="s">
        <v>5305</v>
      </c>
      <c r="K316" s="98" t="s">
        <v>5306</v>
      </c>
    </row>
    <row r="317" spans="1:11" s="93" customFormat="1" ht="15" customHeight="1" x14ac:dyDescent="0.25">
      <c r="A317" s="98"/>
      <c r="B317" s="98"/>
      <c r="C317" s="98"/>
      <c r="D317" s="98"/>
      <c r="E317" s="98">
        <v>16</v>
      </c>
      <c r="F317" s="98" t="s">
        <v>5236</v>
      </c>
      <c r="G317" s="98" t="s">
        <v>5085</v>
      </c>
      <c r="H317" s="98" t="s">
        <v>5307</v>
      </c>
      <c r="I317" s="98" t="s">
        <v>5308</v>
      </c>
      <c r="J317" s="98" t="s">
        <v>5309</v>
      </c>
      <c r="K317" s="98" t="s">
        <v>5310</v>
      </c>
    </row>
    <row r="318" spans="1:11" s="93" customFormat="1" ht="15" customHeight="1" x14ac:dyDescent="0.25">
      <c r="A318" s="98"/>
      <c r="B318" s="98"/>
      <c r="C318" s="98"/>
      <c r="D318" s="98"/>
      <c r="E318" s="98">
        <v>17</v>
      </c>
      <c r="F318" s="98" t="s">
        <v>5237</v>
      </c>
      <c r="G318" s="98" t="s">
        <v>5086</v>
      </c>
      <c r="H318" s="98" t="s">
        <v>5311</v>
      </c>
      <c r="I318" s="98" t="s">
        <v>5312</v>
      </c>
      <c r="J318" s="98" t="s">
        <v>5313</v>
      </c>
      <c r="K318" s="98" t="s">
        <v>5314</v>
      </c>
    </row>
    <row r="319" spans="1:11" s="93" customFormat="1" ht="15" customHeight="1" x14ac:dyDescent="0.25">
      <c r="A319" s="98"/>
      <c r="B319" s="98"/>
      <c r="C319" s="98"/>
      <c r="D319" s="98"/>
      <c r="E319" s="98">
        <v>18</v>
      </c>
      <c r="F319" s="98" t="s">
        <v>5238</v>
      </c>
      <c r="G319" s="98" t="s">
        <v>5087</v>
      </c>
      <c r="H319" s="98" t="s">
        <v>5315</v>
      </c>
      <c r="I319" s="98" t="s">
        <v>5316</v>
      </c>
      <c r="J319" s="98" t="s">
        <v>5317</v>
      </c>
      <c r="K319" s="98" t="s">
        <v>5318</v>
      </c>
    </row>
    <row r="320" spans="1:11" s="93" customFormat="1" ht="15" customHeight="1" x14ac:dyDescent="0.25">
      <c r="A320" s="98"/>
      <c r="B320" s="98"/>
      <c r="C320" s="98"/>
      <c r="D320" s="98"/>
      <c r="E320" s="98">
        <v>19</v>
      </c>
      <c r="F320" s="98" t="s">
        <v>5239</v>
      </c>
      <c r="G320" s="98" t="s">
        <v>5088</v>
      </c>
      <c r="H320" s="98" t="s">
        <v>5319</v>
      </c>
      <c r="I320" s="98" t="s">
        <v>5320</v>
      </c>
      <c r="J320" s="98" t="s">
        <v>5321</v>
      </c>
      <c r="K320" s="98" t="s">
        <v>5322</v>
      </c>
    </row>
    <row r="321" spans="1:11" s="93" customFormat="1" ht="15" customHeight="1" x14ac:dyDescent="0.25">
      <c r="A321" s="98"/>
      <c r="B321" s="98"/>
      <c r="C321" s="98"/>
      <c r="D321" s="98"/>
      <c r="E321" s="98">
        <v>20</v>
      </c>
      <c r="F321" s="98" t="s">
        <v>5240</v>
      </c>
      <c r="G321" s="98" t="s">
        <v>5089</v>
      </c>
      <c r="H321" s="98" t="s">
        <v>5323</v>
      </c>
      <c r="I321" s="98" t="s">
        <v>5324</v>
      </c>
      <c r="J321" s="98" t="s">
        <v>5325</v>
      </c>
      <c r="K321" s="98" t="s">
        <v>5326</v>
      </c>
    </row>
    <row r="322" spans="1:11" s="93" customFormat="1" ht="15" customHeight="1" x14ac:dyDescent="0.25">
      <c r="A322" s="98"/>
      <c r="B322" s="98"/>
      <c r="C322" s="98"/>
      <c r="D322" s="98"/>
      <c r="E322" s="98">
        <v>21</v>
      </c>
      <c r="F322" s="98" t="s">
        <v>5241</v>
      </c>
      <c r="G322" s="98" t="s">
        <v>5090</v>
      </c>
      <c r="H322" s="98" t="s">
        <v>5327</v>
      </c>
      <c r="I322" s="98" t="s">
        <v>5328</v>
      </c>
      <c r="J322" s="98" t="s">
        <v>5329</v>
      </c>
      <c r="K322" s="98" t="s">
        <v>5330</v>
      </c>
    </row>
    <row r="323" spans="1:11" s="93" customFormat="1" ht="15" customHeight="1" x14ac:dyDescent="0.25">
      <c r="A323" s="98"/>
      <c r="B323" s="98"/>
      <c r="C323" s="98"/>
      <c r="D323" s="98"/>
      <c r="E323" s="98">
        <v>22</v>
      </c>
      <c r="F323" s="98" t="s">
        <v>5242</v>
      </c>
      <c r="G323" s="98" t="s">
        <v>5091</v>
      </c>
      <c r="H323" s="98" t="s">
        <v>5331</v>
      </c>
      <c r="I323" s="98" t="s">
        <v>5332</v>
      </c>
      <c r="J323" s="98" t="s">
        <v>5333</v>
      </c>
      <c r="K323" s="98" t="s">
        <v>5334</v>
      </c>
    </row>
    <row r="324" spans="1:11" s="93" customFormat="1" ht="15" customHeight="1" x14ac:dyDescent="0.25">
      <c r="A324" s="98"/>
      <c r="B324" s="98"/>
      <c r="C324" s="98"/>
      <c r="D324" s="98"/>
      <c r="E324" s="98">
        <v>23</v>
      </c>
      <c r="F324" s="98" t="s">
        <v>5243</v>
      </c>
      <c r="G324" s="98" t="s">
        <v>5092</v>
      </c>
      <c r="H324" s="98" t="s">
        <v>5335</v>
      </c>
      <c r="I324" s="98" t="s">
        <v>5336</v>
      </c>
      <c r="J324" s="98" t="s">
        <v>5337</v>
      </c>
      <c r="K324" s="98" t="s">
        <v>5338</v>
      </c>
    </row>
    <row r="325" spans="1:11" s="93" customFormat="1" ht="15" customHeight="1" x14ac:dyDescent="0.25">
      <c r="A325" s="98"/>
      <c r="B325" s="98"/>
      <c r="C325" s="98"/>
      <c r="D325" s="98"/>
      <c r="E325" s="98">
        <v>24</v>
      </c>
      <c r="F325" s="98" t="s">
        <v>5244</v>
      </c>
      <c r="G325" s="98" t="s">
        <v>5093</v>
      </c>
      <c r="H325" s="98" t="s">
        <v>5339</v>
      </c>
      <c r="I325" s="98" t="s">
        <v>5340</v>
      </c>
      <c r="J325" s="98" t="s">
        <v>5341</v>
      </c>
      <c r="K325" s="98" t="s">
        <v>5342</v>
      </c>
    </row>
    <row r="326" spans="1:11" s="93" customFormat="1" ht="15" customHeight="1" x14ac:dyDescent="0.25">
      <c r="A326" s="98"/>
      <c r="B326" s="98"/>
      <c r="C326" s="98"/>
      <c r="D326" s="98"/>
      <c r="E326" s="98">
        <v>25</v>
      </c>
      <c r="F326" s="98" t="s">
        <v>5245</v>
      </c>
      <c r="G326" s="98" t="s">
        <v>5094</v>
      </c>
      <c r="H326" s="98" t="s">
        <v>5343</v>
      </c>
      <c r="I326" s="98" t="s">
        <v>5344</v>
      </c>
      <c r="J326" s="98" t="s">
        <v>5345</v>
      </c>
      <c r="K326" s="98" t="s">
        <v>5346</v>
      </c>
    </row>
    <row r="327" spans="1:11" s="93" customFormat="1" ht="15" customHeight="1" x14ac:dyDescent="0.25">
      <c r="A327" s="98"/>
      <c r="B327" s="98"/>
      <c r="C327" s="98"/>
      <c r="D327" s="98"/>
      <c r="E327" s="98">
        <v>26</v>
      </c>
      <c r="F327" s="98" t="s">
        <v>5246</v>
      </c>
      <c r="G327" s="98" t="s">
        <v>5095</v>
      </c>
      <c r="H327" s="98" t="s">
        <v>5347</v>
      </c>
      <c r="I327" s="98" t="s">
        <v>5348</v>
      </c>
      <c r="J327" s="98" t="s">
        <v>5349</v>
      </c>
      <c r="K327" s="98" t="s">
        <v>5350</v>
      </c>
    </row>
    <row r="328" spans="1:11" s="93" customFormat="1" ht="15" customHeight="1" x14ac:dyDescent="0.25">
      <c r="A328" s="98"/>
      <c r="B328" s="98"/>
      <c r="C328" s="98"/>
      <c r="D328" s="98"/>
      <c r="E328" s="98">
        <v>27</v>
      </c>
      <c r="F328" s="98" t="s">
        <v>5247</v>
      </c>
      <c r="G328" s="98" t="s">
        <v>5096</v>
      </c>
      <c r="H328" s="98" t="s">
        <v>5351</v>
      </c>
      <c r="I328" s="98" t="s">
        <v>5352</v>
      </c>
      <c r="J328" s="98" t="s">
        <v>5353</v>
      </c>
      <c r="K328" s="98" t="s">
        <v>5354</v>
      </c>
    </row>
    <row r="329" spans="1:11" s="93" customFormat="1" ht="15" customHeight="1" x14ac:dyDescent="0.25">
      <c r="A329" s="98"/>
      <c r="B329" s="98"/>
      <c r="C329" s="98"/>
      <c r="D329" s="98"/>
      <c r="E329" s="98">
        <v>28</v>
      </c>
      <c r="F329" s="98" t="s">
        <v>5248</v>
      </c>
      <c r="G329" s="98" t="s">
        <v>5097</v>
      </c>
      <c r="H329" s="98" t="s">
        <v>5355</v>
      </c>
      <c r="I329" s="98" t="s">
        <v>5356</v>
      </c>
      <c r="J329" s="98" t="s">
        <v>5357</v>
      </c>
      <c r="K329" s="98" t="s">
        <v>5358</v>
      </c>
    </row>
    <row r="330" spans="1:11" s="93" customFormat="1" ht="15" customHeight="1" x14ac:dyDescent="0.25">
      <c r="A330" s="98"/>
      <c r="B330" s="98"/>
      <c r="C330" s="98"/>
      <c r="D330" s="98"/>
      <c r="E330" s="98">
        <v>29</v>
      </c>
      <c r="F330" s="98" t="s">
        <v>5249</v>
      </c>
      <c r="G330" s="98" t="s">
        <v>5098</v>
      </c>
      <c r="H330" s="98" t="s">
        <v>5359</v>
      </c>
      <c r="I330" s="98" t="s">
        <v>5360</v>
      </c>
      <c r="J330" s="98" t="s">
        <v>5361</v>
      </c>
      <c r="K330" s="98" t="s">
        <v>5362</v>
      </c>
    </row>
    <row r="331" spans="1:11" s="93" customFormat="1" ht="15" customHeight="1" x14ac:dyDescent="0.25">
      <c r="A331" s="98"/>
      <c r="B331" s="98"/>
      <c r="C331" s="98"/>
      <c r="D331" s="98"/>
      <c r="E331" s="98">
        <v>30</v>
      </c>
      <c r="F331" s="98" t="s">
        <v>5250</v>
      </c>
      <c r="G331" s="98" t="s">
        <v>5099</v>
      </c>
      <c r="H331" s="98" t="s">
        <v>5363</v>
      </c>
      <c r="I331" s="98" t="s">
        <v>5364</v>
      </c>
      <c r="J331" s="98" t="s">
        <v>5365</v>
      </c>
      <c r="K331" s="98" t="s">
        <v>5366</v>
      </c>
    </row>
    <row r="332" spans="1:11" s="93" customFormat="1" ht="15" customHeight="1" x14ac:dyDescent="0.25">
      <c r="A332" s="99"/>
      <c r="B332" s="99"/>
      <c r="C332" s="99" t="s">
        <v>5368</v>
      </c>
      <c r="D332" s="99" t="s">
        <v>5450</v>
      </c>
      <c r="E332" s="99">
        <v>1</v>
      </c>
      <c r="F332" s="99" t="s">
        <v>5222</v>
      </c>
      <c r="G332" s="99" t="s">
        <v>5420</v>
      </c>
      <c r="H332" s="99" t="s">
        <v>5251</v>
      </c>
      <c r="I332" s="99" t="s">
        <v>5252</v>
      </c>
      <c r="J332" s="99" t="s">
        <v>5253</v>
      </c>
      <c r="K332" s="99" t="s">
        <v>5254</v>
      </c>
    </row>
    <row r="333" spans="1:11" s="93" customFormat="1" ht="15" customHeight="1" x14ac:dyDescent="0.25">
      <c r="A333" s="99"/>
      <c r="B333" s="99"/>
      <c r="C333" s="99"/>
      <c r="D333" s="99" t="s">
        <v>5220</v>
      </c>
      <c r="E333" s="99">
        <v>2</v>
      </c>
      <c r="F333" s="99" t="s">
        <v>5408</v>
      </c>
      <c r="G333" s="99" t="s">
        <v>4739</v>
      </c>
      <c r="H333" s="99" t="s">
        <v>5104</v>
      </c>
      <c r="I333" s="99" t="s">
        <v>5105</v>
      </c>
      <c r="J333" s="99" t="s">
        <v>5106</v>
      </c>
      <c r="K333" s="99" t="s">
        <v>5107</v>
      </c>
    </row>
    <row r="334" spans="1:11" s="93" customFormat="1" ht="15" customHeight="1" x14ac:dyDescent="0.25">
      <c r="A334" s="99"/>
      <c r="B334" s="99"/>
      <c r="C334" s="99"/>
      <c r="D334" s="99"/>
      <c r="E334" s="99">
        <v>3</v>
      </c>
      <c r="F334" s="99" t="s">
        <v>5224</v>
      </c>
      <c r="G334" s="99" t="s">
        <v>5421</v>
      </c>
      <c r="H334" s="99" t="s">
        <v>5259</v>
      </c>
      <c r="I334" s="99" t="s">
        <v>5260</v>
      </c>
      <c r="J334" s="99" t="s">
        <v>5261</v>
      </c>
      <c r="K334" s="99" t="s">
        <v>5262</v>
      </c>
    </row>
    <row r="335" spans="1:11" s="93" customFormat="1" ht="15" customHeight="1" x14ac:dyDescent="0.25">
      <c r="A335" s="99"/>
      <c r="B335" s="99"/>
      <c r="C335" s="99"/>
      <c r="D335" s="99"/>
      <c r="E335" s="99">
        <v>4</v>
      </c>
      <c r="F335" s="99" t="s">
        <v>5409</v>
      </c>
      <c r="G335" s="99" t="s">
        <v>5422</v>
      </c>
      <c r="H335" s="99" t="s">
        <v>5112</v>
      </c>
      <c r="I335" s="99" t="s">
        <v>5113</v>
      </c>
      <c r="J335" s="99" t="s">
        <v>5114</v>
      </c>
      <c r="K335" s="99" t="s">
        <v>5115</v>
      </c>
    </row>
    <row r="336" spans="1:11" s="93" customFormat="1" ht="15" customHeight="1" x14ac:dyDescent="0.25">
      <c r="A336" s="99"/>
      <c r="B336" s="99"/>
      <c r="C336" s="99"/>
      <c r="D336" s="99"/>
      <c r="E336" s="99">
        <v>5</v>
      </c>
      <c r="F336" s="99" t="s">
        <v>5226</v>
      </c>
      <c r="G336" s="99" t="s">
        <v>5423</v>
      </c>
      <c r="H336" s="99" t="s">
        <v>5267</v>
      </c>
      <c r="I336" s="99" t="s">
        <v>5268</v>
      </c>
      <c r="J336" s="99" t="s">
        <v>5269</v>
      </c>
      <c r="K336" s="99" t="s">
        <v>5270</v>
      </c>
    </row>
    <row r="337" spans="1:11" s="93" customFormat="1" ht="15" customHeight="1" x14ac:dyDescent="0.25">
      <c r="A337" s="99"/>
      <c r="B337" s="99"/>
      <c r="C337" s="99"/>
      <c r="D337" s="99"/>
      <c r="E337" s="99">
        <v>6</v>
      </c>
      <c r="F337" s="99" t="s">
        <v>5046</v>
      </c>
      <c r="G337" s="99" t="s">
        <v>4739</v>
      </c>
      <c r="H337" s="99" t="s">
        <v>5120</v>
      </c>
      <c r="I337" s="99" t="s">
        <v>5121</v>
      </c>
      <c r="J337" s="99" t="s">
        <v>5122</v>
      </c>
      <c r="K337" s="99" t="s">
        <v>5123</v>
      </c>
    </row>
    <row r="338" spans="1:11" s="93" customFormat="1" ht="15" customHeight="1" x14ac:dyDescent="0.25">
      <c r="A338" s="99"/>
      <c r="B338" s="99"/>
      <c r="C338" s="99"/>
      <c r="D338" s="99"/>
      <c r="E338" s="99">
        <v>7</v>
      </c>
      <c r="F338" s="99" t="s">
        <v>5228</v>
      </c>
      <c r="G338" s="99" t="s">
        <v>5424</v>
      </c>
      <c r="H338" s="99" t="s">
        <v>5275</v>
      </c>
      <c r="I338" s="99" t="s">
        <v>5276</v>
      </c>
      <c r="J338" s="99" t="s">
        <v>5277</v>
      </c>
      <c r="K338" s="99" t="s">
        <v>5278</v>
      </c>
    </row>
    <row r="339" spans="1:11" s="93" customFormat="1" ht="15" customHeight="1" x14ac:dyDescent="0.25">
      <c r="A339" s="99"/>
      <c r="B339" s="99"/>
      <c r="C339" s="99"/>
      <c r="D339" s="99"/>
      <c r="E339" s="99">
        <v>8</v>
      </c>
      <c r="F339" s="99" t="s">
        <v>5048</v>
      </c>
      <c r="G339" s="99" t="s">
        <v>5425</v>
      </c>
      <c r="H339" s="99" t="s">
        <v>5128</v>
      </c>
      <c r="I339" s="99" t="s">
        <v>5129</v>
      </c>
      <c r="J339" s="99" t="s">
        <v>5130</v>
      </c>
      <c r="K339" s="99" t="s">
        <v>5131</v>
      </c>
    </row>
    <row r="340" spans="1:11" s="93" customFormat="1" ht="15" customHeight="1" x14ac:dyDescent="0.25">
      <c r="A340" s="99"/>
      <c r="B340" s="99"/>
      <c r="C340" s="99"/>
      <c r="D340" s="99"/>
      <c r="E340" s="99">
        <v>9</v>
      </c>
      <c r="F340" s="99" t="s">
        <v>5229</v>
      </c>
      <c r="G340" s="99" t="s">
        <v>5426</v>
      </c>
      <c r="H340" s="99" t="s">
        <v>5279</v>
      </c>
      <c r="I340" s="99" t="s">
        <v>5280</v>
      </c>
      <c r="J340" s="99" t="s">
        <v>5281</v>
      </c>
      <c r="K340" s="99" t="s">
        <v>5282</v>
      </c>
    </row>
    <row r="341" spans="1:11" s="93" customFormat="1" ht="15" customHeight="1" x14ac:dyDescent="0.25">
      <c r="A341" s="99"/>
      <c r="B341" s="99"/>
      <c r="C341" s="99"/>
      <c r="D341" s="99"/>
      <c r="E341" s="99">
        <v>10</v>
      </c>
      <c r="F341" s="99" t="s">
        <v>5049</v>
      </c>
      <c r="G341" s="99" t="s">
        <v>4739</v>
      </c>
      <c r="H341" s="99" t="s">
        <v>5132</v>
      </c>
      <c r="I341" s="99" t="s">
        <v>5133</v>
      </c>
      <c r="J341" s="99" t="s">
        <v>5134</v>
      </c>
      <c r="K341" s="99" t="s">
        <v>5135</v>
      </c>
    </row>
    <row r="342" spans="1:11" s="93" customFormat="1" ht="15" customHeight="1" x14ac:dyDescent="0.25">
      <c r="A342" s="99"/>
      <c r="B342" s="99"/>
      <c r="C342" s="99"/>
      <c r="D342" s="99"/>
      <c r="E342" s="99">
        <v>11</v>
      </c>
      <c r="F342" s="99" t="s">
        <v>5232</v>
      </c>
      <c r="G342" s="99" t="s">
        <v>5427</v>
      </c>
      <c r="H342" s="99" t="s">
        <v>5291</v>
      </c>
      <c r="I342" s="99" t="s">
        <v>5292</v>
      </c>
      <c r="J342" s="99" t="s">
        <v>5293</v>
      </c>
      <c r="K342" s="99" t="s">
        <v>5294</v>
      </c>
    </row>
    <row r="343" spans="1:11" s="93" customFormat="1" ht="15" customHeight="1" x14ac:dyDescent="0.25">
      <c r="A343" s="99"/>
      <c r="B343" s="99"/>
      <c r="C343" s="99"/>
      <c r="D343" s="99"/>
      <c r="E343" s="99">
        <v>12</v>
      </c>
      <c r="F343" s="99" t="s">
        <v>5410</v>
      </c>
      <c r="G343" s="99" t="s">
        <v>5428</v>
      </c>
      <c r="H343" s="99" t="s">
        <v>5144</v>
      </c>
      <c r="I343" s="99" t="s">
        <v>5145</v>
      </c>
      <c r="J343" s="99" t="s">
        <v>5146</v>
      </c>
      <c r="K343" s="99" t="s">
        <v>5444</v>
      </c>
    </row>
    <row r="344" spans="1:11" s="93" customFormat="1" ht="15" customHeight="1" x14ac:dyDescent="0.25">
      <c r="A344" s="99"/>
      <c r="B344" s="99"/>
      <c r="C344" s="99"/>
      <c r="D344" s="99"/>
      <c r="E344" s="99">
        <v>13</v>
      </c>
      <c r="F344" s="99" t="s">
        <v>5411</v>
      </c>
      <c r="G344" s="99" t="s">
        <v>5429</v>
      </c>
      <c r="H344" s="99" t="s">
        <v>5299</v>
      </c>
      <c r="I344" s="99" t="s">
        <v>5300</v>
      </c>
      <c r="J344" s="99" t="s">
        <v>5301</v>
      </c>
      <c r="K344" s="99" t="s">
        <v>5302</v>
      </c>
    </row>
    <row r="345" spans="1:11" s="93" customFormat="1" ht="15" customHeight="1" x14ac:dyDescent="0.25">
      <c r="A345" s="99"/>
      <c r="B345" s="99"/>
      <c r="C345" s="99"/>
      <c r="D345" s="99"/>
      <c r="E345" s="99">
        <v>14</v>
      </c>
      <c r="F345" s="99" t="s">
        <v>5054</v>
      </c>
      <c r="G345" s="99" t="s">
        <v>5430</v>
      </c>
      <c r="H345" s="99" t="s">
        <v>5152</v>
      </c>
      <c r="I345" s="99" t="s">
        <v>5153</v>
      </c>
      <c r="J345" s="99" t="s">
        <v>5154</v>
      </c>
      <c r="K345" s="99" t="s">
        <v>5445</v>
      </c>
    </row>
    <row r="346" spans="1:11" s="93" customFormat="1" ht="15" customHeight="1" x14ac:dyDescent="0.25">
      <c r="A346" s="99"/>
      <c r="B346" s="99"/>
      <c r="C346" s="99"/>
      <c r="D346" s="99"/>
      <c r="E346" s="99">
        <v>15</v>
      </c>
      <c r="F346" s="99" t="s">
        <v>5412</v>
      </c>
      <c r="G346" s="99" t="s">
        <v>5431</v>
      </c>
      <c r="H346" s="99" t="s">
        <v>5307</v>
      </c>
      <c r="I346" s="99" t="s">
        <v>5308</v>
      </c>
      <c r="J346" s="99" t="s">
        <v>5309</v>
      </c>
      <c r="K346" s="99" t="s">
        <v>5310</v>
      </c>
    </row>
    <row r="347" spans="1:11" s="93" customFormat="1" ht="15" customHeight="1" x14ac:dyDescent="0.25">
      <c r="A347" s="99"/>
      <c r="B347" s="99"/>
      <c r="C347" s="99"/>
      <c r="D347" s="99"/>
      <c r="E347" s="99">
        <v>16</v>
      </c>
      <c r="F347" s="99" t="s">
        <v>5056</v>
      </c>
      <c r="G347" s="99" t="s">
        <v>5432</v>
      </c>
      <c r="H347" s="99" t="s">
        <v>5160</v>
      </c>
      <c r="I347" s="99" t="s">
        <v>5161</v>
      </c>
      <c r="J347" s="99" t="s">
        <v>5162</v>
      </c>
      <c r="K347" s="99" t="s">
        <v>5163</v>
      </c>
    </row>
    <row r="348" spans="1:11" s="93" customFormat="1" ht="15" customHeight="1" x14ac:dyDescent="0.25">
      <c r="A348" s="99"/>
      <c r="B348" s="99"/>
      <c r="C348" s="99"/>
      <c r="D348" s="99"/>
      <c r="E348" s="99">
        <v>17</v>
      </c>
      <c r="F348" s="99" t="s">
        <v>5239</v>
      </c>
      <c r="G348" s="99" t="s">
        <v>5433</v>
      </c>
      <c r="H348" s="99" t="s">
        <v>5319</v>
      </c>
      <c r="I348" s="99" t="s">
        <v>5320</v>
      </c>
      <c r="J348" s="99" t="s">
        <v>5321</v>
      </c>
      <c r="K348" s="99" t="s">
        <v>5322</v>
      </c>
    </row>
    <row r="349" spans="1:11" s="93" customFormat="1" ht="15" customHeight="1" x14ac:dyDescent="0.25">
      <c r="A349" s="99"/>
      <c r="B349" s="99"/>
      <c r="C349" s="99"/>
      <c r="D349" s="99"/>
      <c r="E349" s="99">
        <v>18</v>
      </c>
      <c r="F349" s="99" t="s">
        <v>5059</v>
      </c>
      <c r="G349" s="99" t="s">
        <v>5434</v>
      </c>
      <c r="H349" s="99" t="s">
        <v>5172</v>
      </c>
      <c r="I349" s="99" t="s">
        <v>5173</v>
      </c>
      <c r="J349" s="99" t="s">
        <v>5174</v>
      </c>
      <c r="K349" s="99" t="s">
        <v>5175</v>
      </c>
    </row>
    <row r="350" spans="1:11" s="93" customFormat="1" ht="15" customHeight="1" x14ac:dyDescent="0.25">
      <c r="A350" s="99"/>
      <c r="B350" s="99"/>
      <c r="C350" s="99"/>
      <c r="D350" s="99"/>
      <c r="E350" s="99">
        <v>19</v>
      </c>
      <c r="F350" s="99" t="s">
        <v>5240</v>
      </c>
      <c r="G350" s="99" t="s">
        <v>5435</v>
      </c>
      <c r="H350" s="99" t="s">
        <v>5323</v>
      </c>
      <c r="I350" s="99" t="s">
        <v>5324</v>
      </c>
      <c r="J350" s="99" t="s">
        <v>5325</v>
      </c>
      <c r="K350" s="99" t="s">
        <v>5326</v>
      </c>
    </row>
    <row r="351" spans="1:11" s="93" customFormat="1" ht="15" customHeight="1" x14ac:dyDescent="0.25">
      <c r="A351" s="99"/>
      <c r="B351" s="99"/>
      <c r="C351" s="99"/>
      <c r="D351" s="99"/>
      <c r="E351" s="99">
        <v>20</v>
      </c>
      <c r="F351" s="99" t="s">
        <v>5060</v>
      </c>
      <c r="G351" s="99" t="s">
        <v>5436</v>
      </c>
      <c r="H351" s="99" t="s">
        <v>5176</v>
      </c>
      <c r="I351" s="99" t="s">
        <v>5177</v>
      </c>
      <c r="J351" s="99" t="s">
        <v>5178</v>
      </c>
      <c r="K351" s="99" t="s">
        <v>5179</v>
      </c>
    </row>
    <row r="352" spans="1:11" s="93" customFormat="1" ht="15" customHeight="1" x14ac:dyDescent="0.25">
      <c r="A352" s="99"/>
      <c r="B352" s="99"/>
      <c r="C352" s="99"/>
      <c r="D352" s="99"/>
      <c r="E352" s="99">
        <v>21</v>
      </c>
      <c r="F352" s="99" t="s">
        <v>5413</v>
      </c>
      <c r="G352" s="99" t="s">
        <v>4739</v>
      </c>
      <c r="H352" s="99" t="s">
        <v>5331</v>
      </c>
      <c r="I352" s="99" t="s">
        <v>5332</v>
      </c>
      <c r="J352" s="99" t="s">
        <v>5333</v>
      </c>
      <c r="K352" s="99" t="s">
        <v>5334</v>
      </c>
    </row>
    <row r="353" spans="1:11" s="93" customFormat="1" ht="15" customHeight="1" x14ac:dyDescent="0.25">
      <c r="A353" s="99"/>
      <c r="B353" s="99"/>
      <c r="C353" s="99"/>
      <c r="D353" s="99"/>
      <c r="E353" s="99">
        <v>22</v>
      </c>
      <c r="F353" s="99" t="s">
        <v>5468</v>
      </c>
      <c r="G353" s="99" t="s">
        <v>4739</v>
      </c>
      <c r="H353" s="99" t="s">
        <v>5184</v>
      </c>
      <c r="I353" s="99" t="s">
        <v>5185</v>
      </c>
      <c r="J353" s="99" t="s">
        <v>5186</v>
      </c>
      <c r="K353" s="99" t="s">
        <v>5187</v>
      </c>
    </row>
    <row r="354" spans="1:11" s="93" customFormat="1" ht="15" customHeight="1" x14ac:dyDescent="0.25">
      <c r="A354" s="99"/>
      <c r="B354" s="99"/>
      <c r="C354" s="99"/>
      <c r="D354" s="99"/>
      <c r="E354" s="99">
        <v>23</v>
      </c>
      <c r="F354" s="99" t="s">
        <v>5244</v>
      </c>
      <c r="G354" s="99" t="s">
        <v>5437</v>
      </c>
      <c r="H354" s="99" t="s">
        <v>5339</v>
      </c>
      <c r="I354" s="99" t="s">
        <v>5340</v>
      </c>
      <c r="J354" s="99" t="s">
        <v>5341</v>
      </c>
      <c r="K354" s="99" t="s">
        <v>5446</v>
      </c>
    </row>
    <row r="355" spans="1:11" s="93" customFormat="1" ht="15" customHeight="1" x14ac:dyDescent="0.25">
      <c r="A355" s="99"/>
      <c r="B355" s="99"/>
      <c r="C355" s="99"/>
      <c r="D355" s="99"/>
      <c r="E355" s="99">
        <v>24</v>
      </c>
      <c r="F355" s="99" t="s">
        <v>5414</v>
      </c>
      <c r="G355" s="99" t="s">
        <v>5438</v>
      </c>
      <c r="H355" s="99" t="s">
        <v>5192</v>
      </c>
      <c r="I355" s="99" t="s">
        <v>5193</v>
      </c>
      <c r="J355" s="99" t="s">
        <v>5194</v>
      </c>
      <c r="K355" s="99" t="s">
        <v>5195</v>
      </c>
    </row>
    <row r="356" spans="1:11" s="93" customFormat="1" ht="15" customHeight="1" x14ac:dyDescent="0.25">
      <c r="A356" s="99"/>
      <c r="B356" s="99"/>
      <c r="C356" s="99"/>
      <c r="D356" s="99"/>
      <c r="E356" s="99">
        <v>25</v>
      </c>
      <c r="F356" s="99" t="s">
        <v>5415</v>
      </c>
      <c r="G356" s="99" t="s">
        <v>5439</v>
      </c>
      <c r="H356" s="99" t="s">
        <v>5347</v>
      </c>
      <c r="I356" s="99" t="s">
        <v>5348</v>
      </c>
      <c r="J356" s="99" t="s">
        <v>5349</v>
      </c>
      <c r="K356" s="99" t="s">
        <v>5350</v>
      </c>
    </row>
    <row r="357" spans="1:11" s="93" customFormat="1" ht="15" customHeight="1" x14ac:dyDescent="0.25">
      <c r="A357" s="99"/>
      <c r="B357" s="99"/>
      <c r="C357" s="99"/>
      <c r="D357" s="99"/>
      <c r="E357" s="99">
        <v>26</v>
      </c>
      <c r="F357" s="99" t="s">
        <v>5416</v>
      </c>
      <c r="G357" s="99" t="s">
        <v>5440</v>
      </c>
      <c r="H357" s="99" t="s">
        <v>5200</v>
      </c>
      <c r="I357" s="99" t="s">
        <v>5201</v>
      </c>
      <c r="J357" s="99" t="s">
        <v>5202</v>
      </c>
      <c r="K357" s="99" t="s">
        <v>5203</v>
      </c>
    </row>
    <row r="358" spans="1:11" s="93" customFormat="1" ht="15" customHeight="1" x14ac:dyDescent="0.25">
      <c r="A358" s="99"/>
      <c r="B358" s="99"/>
      <c r="C358" s="99"/>
      <c r="D358" s="99"/>
      <c r="E358" s="99">
        <v>27</v>
      </c>
      <c r="F358" s="99" t="s">
        <v>5417</v>
      </c>
      <c r="G358" s="99" t="s">
        <v>5441</v>
      </c>
      <c r="H358" s="99" t="s">
        <v>5355</v>
      </c>
      <c r="I358" s="99" t="s">
        <v>5356</v>
      </c>
      <c r="J358" s="99" t="s">
        <v>5357</v>
      </c>
      <c r="K358" s="99" t="s">
        <v>5447</v>
      </c>
    </row>
    <row r="359" spans="1:11" s="93" customFormat="1" ht="15" customHeight="1" x14ac:dyDescent="0.25">
      <c r="A359" s="99"/>
      <c r="B359" s="99"/>
      <c r="C359" s="99"/>
      <c r="D359" s="99"/>
      <c r="E359" s="99">
        <v>28</v>
      </c>
      <c r="F359" s="99" t="s">
        <v>5418</v>
      </c>
      <c r="G359" s="99" t="s">
        <v>5442</v>
      </c>
      <c r="H359" s="99" t="s">
        <v>5208</v>
      </c>
      <c r="I359" s="99" t="s">
        <v>5209</v>
      </c>
      <c r="J359" s="99" t="s">
        <v>5210</v>
      </c>
      <c r="K359" s="99" t="s">
        <v>5211</v>
      </c>
    </row>
    <row r="360" spans="1:11" s="93" customFormat="1" ht="15" customHeight="1" x14ac:dyDescent="0.25">
      <c r="A360" s="99"/>
      <c r="B360" s="99"/>
      <c r="C360" s="99"/>
      <c r="D360" s="99"/>
      <c r="E360" s="99">
        <v>29</v>
      </c>
      <c r="F360" s="99" t="s">
        <v>5250</v>
      </c>
      <c r="G360" s="99" t="s">
        <v>4739</v>
      </c>
      <c r="H360" s="99" t="s">
        <v>5363</v>
      </c>
      <c r="I360" s="99" t="s">
        <v>5364</v>
      </c>
      <c r="J360" s="99" t="s">
        <v>5365</v>
      </c>
      <c r="K360" s="99" t="s">
        <v>5366</v>
      </c>
    </row>
    <row r="361" spans="1:11" s="93" customFormat="1" ht="15" customHeight="1" x14ac:dyDescent="0.25">
      <c r="A361" s="99"/>
      <c r="B361" s="99"/>
      <c r="C361" s="99"/>
      <c r="D361" s="99"/>
      <c r="E361" s="99">
        <v>30</v>
      </c>
      <c r="F361" s="99" t="s">
        <v>5419</v>
      </c>
      <c r="G361" s="99" t="s">
        <v>5443</v>
      </c>
      <c r="H361" s="99" t="s">
        <v>5216</v>
      </c>
      <c r="I361" s="99" t="s">
        <v>5217</v>
      </c>
      <c r="J361" s="99" t="s">
        <v>5218</v>
      </c>
      <c r="K361" s="99" t="s">
        <v>5219</v>
      </c>
    </row>
    <row r="362" spans="1:11" s="93" customFormat="1" ht="15" customHeight="1" x14ac:dyDescent="0.25">
      <c r="A362" s="26"/>
      <c r="B362" s="26"/>
      <c r="C362" s="26" t="s">
        <v>5367</v>
      </c>
      <c r="D362" s="26" t="s">
        <v>5451</v>
      </c>
      <c r="E362" s="26">
        <v>1</v>
      </c>
      <c r="F362" s="26" t="s">
        <v>5221</v>
      </c>
      <c r="G362" s="26" t="s">
        <v>5376</v>
      </c>
      <c r="H362" s="26" t="s">
        <v>5108</v>
      </c>
      <c r="I362" s="26" t="s">
        <v>5109</v>
      </c>
      <c r="J362" s="26" t="s">
        <v>5110</v>
      </c>
      <c r="K362" s="26" t="s">
        <v>5111</v>
      </c>
    </row>
    <row r="363" spans="1:11" s="93" customFormat="1" ht="15" customHeight="1" x14ac:dyDescent="0.25">
      <c r="A363" s="26"/>
      <c r="B363" s="26"/>
      <c r="C363" s="26"/>
      <c r="D363" s="26" t="s">
        <v>5220</v>
      </c>
      <c r="E363" s="26">
        <v>2</v>
      </c>
      <c r="F363" s="26" t="s">
        <v>5041</v>
      </c>
      <c r="G363" s="26" t="s">
        <v>5377</v>
      </c>
      <c r="H363" s="26" t="s">
        <v>5100</v>
      </c>
      <c r="I363" s="26" t="s">
        <v>5101</v>
      </c>
      <c r="J363" s="26" t="s">
        <v>5102</v>
      </c>
      <c r="K363" s="26" t="s">
        <v>5103</v>
      </c>
    </row>
    <row r="364" spans="1:11" s="93" customFormat="1" ht="15" customHeight="1" x14ac:dyDescent="0.25">
      <c r="A364" s="26"/>
      <c r="B364" s="26"/>
      <c r="C364" s="26"/>
      <c r="D364" s="26"/>
      <c r="E364" s="26">
        <v>3</v>
      </c>
      <c r="F364" s="26" t="s">
        <v>5223</v>
      </c>
      <c r="G364" s="26" t="s">
        <v>5378</v>
      </c>
      <c r="H364" s="26" t="s">
        <v>5255</v>
      </c>
      <c r="I364" s="26" t="s">
        <v>5256</v>
      </c>
      <c r="J364" s="26" t="s">
        <v>5257</v>
      </c>
      <c r="K364" s="26" t="s">
        <v>5258</v>
      </c>
    </row>
    <row r="365" spans="1:11" s="93" customFormat="1" ht="15" customHeight="1" x14ac:dyDescent="0.25">
      <c r="A365" s="26"/>
      <c r="B365" s="26"/>
      <c r="C365" s="26"/>
      <c r="D365" s="26"/>
      <c r="E365" s="26">
        <v>4</v>
      </c>
      <c r="F365" s="26" t="s">
        <v>5043</v>
      </c>
      <c r="G365" s="26" t="s">
        <v>5379</v>
      </c>
      <c r="H365" s="26" t="s">
        <v>5108</v>
      </c>
      <c r="I365" s="26" t="s">
        <v>5109</v>
      </c>
      <c r="J365" s="26" t="s">
        <v>5110</v>
      </c>
      <c r="K365" s="26" t="s">
        <v>5111</v>
      </c>
    </row>
    <row r="366" spans="1:11" s="93" customFormat="1" ht="15" customHeight="1" x14ac:dyDescent="0.25">
      <c r="A366" s="26"/>
      <c r="B366" s="26"/>
      <c r="C366" s="26"/>
      <c r="D366" s="26"/>
      <c r="E366" s="26">
        <v>5</v>
      </c>
      <c r="F366" s="26" t="s">
        <v>5370</v>
      </c>
      <c r="G366" s="26" t="s">
        <v>5380</v>
      </c>
      <c r="H366" s="26" t="s">
        <v>5263</v>
      </c>
      <c r="I366" s="26" t="s">
        <v>5264</v>
      </c>
      <c r="J366" s="26" t="s">
        <v>5265</v>
      </c>
      <c r="K366" s="26" t="s">
        <v>5266</v>
      </c>
    </row>
    <row r="367" spans="1:11" s="93" customFormat="1" ht="15" customHeight="1" x14ac:dyDescent="0.25">
      <c r="A367" s="26"/>
      <c r="B367" s="26"/>
      <c r="C367" s="26"/>
      <c r="D367" s="26"/>
      <c r="E367" s="26">
        <v>6</v>
      </c>
      <c r="F367" s="26" t="s">
        <v>5045</v>
      </c>
      <c r="G367" s="26" t="s">
        <v>5381</v>
      </c>
      <c r="H367" s="26" t="s">
        <v>5116</v>
      </c>
      <c r="I367" s="26" t="s">
        <v>5117</v>
      </c>
      <c r="J367" s="26" t="s">
        <v>5118</v>
      </c>
      <c r="K367" s="26" t="s">
        <v>5119</v>
      </c>
    </row>
    <row r="368" spans="1:11" s="93" customFormat="1" ht="15" customHeight="1" x14ac:dyDescent="0.25">
      <c r="A368" s="26"/>
      <c r="B368" s="26"/>
      <c r="C368" s="26"/>
      <c r="D368" s="26"/>
      <c r="E368" s="26">
        <v>7</v>
      </c>
      <c r="F368" s="26" t="s">
        <v>5371</v>
      </c>
      <c r="G368" s="26" t="s">
        <v>5382</v>
      </c>
      <c r="H368" s="26" t="s">
        <v>5271</v>
      </c>
      <c r="I368" s="26" t="s">
        <v>5272</v>
      </c>
      <c r="J368" s="26" t="s">
        <v>5273</v>
      </c>
      <c r="K368" s="26" t="s">
        <v>5274</v>
      </c>
    </row>
    <row r="369" spans="1:11" s="93" customFormat="1" ht="15" customHeight="1" x14ac:dyDescent="0.25">
      <c r="A369" s="26"/>
      <c r="B369" s="26"/>
      <c r="C369" s="26"/>
      <c r="D369" s="26"/>
      <c r="E369" s="26">
        <v>8</v>
      </c>
      <c r="F369" s="26" t="s">
        <v>5047</v>
      </c>
      <c r="G369" s="26" t="s">
        <v>5383</v>
      </c>
      <c r="H369" s="26" t="s">
        <v>5124</v>
      </c>
      <c r="I369" s="26" t="s">
        <v>5125</v>
      </c>
      <c r="J369" s="26" t="s">
        <v>5126</v>
      </c>
      <c r="K369" s="26" t="s">
        <v>5127</v>
      </c>
    </row>
    <row r="370" spans="1:11" s="93" customFormat="1" ht="15" customHeight="1" x14ac:dyDescent="0.25">
      <c r="A370" s="26"/>
      <c r="B370" s="26"/>
      <c r="C370" s="26"/>
      <c r="D370" s="26"/>
      <c r="E370" s="26">
        <v>9</v>
      </c>
      <c r="F370" s="26" t="s">
        <v>5372</v>
      </c>
      <c r="G370" s="26" t="s">
        <v>5384</v>
      </c>
      <c r="H370" s="26" t="s">
        <v>5283</v>
      </c>
      <c r="I370" s="26" t="s">
        <v>5284</v>
      </c>
      <c r="J370" s="26" t="s">
        <v>5285</v>
      </c>
      <c r="K370" s="26" t="s">
        <v>5286</v>
      </c>
    </row>
    <row r="371" spans="1:11" s="93" customFormat="1" ht="15" customHeight="1" x14ac:dyDescent="0.25">
      <c r="A371" s="26"/>
      <c r="B371" s="26"/>
      <c r="C371" s="26"/>
      <c r="D371" s="26"/>
      <c r="E371" s="26">
        <v>10</v>
      </c>
      <c r="F371" s="26" t="s">
        <v>5050</v>
      </c>
      <c r="G371" s="26" t="s">
        <v>5385</v>
      </c>
      <c r="H371" s="26" t="s">
        <v>5136</v>
      </c>
      <c r="I371" s="26" t="s">
        <v>5137</v>
      </c>
      <c r="J371" s="26" t="s">
        <v>5138</v>
      </c>
      <c r="K371" s="26" t="s">
        <v>5139</v>
      </c>
    </row>
    <row r="372" spans="1:11" s="93" customFormat="1" ht="15" customHeight="1" x14ac:dyDescent="0.25">
      <c r="A372" s="26"/>
      <c r="B372" s="26"/>
      <c r="C372" s="26"/>
      <c r="D372" s="26"/>
      <c r="E372" s="26">
        <v>11</v>
      </c>
      <c r="F372" s="26" t="s">
        <v>5231</v>
      </c>
      <c r="G372" s="26" t="s">
        <v>5386</v>
      </c>
      <c r="H372" s="26" t="s">
        <v>5287</v>
      </c>
      <c r="I372" s="26" t="s">
        <v>5288</v>
      </c>
      <c r="J372" s="26" t="s">
        <v>5289</v>
      </c>
      <c r="K372" s="26" t="s">
        <v>5406</v>
      </c>
    </row>
    <row r="373" spans="1:11" s="93" customFormat="1" ht="15" customHeight="1" x14ac:dyDescent="0.25">
      <c r="A373" s="26"/>
      <c r="B373" s="26"/>
      <c r="C373" s="26"/>
      <c r="D373" s="26"/>
      <c r="E373" s="26">
        <v>12</v>
      </c>
      <c r="F373" s="26" t="s">
        <v>5051</v>
      </c>
      <c r="G373" s="26" t="s">
        <v>5387</v>
      </c>
      <c r="H373" s="26" t="s">
        <v>5140</v>
      </c>
      <c r="I373" s="26" t="s">
        <v>5141</v>
      </c>
      <c r="J373" s="26" t="s">
        <v>5142</v>
      </c>
      <c r="K373" s="26" t="s">
        <v>5143</v>
      </c>
    </row>
    <row r="374" spans="1:11" s="93" customFormat="1" ht="15" customHeight="1" x14ac:dyDescent="0.25">
      <c r="A374" s="26"/>
      <c r="B374" s="26"/>
      <c r="C374" s="26"/>
      <c r="D374" s="26"/>
      <c r="E374" s="26">
        <v>13</v>
      </c>
      <c r="F374" s="26" t="s">
        <v>5373</v>
      </c>
      <c r="G374" s="26" t="s">
        <v>5388</v>
      </c>
      <c r="H374" s="26" t="s">
        <v>5295</v>
      </c>
      <c r="I374" s="26" t="s">
        <v>5296</v>
      </c>
      <c r="J374" s="26" t="s">
        <v>5297</v>
      </c>
      <c r="K374" s="26" t="s">
        <v>5298</v>
      </c>
    </row>
    <row r="375" spans="1:11" s="93" customFormat="1" ht="15" customHeight="1" x14ac:dyDescent="0.25">
      <c r="A375" s="26"/>
      <c r="B375" s="26"/>
      <c r="C375" s="26"/>
      <c r="D375" s="26"/>
      <c r="E375" s="26">
        <v>14</v>
      </c>
      <c r="F375" s="26" t="s">
        <v>5053</v>
      </c>
      <c r="G375" s="26" t="s">
        <v>5389</v>
      </c>
      <c r="H375" s="26" t="s">
        <v>5148</v>
      </c>
      <c r="I375" s="26" t="s">
        <v>5149</v>
      </c>
      <c r="J375" s="26" t="s">
        <v>5150</v>
      </c>
      <c r="K375" s="26" t="s">
        <v>5151</v>
      </c>
    </row>
    <row r="376" spans="1:11" s="93" customFormat="1" ht="15" customHeight="1" x14ac:dyDescent="0.25">
      <c r="A376" s="26"/>
      <c r="B376" s="26"/>
      <c r="C376" s="26"/>
      <c r="D376" s="26"/>
      <c r="E376" s="26">
        <v>15</v>
      </c>
      <c r="F376" s="26" t="s">
        <v>5235</v>
      </c>
      <c r="G376" s="26" t="s">
        <v>5390</v>
      </c>
      <c r="H376" s="26" t="s">
        <v>5303</v>
      </c>
      <c r="I376" s="26" t="s">
        <v>5304</v>
      </c>
      <c r="J376" s="26" t="s">
        <v>5305</v>
      </c>
      <c r="K376" s="26" t="s">
        <v>5306</v>
      </c>
    </row>
    <row r="377" spans="1:11" s="93" customFormat="1" ht="15" customHeight="1" x14ac:dyDescent="0.25">
      <c r="A377" s="26"/>
      <c r="B377" s="26"/>
      <c r="C377" s="26"/>
      <c r="D377" s="26"/>
      <c r="E377" s="26">
        <v>16</v>
      </c>
      <c r="F377" s="26" t="s">
        <v>5055</v>
      </c>
      <c r="G377" s="26" t="s">
        <v>5391</v>
      </c>
      <c r="H377" s="26" t="s">
        <v>5156</v>
      </c>
      <c r="I377" s="26" t="s">
        <v>5157</v>
      </c>
      <c r="J377" s="26" t="s">
        <v>5158</v>
      </c>
      <c r="K377" s="26" t="s">
        <v>5159</v>
      </c>
    </row>
    <row r="378" spans="1:11" s="93" customFormat="1" ht="15" customHeight="1" x14ac:dyDescent="0.25">
      <c r="A378" s="26"/>
      <c r="B378" s="26"/>
      <c r="C378" s="26"/>
      <c r="D378" s="26"/>
      <c r="E378" s="26">
        <v>17</v>
      </c>
      <c r="F378" s="26" t="s">
        <v>5237</v>
      </c>
      <c r="G378" s="26" t="s">
        <v>5392</v>
      </c>
      <c r="H378" s="26" t="s">
        <v>5311</v>
      </c>
      <c r="I378" s="26" t="s">
        <v>5312</v>
      </c>
      <c r="J378" s="26" t="s">
        <v>5313</v>
      </c>
      <c r="K378" s="26" t="s">
        <v>5314</v>
      </c>
    </row>
    <row r="379" spans="1:11" s="93" customFormat="1" ht="15" customHeight="1" x14ac:dyDescent="0.25">
      <c r="A379" s="26"/>
      <c r="B379" s="26"/>
      <c r="C379" s="26"/>
      <c r="D379" s="26"/>
      <c r="E379" s="26">
        <v>18</v>
      </c>
      <c r="F379" s="26" t="s">
        <v>5057</v>
      </c>
      <c r="G379" s="26" t="s">
        <v>5393</v>
      </c>
      <c r="H379" s="26" t="s">
        <v>5164</v>
      </c>
      <c r="I379" s="26" t="s">
        <v>5165</v>
      </c>
      <c r="J379" s="26" t="s">
        <v>5166</v>
      </c>
      <c r="K379" s="26" t="s">
        <v>5167</v>
      </c>
    </row>
    <row r="380" spans="1:11" s="93" customFormat="1" ht="15" customHeight="1" x14ac:dyDescent="0.25">
      <c r="A380" s="26"/>
      <c r="B380" s="26"/>
      <c r="C380" s="26"/>
      <c r="D380" s="26"/>
      <c r="E380" s="26">
        <v>19</v>
      </c>
      <c r="F380" s="26" t="s">
        <v>5238</v>
      </c>
      <c r="G380" s="26" t="s">
        <v>5394</v>
      </c>
      <c r="H380" s="26" t="s">
        <v>5315</v>
      </c>
      <c r="I380" s="26" t="s">
        <v>5316</v>
      </c>
      <c r="J380" s="26" t="s">
        <v>5317</v>
      </c>
      <c r="K380" s="26" t="s">
        <v>5318</v>
      </c>
    </row>
    <row r="381" spans="1:11" s="93" customFormat="1" ht="15" customHeight="1" x14ac:dyDescent="0.25">
      <c r="A381" s="26"/>
      <c r="B381" s="26"/>
      <c r="C381" s="26"/>
      <c r="D381" s="26"/>
      <c r="E381" s="26">
        <v>20</v>
      </c>
      <c r="F381" s="26" t="s">
        <v>5058</v>
      </c>
      <c r="G381" s="26" t="s">
        <v>5395</v>
      </c>
      <c r="H381" s="26" t="s">
        <v>5168</v>
      </c>
      <c r="I381" s="26" t="s">
        <v>5169</v>
      </c>
      <c r="J381" s="26" t="s">
        <v>5170</v>
      </c>
      <c r="K381" s="26" t="s">
        <v>5407</v>
      </c>
    </row>
    <row r="382" spans="1:11" s="93" customFormat="1" ht="15" customHeight="1" x14ac:dyDescent="0.25">
      <c r="A382" s="26"/>
      <c r="B382" s="26"/>
      <c r="C382" s="26"/>
      <c r="D382" s="26"/>
      <c r="E382" s="26">
        <v>21</v>
      </c>
      <c r="F382" s="26" t="s">
        <v>5241</v>
      </c>
      <c r="G382" s="26" t="s">
        <v>5396</v>
      </c>
      <c r="H382" s="26" t="s">
        <v>5327</v>
      </c>
      <c r="I382" s="26" t="s">
        <v>5328</v>
      </c>
      <c r="J382" s="26" t="s">
        <v>5329</v>
      </c>
      <c r="K382" s="26" t="s">
        <v>5330</v>
      </c>
    </row>
    <row r="383" spans="1:11" s="93" customFormat="1" ht="15" customHeight="1" x14ac:dyDescent="0.25">
      <c r="A383" s="26"/>
      <c r="B383" s="26"/>
      <c r="C383" s="26"/>
      <c r="D383" s="26"/>
      <c r="E383" s="26">
        <v>22</v>
      </c>
      <c r="F383" s="26" t="s">
        <v>5374</v>
      </c>
      <c r="G383" s="26" t="s">
        <v>5397</v>
      </c>
      <c r="H383" s="26" t="s">
        <v>5180</v>
      </c>
      <c r="I383" s="26" t="s">
        <v>5181</v>
      </c>
      <c r="J383" s="26" t="s">
        <v>5182</v>
      </c>
      <c r="K383" s="26" t="s">
        <v>5183</v>
      </c>
    </row>
    <row r="384" spans="1:11" s="93" customFormat="1" ht="15" customHeight="1" x14ac:dyDescent="0.25">
      <c r="A384" s="26"/>
      <c r="B384" s="26"/>
      <c r="C384" s="26"/>
      <c r="D384" s="26"/>
      <c r="E384" s="26">
        <v>23</v>
      </c>
      <c r="F384" s="26" t="s">
        <v>5375</v>
      </c>
      <c r="G384" s="26" t="s">
        <v>5398</v>
      </c>
      <c r="H384" s="26" t="s">
        <v>5335</v>
      </c>
      <c r="I384" s="26" t="s">
        <v>5336</v>
      </c>
      <c r="J384" s="26" t="s">
        <v>5337</v>
      </c>
      <c r="K384" s="26" t="s">
        <v>5338</v>
      </c>
    </row>
    <row r="385" spans="1:16" s="93" customFormat="1" ht="15" customHeight="1" x14ac:dyDescent="0.25">
      <c r="A385" s="26"/>
      <c r="B385" s="26"/>
      <c r="C385" s="26"/>
      <c r="D385" s="26"/>
      <c r="E385" s="26">
        <v>24</v>
      </c>
      <c r="F385" s="26" t="s">
        <v>5062</v>
      </c>
      <c r="G385" s="26" t="s">
        <v>5399</v>
      </c>
      <c r="H385" s="26" t="s">
        <v>5188</v>
      </c>
      <c r="I385" s="26" t="s">
        <v>5189</v>
      </c>
      <c r="J385" s="26" t="s">
        <v>5190</v>
      </c>
      <c r="K385" s="26" t="s">
        <v>5191</v>
      </c>
    </row>
    <row r="386" spans="1:16" s="93" customFormat="1" ht="15" customHeight="1" x14ac:dyDescent="0.25">
      <c r="A386" s="26"/>
      <c r="B386" s="26"/>
      <c r="C386" s="26"/>
      <c r="D386" s="26"/>
      <c r="E386" s="26">
        <v>25</v>
      </c>
      <c r="F386" s="26" t="s">
        <v>5245</v>
      </c>
      <c r="G386" s="26" t="s">
        <v>5400</v>
      </c>
      <c r="H386" s="26" t="s">
        <v>5343</v>
      </c>
      <c r="I386" s="26" t="s">
        <v>5344</v>
      </c>
      <c r="J386" s="26" t="s">
        <v>5345</v>
      </c>
      <c r="K386" s="26" t="s">
        <v>5346</v>
      </c>
    </row>
    <row r="387" spans="1:16" s="93" customFormat="1" ht="15" customHeight="1" x14ac:dyDescent="0.25">
      <c r="A387" s="26"/>
      <c r="B387" s="26"/>
      <c r="C387" s="26"/>
      <c r="D387" s="26"/>
      <c r="E387" s="26">
        <v>26</v>
      </c>
      <c r="F387" s="26" t="s">
        <v>5064</v>
      </c>
      <c r="G387" s="26" t="s">
        <v>5401</v>
      </c>
      <c r="H387" s="26" t="s">
        <v>5196</v>
      </c>
      <c r="I387" s="26" t="s">
        <v>5197</v>
      </c>
      <c r="J387" s="26" t="s">
        <v>5198</v>
      </c>
      <c r="K387" s="26" t="s">
        <v>5199</v>
      </c>
    </row>
    <row r="388" spans="1:16" s="93" customFormat="1" ht="15" customHeight="1" x14ac:dyDescent="0.25">
      <c r="A388" s="26"/>
      <c r="B388" s="26"/>
      <c r="C388" s="26"/>
      <c r="D388" s="26"/>
      <c r="E388" s="26">
        <v>27</v>
      </c>
      <c r="F388" s="26" t="s">
        <v>5247</v>
      </c>
      <c r="G388" s="26" t="s">
        <v>5402</v>
      </c>
      <c r="H388" s="26" t="s">
        <v>5351</v>
      </c>
      <c r="I388" s="26" t="s">
        <v>5352</v>
      </c>
      <c r="J388" s="26" t="s">
        <v>5353</v>
      </c>
      <c r="K388" s="26" t="s">
        <v>5354</v>
      </c>
    </row>
    <row r="389" spans="1:16" ht="15" customHeight="1" x14ac:dyDescent="0.25">
      <c r="A389" s="26"/>
      <c r="B389" s="26"/>
      <c r="C389" s="26"/>
      <c r="D389" s="26"/>
      <c r="E389" s="26">
        <v>28</v>
      </c>
      <c r="F389" s="26" t="s">
        <v>5066</v>
      </c>
      <c r="G389" s="26" t="s">
        <v>5403</v>
      </c>
      <c r="H389" s="26" t="s">
        <v>5204</v>
      </c>
      <c r="I389" s="26" t="s">
        <v>5205</v>
      </c>
      <c r="J389" s="26" t="s">
        <v>5206</v>
      </c>
      <c r="K389" s="26" t="s">
        <v>5207</v>
      </c>
      <c r="L389" s="93"/>
      <c r="M389" s="93"/>
      <c r="N389" s="93"/>
      <c r="O389" s="93"/>
      <c r="P389" s="93"/>
    </row>
    <row r="390" spans="1:16" ht="15" customHeight="1" x14ac:dyDescent="0.25">
      <c r="A390" s="26"/>
      <c r="B390" s="26"/>
      <c r="C390" s="26"/>
      <c r="D390" s="26"/>
      <c r="E390" s="26">
        <v>29</v>
      </c>
      <c r="F390" s="26" t="s">
        <v>5249</v>
      </c>
      <c r="G390" s="26" t="s">
        <v>5404</v>
      </c>
      <c r="H390" s="26" t="s">
        <v>5359</v>
      </c>
      <c r="I390" s="26" t="s">
        <v>5360</v>
      </c>
      <c r="J390" s="26" t="s">
        <v>5361</v>
      </c>
      <c r="K390" s="26" t="s">
        <v>5362</v>
      </c>
      <c r="L390" s="93"/>
      <c r="M390" s="93"/>
      <c r="N390" s="93"/>
      <c r="O390" s="93"/>
      <c r="P390" s="93"/>
    </row>
    <row r="391" spans="1:16" ht="15" customHeight="1" x14ac:dyDescent="0.25">
      <c r="A391" s="26"/>
      <c r="B391" s="26"/>
      <c r="C391" s="26"/>
      <c r="D391" s="26"/>
      <c r="E391" s="26">
        <v>30</v>
      </c>
      <c r="F391" s="26" t="s">
        <v>5068</v>
      </c>
      <c r="G391" s="26" t="s">
        <v>5405</v>
      </c>
      <c r="H391" s="26" t="s">
        <v>5212</v>
      </c>
      <c r="I391" s="26" t="s">
        <v>5213</v>
      </c>
      <c r="J391" s="26" t="s">
        <v>5214</v>
      </c>
      <c r="K391" s="26" t="s">
        <v>5215</v>
      </c>
      <c r="L391" s="93"/>
      <c r="M391" s="93"/>
      <c r="N391" s="93"/>
      <c r="O391" s="93"/>
      <c r="P391" s="93"/>
    </row>
    <row r="392" spans="1:16" ht="15" customHeight="1" x14ac:dyDescent="0.25">
      <c r="A392" s="93"/>
      <c r="B392" s="93"/>
      <c r="C392" s="93"/>
      <c r="D392" s="93"/>
      <c r="E392" s="93"/>
      <c r="F392" s="93"/>
      <c r="G392" s="93"/>
      <c r="H392" s="93"/>
      <c r="I392" s="93"/>
      <c r="J392" s="93"/>
      <c r="K392" s="93"/>
      <c r="L392" s="93"/>
      <c r="M392" s="93"/>
      <c r="N392" s="93"/>
      <c r="O392" s="93"/>
      <c r="P392" s="93"/>
    </row>
    <row r="393" spans="1:16" ht="15" customHeight="1" x14ac:dyDescent="0.25">
      <c r="A393" s="93"/>
      <c r="B393" s="93"/>
      <c r="C393" s="93"/>
      <c r="D393" s="93"/>
      <c r="E393" s="93"/>
      <c r="F393" s="93"/>
      <c r="G393" s="93"/>
      <c r="H393" s="93"/>
      <c r="I393" s="93"/>
      <c r="J393" s="93"/>
      <c r="K393" s="93"/>
      <c r="L393" s="93"/>
      <c r="M393" s="93"/>
      <c r="N393" s="93"/>
      <c r="O393" s="93"/>
      <c r="P393" s="93"/>
    </row>
    <row r="394" spans="1:16" ht="15" customHeight="1" x14ac:dyDescent="0.25">
      <c r="A394" s="93"/>
      <c r="B394" s="93"/>
      <c r="C394" s="93"/>
      <c r="D394" s="93"/>
      <c r="E394" s="93"/>
      <c r="F394" s="93"/>
      <c r="G394" s="93"/>
      <c r="H394" s="93"/>
      <c r="I394" s="93"/>
      <c r="J394" s="93"/>
      <c r="K394" s="93"/>
      <c r="L394" s="93"/>
      <c r="M394" s="93"/>
      <c r="N394" s="93"/>
      <c r="O394" s="93"/>
      <c r="P394" s="93"/>
    </row>
    <row r="395" spans="1:16" ht="15" customHeight="1" x14ac:dyDescent="0.25">
      <c r="A395" s="93"/>
      <c r="B395" s="93"/>
      <c r="C395" s="93"/>
      <c r="D395" s="93"/>
      <c r="E395" s="93"/>
      <c r="F395" s="93"/>
      <c r="G395" s="93"/>
      <c r="H395" s="93"/>
      <c r="I395" s="93"/>
      <c r="J395" s="93"/>
      <c r="K395" s="93"/>
      <c r="L395" s="93"/>
      <c r="M395" s="93"/>
      <c r="N395" s="93"/>
      <c r="O395" s="93"/>
      <c r="P395" s="93"/>
    </row>
    <row r="396" spans="1:16" ht="15" customHeight="1" x14ac:dyDescent="0.25">
      <c r="A396" s="93"/>
      <c r="B396" s="93"/>
      <c r="C396" s="93"/>
      <c r="D396" s="93"/>
      <c r="E396" s="93"/>
      <c r="F396" s="93"/>
      <c r="G396" s="93"/>
      <c r="H396" s="93"/>
      <c r="I396" s="93"/>
      <c r="J396" s="93"/>
      <c r="K396" s="93"/>
      <c r="L396" s="93"/>
      <c r="M396" s="93"/>
      <c r="N396" s="93"/>
      <c r="O396" s="93"/>
      <c r="P396" s="93"/>
    </row>
    <row r="397" spans="1:16" ht="15" customHeight="1" x14ac:dyDescent="0.25">
      <c r="A397" s="93"/>
      <c r="B397" s="93"/>
      <c r="C397" s="93"/>
      <c r="D397" s="93"/>
      <c r="E397" s="93"/>
      <c r="F397" s="93"/>
      <c r="G397" s="93"/>
      <c r="H397" s="93"/>
      <c r="I397" s="93"/>
      <c r="J397" s="93"/>
      <c r="K397" s="93"/>
      <c r="L397" s="93"/>
      <c r="M397" s="93"/>
      <c r="N397" s="93"/>
      <c r="O397" s="93"/>
      <c r="P397" s="93"/>
    </row>
    <row r="398" spans="1:16" ht="15" customHeight="1" x14ac:dyDescent="0.25">
      <c r="A398" s="93"/>
      <c r="B398" s="93"/>
      <c r="C398" s="93"/>
      <c r="D398" s="93"/>
      <c r="E398" s="93"/>
      <c r="F398" s="93"/>
      <c r="G398" s="93"/>
      <c r="H398" s="93"/>
      <c r="I398" s="93"/>
      <c r="J398" s="93"/>
      <c r="K398" s="93"/>
      <c r="L398" s="93"/>
      <c r="M398" s="93"/>
      <c r="N398" s="93"/>
      <c r="O398" s="93"/>
      <c r="P398" s="93"/>
    </row>
    <row r="399" spans="1:16" ht="15" customHeight="1" x14ac:dyDescent="0.25">
      <c r="A399" s="93"/>
      <c r="B399" s="93"/>
      <c r="C399" s="93"/>
      <c r="D399" s="93"/>
      <c r="E399" s="93"/>
      <c r="F399" s="93"/>
      <c r="G399" s="93"/>
      <c r="H399" s="93"/>
      <c r="I399" s="93"/>
      <c r="J399" s="93"/>
      <c r="K399" s="93"/>
      <c r="L399" s="93"/>
      <c r="M399" s="93"/>
      <c r="N399" s="93"/>
      <c r="O399" s="93"/>
      <c r="P399" s="93"/>
    </row>
    <row r="400" spans="1:16" ht="15" customHeight="1" x14ac:dyDescent="0.25">
      <c r="A400" s="93"/>
      <c r="B400" s="93"/>
      <c r="C400" s="93"/>
      <c r="D400" s="93"/>
      <c r="E400" s="93"/>
      <c r="F400" s="93"/>
      <c r="G400" s="93"/>
      <c r="H400" s="93"/>
      <c r="I400" s="93"/>
      <c r="J400" s="93"/>
      <c r="K400" s="93"/>
      <c r="L400" s="93"/>
      <c r="M400" s="93"/>
      <c r="N400" s="93"/>
      <c r="O400" s="93"/>
      <c r="P400" s="93"/>
    </row>
    <row r="401" spans="1:16" ht="15" customHeight="1" x14ac:dyDescent="0.25">
      <c r="A401" s="93"/>
      <c r="B401" s="93"/>
      <c r="C401" s="93"/>
      <c r="D401" s="93"/>
      <c r="E401" s="93"/>
      <c r="F401" s="93"/>
      <c r="G401" s="93"/>
      <c r="H401" s="93"/>
      <c r="I401" s="93"/>
      <c r="J401" s="93"/>
      <c r="K401" s="93"/>
      <c r="L401" s="93"/>
      <c r="M401" s="93"/>
      <c r="N401" s="93"/>
      <c r="O401" s="93"/>
      <c r="P401" s="93"/>
    </row>
    <row r="402" spans="1:16" ht="15" customHeight="1" x14ac:dyDescent="0.25">
      <c r="A402" s="93"/>
      <c r="B402" s="93"/>
      <c r="C402" s="93"/>
      <c r="D402" s="93"/>
      <c r="E402" s="93"/>
      <c r="F402" s="93"/>
      <c r="G402" s="93"/>
      <c r="H402" s="93"/>
      <c r="I402" s="93"/>
      <c r="J402" s="93"/>
      <c r="K402" s="93"/>
      <c r="L402" s="93"/>
      <c r="M402" s="93"/>
      <c r="N402" s="93"/>
      <c r="O402" s="93"/>
      <c r="P402" s="93"/>
    </row>
    <row r="403" spans="1:16" ht="15" customHeight="1" x14ac:dyDescent="0.25">
      <c r="A403" s="93"/>
      <c r="B403" s="93"/>
      <c r="C403" s="93"/>
      <c r="D403" s="93"/>
      <c r="E403" s="93"/>
      <c r="F403" s="93"/>
      <c r="G403" s="93"/>
      <c r="H403" s="93"/>
      <c r="I403" s="93"/>
      <c r="J403" s="93"/>
      <c r="K403" s="93"/>
      <c r="L403" s="93"/>
      <c r="M403" s="93"/>
      <c r="N403" s="93"/>
      <c r="O403" s="93"/>
      <c r="P403" s="93"/>
    </row>
    <row r="404" spans="1:16" ht="15" customHeight="1" x14ac:dyDescent="0.25">
      <c r="A404" s="93"/>
      <c r="B404" s="93"/>
      <c r="C404" s="93"/>
      <c r="D404" s="93"/>
      <c r="E404" s="93"/>
      <c r="F404" s="93"/>
      <c r="G404" s="93"/>
      <c r="H404" s="93"/>
      <c r="I404" s="93"/>
      <c r="J404" s="93"/>
      <c r="K404" s="93"/>
      <c r="L404" s="93"/>
      <c r="M404" s="93"/>
      <c r="N404" s="93"/>
      <c r="O404" s="93"/>
      <c r="P404" s="93"/>
    </row>
    <row r="405" spans="1:16" ht="15" customHeight="1" x14ac:dyDescent="0.25">
      <c r="A405" s="93"/>
      <c r="B405" s="93"/>
      <c r="C405" s="93"/>
      <c r="D405" s="93"/>
      <c r="E405" s="93"/>
      <c r="F405" s="93"/>
      <c r="G405" s="93"/>
      <c r="H405" s="93"/>
      <c r="I405" s="93"/>
      <c r="J405" s="93"/>
      <c r="K405" s="93"/>
      <c r="L405" s="93"/>
      <c r="M405" s="93"/>
      <c r="N405" s="93"/>
      <c r="O405" s="93"/>
      <c r="P405" s="93"/>
    </row>
    <row r="406" spans="1:16" ht="15" customHeight="1" x14ac:dyDescent="0.25">
      <c r="A406" s="93"/>
      <c r="B406" s="93"/>
      <c r="C406" s="93"/>
      <c r="D406" s="93"/>
      <c r="E406" s="93"/>
      <c r="F406" s="93"/>
      <c r="G406" s="93"/>
      <c r="H406" s="93"/>
      <c r="I406" s="93"/>
      <c r="J406" s="93"/>
      <c r="K406" s="93"/>
      <c r="L406" s="93"/>
      <c r="M406" s="93"/>
      <c r="N406" s="93"/>
      <c r="O406" s="93"/>
      <c r="P406" s="93"/>
    </row>
    <row r="407" spans="1:16" ht="15" customHeight="1" x14ac:dyDescent="0.25">
      <c r="A407" s="93"/>
      <c r="B407" s="93"/>
      <c r="C407" s="93"/>
      <c r="D407" s="93"/>
      <c r="E407" s="93"/>
      <c r="F407" s="93"/>
      <c r="G407" s="93"/>
      <c r="H407" s="93"/>
      <c r="I407" s="93"/>
      <c r="J407" s="93"/>
      <c r="K407" s="93"/>
      <c r="L407" s="93"/>
      <c r="M407" s="93"/>
      <c r="N407" s="93"/>
      <c r="O407" s="93"/>
      <c r="P407" s="93"/>
    </row>
    <row r="408" spans="1:16" ht="15" customHeight="1" x14ac:dyDescent="0.25">
      <c r="A408" s="93"/>
      <c r="B408" s="93"/>
      <c r="C408" s="93"/>
      <c r="D408" s="93"/>
      <c r="E408" s="93"/>
      <c r="F408" s="93"/>
      <c r="G408" s="93"/>
      <c r="H408" s="93"/>
      <c r="I408" s="93"/>
      <c r="J408" s="93"/>
      <c r="K408" s="93"/>
      <c r="L408" s="93"/>
      <c r="M408" s="93"/>
      <c r="N408" s="93"/>
      <c r="O408" s="93"/>
      <c r="P408" s="93"/>
    </row>
    <row r="409" spans="1:16" ht="15" customHeight="1" x14ac:dyDescent="0.25">
      <c r="A409" s="93"/>
      <c r="B409" s="93"/>
      <c r="C409" s="93"/>
      <c r="D409" s="93"/>
      <c r="E409" s="93"/>
      <c r="F409" s="93"/>
      <c r="G409" s="93"/>
      <c r="H409" s="93"/>
      <c r="I409" s="93"/>
      <c r="J409" s="93"/>
      <c r="K409" s="93"/>
      <c r="L409" s="93"/>
      <c r="M409" s="93"/>
      <c r="N409" s="93"/>
      <c r="O409" s="93"/>
      <c r="P409" s="93"/>
    </row>
    <row r="410" spans="1:16" ht="15" customHeight="1" x14ac:dyDescent="0.25">
      <c r="A410" s="93"/>
      <c r="B410" s="93"/>
      <c r="C410" s="93"/>
      <c r="D410" s="93"/>
      <c r="E410" s="93"/>
      <c r="F410" s="93"/>
      <c r="G410" s="93"/>
      <c r="H410" s="93"/>
      <c r="I410" s="93"/>
      <c r="J410" s="93"/>
      <c r="K410" s="93"/>
      <c r="L410" s="93"/>
      <c r="M410" s="93"/>
      <c r="N410" s="93"/>
      <c r="O410" s="93"/>
      <c r="P410" s="93"/>
    </row>
    <row r="411" spans="1:16" ht="15" customHeight="1" x14ac:dyDescent="0.25">
      <c r="A411" s="93"/>
      <c r="B411" s="93"/>
      <c r="C411" s="93"/>
      <c r="D411" s="93"/>
      <c r="E411" s="93"/>
      <c r="F411" s="93"/>
      <c r="G411" s="93"/>
      <c r="H411" s="93"/>
      <c r="I411" s="93"/>
      <c r="J411" s="93"/>
      <c r="K411" s="93"/>
      <c r="L411" s="93"/>
      <c r="M411" s="93"/>
      <c r="N411" s="93"/>
      <c r="O411" s="93"/>
      <c r="P411" s="93"/>
    </row>
    <row r="412" spans="1:16" ht="15" customHeight="1" x14ac:dyDescent="0.25">
      <c r="A412" s="93"/>
      <c r="B412" s="93"/>
      <c r="C412" s="93"/>
      <c r="D412" s="93"/>
      <c r="E412" s="93"/>
      <c r="F412" s="93"/>
      <c r="G412" s="93"/>
      <c r="H412" s="93"/>
      <c r="I412" s="93"/>
      <c r="J412" s="93"/>
      <c r="K412" s="93"/>
      <c r="L412" s="93"/>
      <c r="M412" s="93"/>
      <c r="N412" s="93"/>
      <c r="O412" s="93"/>
      <c r="P412" s="93"/>
    </row>
    <row r="413" spans="1:16" ht="15" customHeight="1" x14ac:dyDescent="0.25">
      <c r="A413" s="93"/>
      <c r="B413" s="93"/>
      <c r="C413" s="93"/>
      <c r="D413" s="93"/>
      <c r="E413" s="93"/>
      <c r="F413" s="93"/>
      <c r="G413" s="93"/>
      <c r="H413" s="93"/>
      <c r="I413" s="93"/>
      <c r="J413" s="93"/>
      <c r="K413" s="93"/>
      <c r="L413" s="93"/>
      <c r="M413" s="93"/>
      <c r="N413" s="93"/>
      <c r="O413" s="93"/>
      <c r="P413" s="93"/>
    </row>
    <row r="414" spans="1:16" ht="15" customHeight="1" x14ac:dyDescent="0.25">
      <c r="A414" s="93"/>
      <c r="B414" s="93"/>
      <c r="C414" s="93"/>
      <c r="D414" s="93"/>
      <c r="E414" s="93"/>
      <c r="F414" s="93"/>
      <c r="G414" s="93"/>
      <c r="H414" s="93"/>
      <c r="I414" s="93"/>
      <c r="J414" s="93"/>
      <c r="K414" s="93"/>
      <c r="L414" s="93"/>
      <c r="M414" s="93"/>
      <c r="N414" s="93"/>
      <c r="O414" s="93"/>
      <c r="P414" s="93"/>
    </row>
    <row r="415" spans="1:16" ht="15" customHeight="1" x14ac:dyDescent="0.25">
      <c r="A415" s="93"/>
      <c r="B415" s="93"/>
      <c r="C415" s="93"/>
      <c r="D415" s="93"/>
      <c r="E415" s="93"/>
      <c r="F415" s="93"/>
      <c r="G415" s="93"/>
      <c r="H415" s="93"/>
      <c r="I415" s="93"/>
      <c r="J415" s="93"/>
      <c r="K415" s="93"/>
      <c r="L415" s="93"/>
      <c r="M415" s="93"/>
      <c r="N415" s="93"/>
      <c r="O415" s="93"/>
      <c r="P415" s="93"/>
    </row>
    <row r="416" spans="1:16" ht="15" customHeight="1" x14ac:dyDescent="0.25">
      <c r="A416" s="93"/>
      <c r="B416" s="93"/>
      <c r="C416" s="93"/>
      <c r="D416" s="93"/>
      <c r="E416" s="93"/>
      <c r="F416" s="93"/>
      <c r="G416" s="93"/>
      <c r="H416" s="93"/>
      <c r="I416" s="93"/>
      <c r="J416" s="93"/>
      <c r="K416" s="93"/>
      <c r="L416" s="93"/>
      <c r="M416" s="93"/>
      <c r="N416" s="93"/>
      <c r="O416" s="93"/>
      <c r="P416" s="93"/>
    </row>
    <row r="417" spans="1:16" ht="15" customHeight="1" x14ac:dyDescent="0.25">
      <c r="A417" s="93"/>
      <c r="B417" s="93"/>
      <c r="C417" s="93"/>
      <c r="D417" s="93"/>
      <c r="E417" s="93"/>
      <c r="F417" s="93"/>
      <c r="G417" s="93"/>
      <c r="H417" s="93"/>
      <c r="I417" s="93"/>
      <c r="J417" s="93"/>
      <c r="K417" s="93"/>
      <c r="L417" s="93"/>
      <c r="M417" s="93"/>
      <c r="N417" s="93"/>
      <c r="O417" s="93"/>
      <c r="P417" s="93"/>
    </row>
    <row r="418" spans="1:16" ht="15" customHeight="1" x14ac:dyDescent="0.25">
      <c r="A418" s="93"/>
      <c r="B418" s="93"/>
      <c r="C418" s="93"/>
      <c r="D418" s="93"/>
      <c r="E418" s="93"/>
      <c r="F418" s="93"/>
      <c r="G418" s="93"/>
      <c r="H418" s="93"/>
      <c r="I418" s="93"/>
      <c r="J418" s="93"/>
      <c r="K418" s="93"/>
      <c r="L418" s="93"/>
      <c r="M418" s="93"/>
      <c r="N418" s="93"/>
      <c r="O418" s="93"/>
      <c r="P418" s="93"/>
    </row>
    <row r="419" spans="1:16" ht="15" customHeight="1" x14ac:dyDescent="0.25">
      <c r="A419" s="93"/>
      <c r="B419" s="93"/>
      <c r="C419" s="93"/>
      <c r="D419" s="93"/>
      <c r="E419" s="93"/>
      <c r="F419" s="93"/>
      <c r="G419" s="93"/>
      <c r="H419" s="93"/>
      <c r="I419" s="93"/>
      <c r="J419" s="93"/>
      <c r="K419" s="93"/>
      <c r="L419" s="93"/>
      <c r="M419" s="93"/>
      <c r="N419" s="93"/>
      <c r="O419" s="93"/>
      <c r="P419" s="93"/>
    </row>
    <row r="420" spans="1:16" ht="15" customHeight="1" x14ac:dyDescent="0.25">
      <c r="A420" s="93"/>
      <c r="B420" s="93"/>
      <c r="C420" s="93"/>
      <c r="D420" s="93"/>
      <c r="E420" s="93"/>
      <c r="F420" s="93"/>
      <c r="G420" s="93"/>
      <c r="H420" s="93"/>
      <c r="I420" s="93"/>
      <c r="J420" s="93"/>
      <c r="K420" s="93"/>
      <c r="L420" s="93"/>
      <c r="M420" s="93"/>
      <c r="N420" s="93"/>
      <c r="O420" s="93"/>
      <c r="P420" s="93"/>
    </row>
    <row r="421" spans="1:16" ht="15" customHeight="1" x14ac:dyDescent="0.25">
      <c r="A421" s="93"/>
      <c r="B421" s="93"/>
      <c r="C421" s="93"/>
      <c r="D421" s="93"/>
      <c r="E421" s="93"/>
      <c r="F421" s="93"/>
      <c r="G421" s="93"/>
      <c r="H421" s="93"/>
      <c r="I421" s="93"/>
      <c r="J421" s="93"/>
      <c r="K421" s="93"/>
      <c r="L421" s="93"/>
      <c r="M421" s="93"/>
      <c r="N421" s="93"/>
      <c r="O421" s="93"/>
      <c r="P421" s="93"/>
    </row>
    <row r="422" spans="1:16" ht="15" customHeight="1" x14ac:dyDescent="0.25">
      <c r="A422" s="93"/>
      <c r="B422" s="93"/>
      <c r="C422" s="93"/>
      <c r="D422" s="93"/>
      <c r="E422" s="93"/>
      <c r="F422" s="93"/>
      <c r="G422" s="93"/>
      <c r="H422" s="93"/>
      <c r="I422" s="93"/>
      <c r="J422" s="93"/>
      <c r="K422" s="93"/>
      <c r="L422" s="93"/>
      <c r="M422" s="93"/>
      <c r="N422" s="93"/>
      <c r="O422" s="93"/>
      <c r="P422" s="93"/>
    </row>
    <row r="423" spans="1:16" ht="15" customHeight="1" x14ac:dyDescent="0.25">
      <c r="A423" s="93"/>
      <c r="B423" s="93"/>
      <c r="C423" s="93"/>
      <c r="D423" s="93"/>
      <c r="E423" s="93"/>
      <c r="F423" s="93"/>
      <c r="G423" s="93"/>
      <c r="H423" s="93"/>
      <c r="I423" s="93"/>
      <c r="J423" s="93"/>
      <c r="K423" s="93"/>
      <c r="L423" s="93"/>
      <c r="M423" s="93"/>
      <c r="N423" s="93"/>
      <c r="O423" s="93"/>
      <c r="P423" s="93"/>
    </row>
    <row r="424" spans="1:16" ht="15" customHeight="1" x14ac:dyDescent="0.25">
      <c r="A424" s="93"/>
      <c r="B424" s="93"/>
      <c r="C424" s="93"/>
      <c r="D424" s="93"/>
      <c r="E424" s="93"/>
      <c r="F424" s="93"/>
      <c r="G424" s="93"/>
      <c r="H424" s="93"/>
      <c r="I424" s="93"/>
      <c r="J424" s="93"/>
      <c r="K424" s="93"/>
      <c r="L424" s="93"/>
      <c r="M424" s="93"/>
      <c r="N424" s="93"/>
      <c r="O424" s="93"/>
      <c r="P424" s="93"/>
    </row>
    <row r="425" spans="1:16" ht="15" customHeight="1" x14ac:dyDescent="0.25">
      <c r="A425" s="93"/>
      <c r="B425" s="93"/>
      <c r="C425" s="93"/>
      <c r="D425" s="93"/>
      <c r="E425" s="93"/>
      <c r="F425" s="93"/>
      <c r="G425" s="93"/>
      <c r="H425" s="93"/>
      <c r="I425" s="93"/>
      <c r="J425" s="93"/>
      <c r="K425" s="93"/>
      <c r="L425" s="93"/>
      <c r="M425" s="93"/>
      <c r="N425" s="93"/>
      <c r="O425" s="93"/>
      <c r="P425" s="93"/>
    </row>
    <row r="426" spans="1:16" ht="15" customHeight="1" x14ac:dyDescent="0.25">
      <c r="A426" s="93"/>
      <c r="B426" s="93"/>
      <c r="C426" s="93"/>
      <c r="D426" s="93"/>
      <c r="E426" s="93"/>
      <c r="F426" s="93"/>
      <c r="G426" s="93"/>
      <c r="H426" s="93"/>
      <c r="I426" s="93"/>
      <c r="J426" s="93"/>
      <c r="K426" s="93"/>
      <c r="L426" s="93"/>
      <c r="M426" s="93"/>
      <c r="N426" s="93"/>
      <c r="O426" s="93"/>
      <c r="P426" s="93"/>
    </row>
    <row r="427" spans="1:16" ht="15" customHeight="1" x14ac:dyDescent="0.25">
      <c r="A427" s="93"/>
      <c r="B427" s="93"/>
      <c r="C427" s="93"/>
      <c r="D427" s="93"/>
      <c r="E427" s="93"/>
      <c r="F427" s="93"/>
      <c r="G427" s="93"/>
      <c r="H427" s="93"/>
      <c r="I427" s="93"/>
      <c r="J427" s="93"/>
      <c r="K427" s="93"/>
      <c r="L427" s="93"/>
      <c r="M427" s="93"/>
      <c r="N427" s="93"/>
      <c r="O427" s="93"/>
      <c r="P427" s="93"/>
    </row>
    <row r="428" spans="1:16" ht="15" customHeight="1" x14ac:dyDescent="0.25">
      <c r="A428" s="93"/>
      <c r="B428" s="93"/>
      <c r="C428" s="93"/>
      <c r="D428" s="93"/>
      <c r="E428" s="93"/>
      <c r="F428" s="93"/>
      <c r="G428" s="93"/>
      <c r="H428" s="93"/>
      <c r="I428" s="93"/>
      <c r="J428" s="93"/>
      <c r="K428" s="93"/>
      <c r="L428" s="93"/>
      <c r="M428" s="93"/>
      <c r="N428" s="93"/>
      <c r="O428" s="93"/>
      <c r="P428" s="93"/>
    </row>
    <row r="429" spans="1:16" ht="15" customHeight="1" x14ac:dyDescent="0.25">
      <c r="A429" s="93"/>
      <c r="B429" s="93"/>
      <c r="C429" s="93"/>
      <c r="D429" s="93"/>
      <c r="E429" s="93"/>
      <c r="F429" s="93"/>
      <c r="G429" s="93"/>
      <c r="H429" s="93"/>
      <c r="I429" s="93"/>
      <c r="J429" s="93"/>
      <c r="K429" s="93"/>
      <c r="L429" s="93"/>
      <c r="M429" s="93"/>
      <c r="N429" s="93"/>
      <c r="O429" s="93"/>
      <c r="P429" s="93"/>
    </row>
    <row r="430" spans="1:16" ht="15" customHeight="1" x14ac:dyDescent="0.25">
      <c r="A430" s="93"/>
      <c r="B430" s="93"/>
      <c r="C430" s="93"/>
      <c r="D430" s="93"/>
      <c r="E430" s="93"/>
      <c r="F430" s="93"/>
      <c r="G430" s="93"/>
      <c r="H430" s="93"/>
      <c r="I430" s="93"/>
      <c r="J430" s="93"/>
      <c r="K430" s="93"/>
      <c r="L430" s="93"/>
      <c r="M430" s="93"/>
      <c r="N430" s="93"/>
      <c r="O430" s="93"/>
      <c r="P430" s="93"/>
    </row>
    <row r="431" spans="1:16" ht="15" customHeight="1" x14ac:dyDescent="0.25">
      <c r="A431" s="93"/>
      <c r="B431" s="93"/>
      <c r="C431" s="93"/>
      <c r="D431" s="93"/>
      <c r="E431" s="93"/>
      <c r="F431" s="93"/>
      <c r="G431" s="93"/>
      <c r="H431" s="93"/>
      <c r="I431" s="93"/>
      <c r="J431" s="93"/>
      <c r="K431" s="93"/>
      <c r="L431" s="93"/>
      <c r="M431" s="93"/>
      <c r="N431" s="93"/>
      <c r="O431" s="93"/>
      <c r="P431" s="93"/>
    </row>
    <row r="432" spans="1:16" ht="15" customHeight="1" x14ac:dyDescent="0.25">
      <c r="A432" s="93"/>
      <c r="B432" s="93"/>
      <c r="C432" s="93"/>
      <c r="D432" s="93"/>
      <c r="E432" s="93"/>
      <c r="F432" s="93"/>
      <c r="G432" s="93"/>
      <c r="H432" s="93"/>
      <c r="I432" s="93"/>
      <c r="J432" s="93"/>
      <c r="K432" s="93"/>
      <c r="L432" s="93"/>
      <c r="M432" s="93"/>
      <c r="N432" s="93"/>
      <c r="O432" s="93"/>
      <c r="P432" s="93"/>
    </row>
    <row r="433" spans="1:16" ht="15" customHeight="1" x14ac:dyDescent="0.25">
      <c r="A433" s="93"/>
      <c r="B433" s="93"/>
      <c r="C433" s="93"/>
      <c r="D433" s="93"/>
      <c r="E433" s="93"/>
      <c r="F433" s="93"/>
      <c r="G433" s="93"/>
      <c r="H433" s="93"/>
      <c r="I433" s="93"/>
      <c r="J433" s="93"/>
      <c r="K433" s="93"/>
      <c r="L433" s="93"/>
      <c r="M433" s="93"/>
      <c r="N433" s="93"/>
      <c r="O433" s="93"/>
      <c r="P433" s="93"/>
    </row>
    <row r="434" spans="1:16" ht="15" customHeight="1" x14ac:dyDescent="0.25">
      <c r="A434" s="93"/>
      <c r="B434" s="93"/>
      <c r="C434" s="93"/>
      <c r="D434" s="93"/>
      <c r="E434" s="93"/>
      <c r="F434" s="93"/>
      <c r="G434" s="93"/>
      <c r="H434" s="93"/>
      <c r="I434" s="93"/>
      <c r="J434" s="93"/>
      <c r="K434" s="93"/>
      <c r="L434" s="93"/>
      <c r="M434" s="93"/>
      <c r="N434" s="93"/>
      <c r="O434" s="93"/>
      <c r="P434" s="93"/>
    </row>
    <row r="435" spans="1:16" ht="15" customHeight="1" x14ac:dyDescent="0.25">
      <c r="A435" s="93"/>
      <c r="B435" s="93"/>
      <c r="C435" s="93"/>
      <c r="D435" s="93"/>
      <c r="E435" s="93"/>
      <c r="F435" s="93"/>
      <c r="G435" s="93"/>
      <c r="H435" s="93"/>
      <c r="I435" s="93"/>
      <c r="J435" s="93"/>
      <c r="K435" s="93"/>
      <c r="L435" s="93"/>
      <c r="M435" s="93"/>
      <c r="N435" s="93"/>
      <c r="O435" s="93"/>
      <c r="P435" s="93"/>
    </row>
    <row r="436" spans="1:16" ht="15" customHeight="1" x14ac:dyDescent="0.25">
      <c r="A436" s="93"/>
      <c r="B436" s="93"/>
      <c r="C436" s="93"/>
      <c r="D436" s="93"/>
      <c r="E436" s="93"/>
      <c r="F436" s="93"/>
      <c r="G436" s="93"/>
      <c r="H436" s="93"/>
      <c r="I436" s="93"/>
      <c r="J436" s="93"/>
      <c r="K436" s="93"/>
      <c r="L436" s="93"/>
      <c r="M436" s="93"/>
      <c r="N436" s="93"/>
      <c r="O436" s="93"/>
      <c r="P436" s="93"/>
    </row>
    <row r="437" spans="1:16" ht="15" customHeight="1" x14ac:dyDescent="0.25">
      <c r="A437" s="93"/>
      <c r="B437" s="93"/>
      <c r="C437" s="93"/>
      <c r="D437" s="93"/>
      <c r="E437" s="93"/>
      <c r="F437" s="93"/>
      <c r="G437" s="93"/>
      <c r="H437" s="93"/>
      <c r="I437" s="93"/>
      <c r="J437" s="93"/>
      <c r="K437" s="93"/>
      <c r="L437" s="93"/>
      <c r="M437" s="93"/>
      <c r="N437" s="93"/>
      <c r="O437" s="93"/>
      <c r="P437" s="93"/>
    </row>
    <row r="438" spans="1:16" ht="15" customHeight="1" x14ac:dyDescent="0.25">
      <c r="A438" s="93"/>
      <c r="B438" s="93"/>
      <c r="C438" s="93"/>
      <c r="D438" s="93"/>
      <c r="E438" s="93"/>
      <c r="F438" s="93"/>
      <c r="G438" s="93"/>
      <c r="H438" s="93"/>
      <c r="I438" s="93"/>
      <c r="J438" s="93"/>
      <c r="K438" s="93"/>
      <c r="L438" s="93"/>
      <c r="M438" s="93"/>
      <c r="N438" s="93"/>
      <c r="O438" s="93"/>
      <c r="P438" s="93"/>
    </row>
    <row r="439" spans="1:16" ht="15" customHeight="1" x14ac:dyDescent="0.25">
      <c r="A439" s="93"/>
      <c r="B439" s="93"/>
      <c r="C439" s="93"/>
      <c r="D439" s="93"/>
      <c r="E439" s="93"/>
      <c r="F439" s="93"/>
      <c r="G439" s="93"/>
      <c r="H439" s="93"/>
      <c r="I439" s="93"/>
      <c r="J439" s="93"/>
      <c r="K439" s="93"/>
      <c r="L439" s="93"/>
      <c r="M439" s="93"/>
      <c r="N439" s="93"/>
      <c r="O439" s="93"/>
      <c r="P439" s="93"/>
    </row>
    <row r="440" spans="1:16" ht="15" customHeight="1" x14ac:dyDescent="0.25">
      <c r="A440" s="93"/>
      <c r="B440" s="93"/>
      <c r="C440" s="93"/>
      <c r="D440" s="93"/>
      <c r="E440" s="93"/>
      <c r="F440" s="93"/>
      <c r="G440" s="93"/>
      <c r="H440" s="93"/>
      <c r="I440" s="93"/>
      <c r="J440" s="93"/>
      <c r="K440" s="93"/>
      <c r="L440" s="93"/>
      <c r="M440" s="93"/>
      <c r="N440" s="93"/>
      <c r="O440" s="93"/>
      <c r="P440" s="93"/>
    </row>
    <row r="441" spans="1:16" ht="15" customHeight="1" x14ac:dyDescent="0.25">
      <c r="A441" s="93"/>
      <c r="B441" s="93"/>
      <c r="C441" s="93"/>
      <c r="D441" s="93"/>
      <c r="E441" s="93"/>
      <c r="F441" s="93"/>
      <c r="G441" s="93"/>
      <c r="H441" s="93"/>
      <c r="I441" s="93"/>
      <c r="J441" s="93"/>
      <c r="K441" s="93"/>
      <c r="L441" s="93"/>
      <c r="M441" s="93"/>
      <c r="N441" s="93"/>
      <c r="O441" s="93"/>
      <c r="P441" s="93"/>
    </row>
    <row r="442" spans="1:16" ht="15" customHeight="1" x14ac:dyDescent="0.25">
      <c r="A442" s="93"/>
      <c r="B442" s="93"/>
      <c r="C442" s="93"/>
      <c r="D442" s="93"/>
      <c r="E442" s="93"/>
      <c r="F442" s="93"/>
      <c r="G442" s="93"/>
      <c r="H442" s="93"/>
      <c r="I442" s="93"/>
      <c r="J442" s="93"/>
      <c r="K442" s="93"/>
      <c r="L442" s="93"/>
      <c r="M442" s="93"/>
      <c r="N442" s="93"/>
      <c r="O442" s="93"/>
      <c r="P442" s="93"/>
    </row>
    <row r="443" spans="1:16" ht="15" customHeight="1" x14ac:dyDescent="0.25">
      <c r="A443" s="93"/>
      <c r="B443" s="93"/>
      <c r="C443" s="93"/>
      <c r="D443" s="93"/>
      <c r="E443" s="93"/>
      <c r="F443" s="93"/>
      <c r="G443" s="93"/>
      <c r="H443" s="93"/>
      <c r="I443" s="93"/>
      <c r="J443" s="93"/>
      <c r="K443" s="93"/>
      <c r="L443" s="93"/>
      <c r="M443" s="93"/>
      <c r="N443" s="93"/>
      <c r="O443" s="93"/>
      <c r="P443" s="93"/>
    </row>
    <row r="444" spans="1:16" ht="15" customHeight="1" x14ac:dyDescent="0.25">
      <c r="A444" s="93"/>
      <c r="B444" s="93"/>
      <c r="C444" s="93"/>
      <c r="D444" s="93"/>
      <c r="E444" s="93"/>
      <c r="F444" s="93"/>
      <c r="G444" s="93"/>
      <c r="H444" s="93"/>
      <c r="I444" s="93"/>
      <c r="J444" s="93"/>
      <c r="K444" s="93"/>
      <c r="L444" s="93"/>
      <c r="M444" s="93"/>
      <c r="N444" s="93"/>
      <c r="O444" s="93"/>
      <c r="P444" s="93"/>
    </row>
    <row r="445" spans="1:16" ht="15" customHeight="1" x14ac:dyDescent="0.25">
      <c r="A445" s="93"/>
      <c r="B445" s="93"/>
      <c r="C445" s="93"/>
      <c r="D445" s="93"/>
      <c r="E445" s="93"/>
      <c r="F445" s="93"/>
      <c r="G445" s="93"/>
      <c r="H445" s="93"/>
      <c r="I445" s="93"/>
      <c r="J445" s="93"/>
      <c r="K445" s="93"/>
      <c r="L445" s="93"/>
      <c r="M445" s="93"/>
      <c r="N445" s="93"/>
      <c r="O445" s="93"/>
      <c r="P445" s="93"/>
    </row>
    <row r="446" spans="1:16" ht="15" customHeight="1" x14ac:dyDescent="0.25">
      <c r="A446" s="93"/>
      <c r="B446" s="93"/>
      <c r="C446" s="93"/>
      <c r="D446" s="93"/>
      <c r="E446" s="93"/>
      <c r="F446" s="93"/>
      <c r="G446" s="93"/>
      <c r="H446" s="93"/>
      <c r="I446" s="93"/>
      <c r="J446" s="93"/>
      <c r="K446" s="93"/>
      <c r="L446" s="93"/>
      <c r="M446" s="93"/>
      <c r="N446" s="93"/>
      <c r="O446" s="93"/>
      <c r="P446" s="93"/>
    </row>
    <row r="447" spans="1:16" ht="15" customHeight="1" x14ac:dyDescent="0.25">
      <c r="A447" s="93"/>
      <c r="B447" s="93"/>
      <c r="C447" s="93"/>
      <c r="D447" s="93"/>
      <c r="E447" s="93"/>
      <c r="F447" s="93"/>
      <c r="G447" s="93"/>
      <c r="H447" s="93"/>
      <c r="I447" s="93"/>
      <c r="J447" s="93"/>
      <c r="K447" s="93"/>
      <c r="L447" s="93"/>
      <c r="M447" s="93"/>
      <c r="N447" s="93"/>
      <c r="O447" s="93"/>
      <c r="P447" s="93"/>
    </row>
    <row r="448" spans="1:16" ht="15" customHeight="1" x14ac:dyDescent="0.25">
      <c r="A448" s="93"/>
      <c r="B448" s="93"/>
      <c r="C448" s="93"/>
      <c r="D448" s="93"/>
      <c r="E448" s="93"/>
      <c r="F448" s="93"/>
      <c r="G448" s="93"/>
      <c r="H448" s="93"/>
      <c r="I448" s="93"/>
      <c r="J448" s="93"/>
      <c r="K448" s="93"/>
      <c r="L448" s="93"/>
      <c r="M448" s="93"/>
      <c r="N448" s="93"/>
      <c r="O448" s="93"/>
      <c r="P448" s="93"/>
    </row>
    <row r="449" ht="15" customHeight="1" x14ac:dyDescent="0.25"/>
  </sheetData>
  <pageMargins left="0.7" right="0.7" top="0.75" bottom="0.75" header="0.3" footer="0.3"/>
  <pageSetup paperSize="9"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425"/>
  <sheetViews>
    <sheetView tabSelected="1" topLeftCell="A397" zoomScaleNormal="100" workbookViewId="0">
      <selection activeCell="B434" sqref="B434"/>
    </sheetView>
  </sheetViews>
  <sheetFormatPr baseColWidth="10" defaultRowHeight="15" x14ac:dyDescent="0.25"/>
  <cols>
    <col min="1" max="1" width="43" customWidth="1"/>
    <col min="2" max="2" width="17.85546875" customWidth="1"/>
    <col min="3" max="3" width="5.28515625" customWidth="1"/>
    <col min="4" max="4" width="15.5703125" customWidth="1"/>
  </cols>
  <sheetData>
    <row r="1" spans="1:5" x14ac:dyDescent="0.25">
      <c r="A1" s="4" t="s">
        <v>272</v>
      </c>
      <c r="B1" s="5" t="s">
        <v>273</v>
      </c>
      <c r="D1" s="4" t="s">
        <v>270</v>
      </c>
    </row>
    <row r="2" spans="1:5" x14ac:dyDescent="0.25">
      <c r="A2" s="3" t="s">
        <v>522</v>
      </c>
      <c r="B2" s="6" t="s">
        <v>5452</v>
      </c>
      <c r="D2" s="101" t="s">
        <v>12</v>
      </c>
    </row>
    <row r="3" spans="1:5" x14ac:dyDescent="0.25">
      <c r="A3" s="3" t="s">
        <v>1225</v>
      </c>
      <c r="B3" s="6" t="s">
        <v>5453</v>
      </c>
      <c r="D3" s="101" t="s">
        <v>13</v>
      </c>
    </row>
    <row r="4" spans="1:5" x14ac:dyDescent="0.25">
      <c r="A4" s="3" t="s">
        <v>1364</v>
      </c>
      <c r="B4" s="6" t="s">
        <v>1365</v>
      </c>
      <c r="D4" s="101" t="s">
        <v>14</v>
      </c>
    </row>
    <row r="5" spans="1:5" x14ac:dyDescent="0.25">
      <c r="A5" s="3" t="s">
        <v>1251</v>
      </c>
      <c r="B5" s="6" t="s">
        <v>5454</v>
      </c>
      <c r="D5" s="101" t="s">
        <v>360</v>
      </c>
    </row>
    <row r="6" spans="1:5" x14ac:dyDescent="0.25">
      <c r="A6" s="3" t="s">
        <v>1252</v>
      </c>
      <c r="B6" s="6" t="s">
        <v>5455</v>
      </c>
      <c r="D6" s="4" t="s">
        <v>426</v>
      </c>
      <c r="E6" s="101">
        <v>75</v>
      </c>
    </row>
    <row r="7" spans="1:5" x14ac:dyDescent="0.25">
      <c r="A7" s="3" t="s">
        <v>1366</v>
      </c>
      <c r="B7" s="6" t="s">
        <v>1367</v>
      </c>
      <c r="D7" s="4" t="s">
        <v>427</v>
      </c>
      <c r="E7" t="s">
        <v>428</v>
      </c>
    </row>
    <row r="8" spans="1:5" x14ac:dyDescent="0.25">
      <c r="A8" s="3" t="s">
        <v>2989</v>
      </c>
      <c r="B8" s="6" t="s">
        <v>2990</v>
      </c>
      <c r="D8" s="4"/>
    </row>
    <row r="9" spans="1:5" x14ac:dyDescent="0.25">
      <c r="A9" s="3" t="s">
        <v>4789</v>
      </c>
      <c r="B9" s="6" t="s">
        <v>4792</v>
      </c>
      <c r="D9" s="4"/>
    </row>
    <row r="10" spans="1:5" x14ac:dyDescent="0.25">
      <c r="A10" s="3" t="s">
        <v>4790</v>
      </c>
      <c r="B10" s="6" t="s">
        <v>4793</v>
      </c>
      <c r="D10" s="4"/>
    </row>
    <row r="11" spans="1:5" x14ac:dyDescent="0.25">
      <c r="A11" s="3" t="s">
        <v>4791</v>
      </c>
      <c r="B11" s="6" t="s">
        <v>4794</v>
      </c>
      <c r="D11" s="4" t="s">
        <v>271</v>
      </c>
    </row>
    <row r="12" spans="1:5" x14ac:dyDescent="0.25">
      <c r="A12" s="3" t="s">
        <v>2993</v>
      </c>
      <c r="B12" s="6" t="s">
        <v>4795</v>
      </c>
      <c r="D12" s="101" t="s">
        <v>268</v>
      </c>
    </row>
    <row r="13" spans="1:5" x14ac:dyDescent="0.25">
      <c r="A13" s="3" t="s">
        <v>2991</v>
      </c>
      <c r="B13" s="6" t="s">
        <v>2992</v>
      </c>
      <c r="D13" s="101" t="s">
        <v>269</v>
      </c>
    </row>
    <row r="14" spans="1:5" x14ac:dyDescent="0.25">
      <c r="A14" s="3" t="s">
        <v>4838</v>
      </c>
      <c r="B14" s="6" t="s">
        <v>4839</v>
      </c>
      <c r="D14" s="101" t="s">
        <v>14</v>
      </c>
    </row>
    <row r="15" spans="1:5" x14ac:dyDescent="0.25">
      <c r="A15" s="3" t="s">
        <v>5456</v>
      </c>
      <c r="B15" s="6">
        <v>74853567</v>
      </c>
      <c r="D15" s="101" t="s">
        <v>360</v>
      </c>
    </row>
    <row r="16" spans="1:5" x14ac:dyDescent="0.25">
      <c r="A16" s="3" t="s">
        <v>5457</v>
      </c>
      <c r="B16" s="6">
        <v>72889244</v>
      </c>
      <c r="D16" s="4" t="s">
        <v>426</v>
      </c>
      <c r="E16" s="101">
        <v>75</v>
      </c>
    </row>
    <row r="17" spans="1:5" x14ac:dyDescent="0.25">
      <c r="A17" s="3" t="s">
        <v>5458</v>
      </c>
      <c r="B17" s="6" t="s">
        <v>6121</v>
      </c>
      <c r="D17" s="4" t="s">
        <v>427</v>
      </c>
      <c r="E17" s="101" t="s">
        <v>428</v>
      </c>
    </row>
    <row r="18" spans="1:5" x14ac:dyDescent="0.25">
      <c r="A18" s="3" t="s">
        <v>5459</v>
      </c>
      <c r="B18" s="6">
        <v>50551189</v>
      </c>
    </row>
    <row r="19" spans="1:5" x14ac:dyDescent="0.25">
      <c r="A19" s="3" t="s">
        <v>5460</v>
      </c>
      <c r="B19" s="6">
        <v>74942106</v>
      </c>
    </row>
    <row r="20" spans="1:5" x14ac:dyDescent="0.25">
      <c r="A20" s="3" t="s">
        <v>5461</v>
      </c>
      <c r="B20" s="6">
        <v>48432952</v>
      </c>
    </row>
    <row r="21" spans="1:5" x14ac:dyDescent="0.25">
      <c r="A21" s="3" t="s">
        <v>5462</v>
      </c>
      <c r="B21" s="6" t="s">
        <v>6122</v>
      </c>
    </row>
    <row r="22" spans="1:5" x14ac:dyDescent="0.25">
      <c r="A22" s="3" t="s">
        <v>5463</v>
      </c>
      <c r="B22" s="6">
        <v>75796891</v>
      </c>
    </row>
    <row r="23" spans="1:5" x14ac:dyDescent="0.25">
      <c r="A23" s="3" t="s">
        <v>5464</v>
      </c>
      <c r="B23" s="6" t="s">
        <v>5466</v>
      </c>
    </row>
    <row r="24" spans="1:5" x14ac:dyDescent="0.25">
      <c r="A24" s="3" t="s">
        <v>5465</v>
      </c>
      <c r="B24" s="6" t="s">
        <v>5956</v>
      </c>
    </row>
    <row r="25" spans="1:5" x14ac:dyDescent="0.25">
      <c r="A25" s="3" t="s">
        <v>5470</v>
      </c>
      <c r="B25" s="6" t="s">
        <v>5955</v>
      </c>
    </row>
    <row r="26" spans="1:5" x14ac:dyDescent="0.25">
      <c r="A26" s="3" t="s">
        <v>5471</v>
      </c>
      <c r="B26" s="6" t="s">
        <v>5957</v>
      </c>
    </row>
    <row r="27" spans="1:5" x14ac:dyDescent="0.25">
      <c r="A27" s="3" t="s">
        <v>5472</v>
      </c>
      <c r="B27" s="6" t="s">
        <v>5958</v>
      </c>
    </row>
    <row r="28" spans="1:5" x14ac:dyDescent="0.25">
      <c r="A28" s="3" t="s">
        <v>5473</v>
      </c>
      <c r="B28" s="6" t="s">
        <v>5959</v>
      </c>
    </row>
    <row r="29" spans="1:5" x14ac:dyDescent="0.25">
      <c r="A29" s="3" t="s">
        <v>5474</v>
      </c>
      <c r="B29" s="6" t="s">
        <v>5960</v>
      </c>
    </row>
    <row r="30" spans="1:5" x14ac:dyDescent="0.25">
      <c r="A30" s="3" t="s">
        <v>5475</v>
      </c>
      <c r="B30" s="6" t="s">
        <v>5961</v>
      </c>
    </row>
    <row r="31" spans="1:5" x14ac:dyDescent="0.25">
      <c r="A31" s="3" t="s">
        <v>5476</v>
      </c>
      <c r="B31" s="6" t="s">
        <v>5962</v>
      </c>
    </row>
    <row r="32" spans="1:5" x14ac:dyDescent="0.25">
      <c r="A32" s="3" t="s">
        <v>5477</v>
      </c>
      <c r="B32" s="6" t="s">
        <v>5871</v>
      </c>
    </row>
    <row r="33" spans="1:2" x14ac:dyDescent="0.25">
      <c r="A33" s="3" t="s">
        <v>5478</v>
      </c>
      <c r="B33" s="6" t="s">
        <v>5872</v>
      </c>
    </row>
    <row r="34" spans="1:2" x14ac:dyDescent="0.25">
      <c r="A34" s="3" t="s">
        <v>5479</v>
      </c>
      <c r="B34" s="6" t="s">
        <v>5873</v>
      </c>
    </row>
    <row r="35" spans="1:2" x14ac:dyDescent="0.25">
      <c r="A35" s="3" t="s">
        <v>5480</v>
      </c>
      <c r="B35" s="6" t="s">
        <v>5874</v>
      </c>
    </row>
    <row r="36" spans="1:2" x14ac:dyDescent="0.25">
      <c r="A36" s="3" t="s">
        <v>5481</v>
      </c>
      <c r="B36" s="6">
        <v>70826436</v>
      </c>
    </row>
    <row r="37" spans="1:2" x14ac:dyDescent="0.25">
      <c r="A37" s="3" t="s">
        <v>5482</v>
      </c>
      <c r="B37" s="6">
        <v>26748791</v>
      </c>
    </row>
    <row r="38" spans="1:2" x14ac:dyDescent="0.25">
      <c r="A38" s="3" t="s">
        <v>5483</v>
      </c>
      <c r="B38" s="6">
        <v>44876888</v>
      </c>
    </row>
    <row r="39" spans="1:2" x14ac:dyDescent="0.25">
      <c r="A39" s="3" t="s">
        <v>5484</v>
      </c>
      <c r="B39" s="6">
        <v>51990265</v>
      </c>
    </row>
    <row r="40" spans="1:2" x14ac:dyDescent="0.25">
      <c r="A40" s="3" t="s">
        <v>5485</v>
      </c>
      <c r="B40" s="6" t="s">
        <v>5875</v>
      </c>
    </row>
    <row r="41" spans="1:2" x14ac:dyDescent="0.25">
      <c r="A41" s="3" t="s">
        <v>5486</v>
      </c>
      <c r="B41" s="6">
        <v>70078658</v>
      </c>
    </row>
    <row r="42" spans="1:2" x14ac:dyDescent="0.25">
      <c r="A42" s="3" t="s">
        <v>5487</v>
      </c>
      <c r="B42" s="6">
        <v>51424457</v>
      </c>
    </row>
    <row r="43" spans="1:2" x14ac:dyDescent="0.25">
      <c r="A43" s="3" t="s">
        <v>5488</v>
      </c>
      <c r="B43" s="6">
        <v>47155639</v>
      </c>
    </row>
    <row r="44" spans="1:2" x14ac:dyDescent="0.25">
      <c r="A44" s="3" t="s">
        <v>5489</v>
      </c>
      <c r="B44" s="6" t="s">
        <v>5963</v>
      </c>
    </row>
    <row r="45" spans="1:2" x14ac:dyDescent="0.25">
      <c r="A45" s="3" t="s">
        <v>5490</v>
      </c>
      <c r="B45" s="6" t="s">
        <v>5964</v>
      </c>
    </row>
    <row r="46" spans="1:2" x14ac:dyDescent="0.25">
      <c r="A46" s="3" t="s">
        <v>5491</v>
      </c>
      <c r="B46" s="6" t="s">
        <v>5965</v>
      </c>
    </row>
    <row r="47" spans="1:2" x14ac:dyDescent="0.25">
      <c r="A47" s="3" t="s">
        <v>5492</v>
      </c>
      <c r="B47" s="6" t="s">
        <v>5876</v>
      </c>
    </row>
    <row r="48" spans="1:2" x14ac:dyDescent="0.25">
      <c r="A48" s="3" t="s">
        <v>5493</v>
      </c>
      <c r="B48" s="6" t="s">
        <v>5966</v>
      </c>
    </row>
    <row r="49" spans="1:2" x14ac:dyDescent="0.25">
      <c r="A49" s="3" t="s">
        <v>5494</v>
      </c>
      <c r="B49" s="6" t="s">
        <v>5877</v>
      </c>
    </row>
    <row r="50" spans="1:2" x14ac:dyDescent="0.25">
      <c r="A50" s="3" t="s">
        <v>5495</v>
      </c>
      <c r="B50" s="6" t="s">
        <v>5967</v>
      </c>
    </row>
    <row r="51" spans="1:2" x14ac:dyDescent="0.25">
      <c r="A51" s="3" t="s">
        <v>5496</v>
      </c>
      <c r="B51" s="6" t="s">
        <v>5968</v>
      </c>
    </row>
    <row r="52" spans="1:2" x14ac:dyDescent="0.25">
      <c r="A52" s="3" t="s">
        <v>5497</v>
      </c>
      <c r="B52" s="6" t="s">
        <v>5969</v>
      </c>
    </row>
    <row r="53" spans="1:2" x14ac:dyDescent="0.25">
      <c r="A53" s="3" t="s">
        <v>5498</v>
      </c>
      <c r="B53" s="6" t="s">
        <v>5970</v>
      </c>
    </row>
    <row r="54" spans="1:2" x14ac:dyDescent="0.25">
      <c r="A54" s="3" t="s">
        <v>5499</v>
      </c>
      <c r="B54" s="6">
        <v>48616347</v>
      </c>
    </row>
    <row r="55" spans="1:2" x14ac:dyDescent="0.25">
      <c r="A55" s="3" t="s">
        <v>5500</v>
      </c>
      <c r="B55" s="6" t="s">
        <v>5878</v>
      </c>
    </row>
    <row r="56" spans="1:2" x14ac:dyDescent="0.25">
      <c r="A56" s="3" t="s">
        <v>5501</v>
      </c>
      <c r="B56" s="6">
        <v>54297754</v>
      </c>
    </row>
    <row r="57" spans="1:2" x14ac:dyDescent="0.25">
      <c r="A57" s="3" t="s">
        <v>5502</v>
      </c>
      <c r="B57" s="6">
        <v>52008233</v>
      </c>
    </row>
    <row r="58" spans="1:2" x14ac:dyDescent="0.25">
      <c r="A58" s="3" t="s">
        <v>5503</v>
      </c>
      <c r="B58" s="6">
        <v>50242143</v>
      </c>
    </row>
    <row r="59" spans="1:2" x14ac:dyDescent="0.25">
      <c r="A59" s="3" t="s">
        <v>5504</v>
      </c>
      <c r="B59" s="6">
        <v>34272281</v>
      </c>
    </row>
    <row r="60" spans="1:2" x14ac:dyDescent="0.25">
      <c r="A60" s="3" t="s">
        <v>5505</v>
      </c>
      <c r="B60" s="6" t="s">
        <v>5879</v>
      </c>
    </row>
    <row r="61" spans="1:2" x14ac:dyDescent="0.25">
      <c r="A61" s="3" t="s">
        <v>5506</v>
      </c>
      <c r="B61" s="6">
        <v>71295181</v>
      </c>
    </row>
    <row r="62" spans="1:2" x14ac:dyDescent="0.25">
      <c r="A62" s="3" t="s">
        <v>5507</v>
      </c>
      <c r="B62" s="6" t="s">
        <v>5880</v>
      </c>
    </row>
    <row r="63" spans="1:2" x14ac:dyDescent="0.25">
      <c r="A63" s="3" t="s">
        <v>5508</v>
      </c>
      <c r="B63" s="6">
        <v>50769918</v>
      </c>
    </row>
    <row r="64" spans="1:2" x14ac:dyDescent="0.25">
      <c r="A64" s="3" t="s">
        <v>5509</v>
      </c>
      <c r="B64" s="6">
        <v>50231709</v>
      </c>
    </row>
    <row r="65" spans="1:2" x14ac:dyDescent="0.25">
      <c r="A65" s="3" t="s">
        <v>5510</v>
      </c>
      <c r="B65" s="6">
        <v>49306101</v>
      </c>
    </row>
    <row r="66" spans="1:2" x14ac:dyDescent="0.25">
      <c r="A66" s="3" t="s">
        <v>5511</v>
      </c>
      <c r="B66" s="6" t="s">
        <v>5881</v>
      </c>
    </row>
    <row r="67" spans="1:2" x14ac:dyDescent="0.25">
      <c r="A67" s="3" t="s">
        <v>5512</v>
      </c>
      <c r="B67" s="6">
        <v>70073931</v>
      </c>
    </row>
    <row r="68" spans="1:2" x14ac:dyDescent="0.25">
      <c r="A68" s="3" t="s">
        <v>5513</v>
      </c>
      <c r="B68" s="6" t="s">
        <v>5882</v>
      </c>
    </row>
    <row r="69" spans="1:2" x14ac:dyDescent="0.25">
      <c r="A69" s="3" t="s">
        <v>5514</v>
      </c>
      <c r="B69" s="6">
        <v>54049478</v>
      </c>
    </row>
    <row r="70" spans="1:2" x14ac:dyDescent="0.25">
      <c r="A70" s="3" t="s">
        <v>5515</v>
      </c>
      <c r="B70" s="6">
        <v>53469388</v>
      </c>
    </row>
    <row r="71" spans="1:2" x14ac:dyDescent="0.25">
      <c r="A71" s="3" t="s">
        <v>5516</v>
      </c>
      <c r="B71" s="6">
        <v>70582414</v>
      </c>
    </row>
    <row r="72" spans="1:2" x14ac:dyDescent="0.25">
      <c r="A72" s="3" t="s">
        <v>5517</v>
      </c>
      <c r="B72" s="6">
        <v>51136295</v>
      </c>
    </row>
    <row r="73" spans="1:2" x14ac:dyDescent="0.25">
      <c r="A73" s="3" t="s">
        <v>5518</v>
      </c>
      <c r="B73" s="6">
        <v>70081535</v>
      </c>
    </row>
    <row r="74" spans="1:2" x14ac:dyDescent="0.25">
      <c r="A74" s="3" t="s">
        <v>5519</v>
      </c>
      <c r="B74" s="6">
        <v>47300007</v>
      </c>
    </row>
    <row r="75" spans="1:2" x14ac:dyDescent="0.25">
      <c r="A75" s="3" t="s">
        <v>5520</v>
      </c>
      <c r="B75" s="6">
        <v>51710537</v>
      </c>
    </row>
    <row r="76" spans="1:2" x14ac:dyDescent="0.25">
      <c r="A76" s="3" t="s">
        <v>5521</v>
      </c>
      <c r="B76" s="6" t="s">
        <v>5971</v>
      </c>
    </row>
    <row r="77" spans="1:2" x14ac:dyDescent="0.25">
      <c r="A77" s="3" t="s">
        <v>5522</v>
      </c>
      <c r="B77" s="6" t="s">
        <v>5883</v>
      </c>
    </row>
    <row r="78" spans="1:2" x14ac:dyDescent="0.25">
      <c r="A78" s="3" t="s">
        <v>5523</v>
      </c>
      <c r="B78" s="6" t="s">
        <v>5884</v>
      </c>
    </row>
    <row r="79" spans="1:2" x14ac:dyDescent="0.25">
      <c r="A79" s="3" t="s">
        <v>5524</v>
      </c>
      <c r="B79" s="6">
        <v>71222791</v>
      </c>
    </row>
    <row r="80" spans="1:2" x14ac:dyDescent="0.25">
      <c r="A80" s="3" t="s">
        <v>5525</v>
      </c>
      <c r="B80" s="6">
        <v>11901546</v>
      </c>
    </row>
    <row r="81" spans="1:2" x14ac:dyDescent="0.25">
      <c r="A81" s="3" t="s">
        <v>5526</v>
      </c>
      <c r="B81" s="6" t="s">
        <v>5885</v>
      </c>
    </row>
    <row r="82" spans="1:2" x14ac:dyDescent="0.25">
      <c r="A82" s="3" t="s">
        <v>5527</v>
      </c>
      <c r="B82" s="6">
        <v>54348015</v>
      </c>
    </row>
    <row r="83" spans="1:2" x14ac:dyDescent="0.25">
      <c r="A83" s="3" t="s">
        <v>5528</v>
      </c>
      <c r="B83" s="6">
        <v>50226939</v>
      </c>
    </row>
    <row r="84" spans="1:2" x14ac:dyDescent="0.25">
      <c r="A84" s="3" t="s">
        <v>5529</v>
      </c>
      <c r="B84" s="6" t="s">
        <v>5886</v>
      </c>
    </row>
    <row r="85" spans="1:2" x14ac:dyDescent="0.25">
      <c r="A85" s="3" t="s">
        <v>5530</v>
      </c>
      <c r="B85" s="6" t="s">
        <v>5887</v>
      </c>
    </row>
    <row r="86" spans="1:2" x14ac:dyDescent="0.25">
      <c r="A86" s="3" t="s">
        <v>5531</v>
      </c>
      <c r="B86" s="6" t="s">
        <v>5888</v>
      </c>
    </row>
    <row r="87" spans="1:2" x14ac:dyDescent="0.25">
      <c r="A87" s="3" t="s">
        <v>5532</v>
      </c>
      <c r="B87" s="6" t="s">
        <v>5889</v>
      </c>
    </row>
    <row r="88" spans="1:2" x14ac:dyDescent="0.25">
      <c r="A88" s="3" t="s">
        <v>5533</v>
      </c>
      <c r="B88" s="6">
        <v>49015578</v>
      </c>
    </row>
    <row r="89" spans="1:2" x14ac:dyDescent="0.25">
      <c r="A89" s="3" t="s">
        <v>5534</v>
      </c>
      <c r="B89" s="6" t="s">
        <v>5890</v>
      </c>
    </row>
    <row r="90" spans="1:2" x14ac:dyDescent="0.25">
      <c r="A90" s="3" t="s">
        <v>5535</v>
      </c>
      <c r="B90" s="6">
        <v>45074895</v>
      </c>
    </row>
    <row r="91" spans="1:2" x14ac:dyDescent="0.25">
      <c r="A91" s="3" t="s">
        <v>5536</v>
      </c>
      <c r="B91" s="6">
        <v>45274076</v>
      </c>
    </row>
    <row r="92" spans="1:2" x14ac:dyDescent="0.25">
      <c r="A92" s="3" t="s">
        <v>5537</v>
      </c>
      <c r="B92" s="6">
        <v>32647821</v>
      </c>
    </row>
    <row r="93" spans="1:2" x14ac:dyDescent="0.25">
      <c r="A93" s="3" t="s">
        <v>5538</v>
      </c>
      <c r="B93" s="6" t="s">
        <v>5891</v>
      </c>
    </row>
    <row r="94" spans="1:2" x14ac:dyDescent="0.25">
      <c r="A94" s="3" t="s">
        <v>5539</v>
      </c>
      <c r="B94" s="6">
        <v>50304076</v>
      </c>
    </row>
    <row r="95" spans="1:2" x14ac:dyDescent="0.25">
      <c r="A95" s="3" t="s">
        <v>5540</v>
      </c>
      <c r="B95" s="6">
        <v>11965003</v>
      </c>
    </row>
    <row r="96" spans="1:2" x14ac:dyDescent="0.25">
      <c r="A96" s="3" t="s">
        <v>5541</v>
      </c>
      <c r="B96" s="6" t="s">
        <v>5892</v>
      </c>
    </row>
    <row r="97" spans="1:2" x14ac:dyDescent="0.25">
      <c r="A97" s="3" t="s">
        <v>5542</v>
      </c>
      <c r="B97" s="6" t="s">
        <v>5893</v>
      </c>
    </row>
    <row r="98" spans="1:2" x14ac:dyDescent="0.25">
      <c r="A98" s="3" t="s">
        <v>5543</v>
      </c>
      <c r="B98" s="6">
        <v>39877870</v>
      </c>
    </row>
    <row r="99" spans="1:2" x14ac:dyDescent="0.25">
      <c r="A99" s="3" t="s">
        <v>5544</v>
      </c>
      <c r="B99" s="6">
        <v>12395637</v>
      </c>
    </row>
    <row r="100" spans="1:2" x14ac:dyDescent="0.25">
      <c r="A100" s="3" t="s">
        <v>5545</v>
      </c>
      <c r="B100" s="6">
        <v>70865077</v>
      </c>
    </row>
    <row r="101" spans="1:2" x14ac:dyDescent="0.25">
      <c r="A101" s="3" t="s">
        <v>5546</v>
      </c>
      <c r="B101" s="6">
        <v>44380839</v>
      </c>
    </row>
    <row r="102" spans="1:2" x14ac:dyDescent="0.25">
      <c r="A102" s="3" t="s">
        <v>5547</v>
      </c>
      <c r="B102" s="6">
        <v>52329430</v>
      </c>
    </row>
    <row r="103" spans="1:2" x14ac:dyDescent="0.25">
      <c r="A103" s="3" t="s">
        <v>5548</v>
      </c>
      <c r="B103" s="6" t="s">
        <v>5894</v>
      </c>
    </row>
    <row r="104" spans="1:2" x14ac:dyDescent="0.25">
      <c r="A104" s="3" t="s">
        <v>5549</v>
      </c>
      <c r="B104" s="6">
        <v>70057279</v>
      </c>
    </row>
    <row r="105" spans="1:2" x14ac:dyDescent="0.25">
      <c r="A105" s="3" t="s">
        <v>5550</v>
      </c>
      <c r="B105" s="6">
        <v>70246760</v>
      </c>
    </row>
    <row r="106" spans="1:2" x14ac:dyDescent="0.25">
      <c r="A106" s="3" t="s">
        <v>5551</v>
      </c>
      <c r="B106" s="6" t="s">
        <v>5972</v>
      </c>
    </row>
    <row r="107" spans="1:2" x14ac:dyDescent="0.25">
      <c r="A107" s="3" t="s">
        <v>5552</v>
      </c>
      <c r="B107" s="6">
        <v>48968964</v>
      </c>
    </row>
    <row r="108" spans="1:2" x14ac:dyDescent="0.25">
      <c r="A108" s="3" t="s">
        <v>5553</v>
      </c>
      <c r="B108" s="6" t="s">
        <v>5973</v>
      </c>
    </row>
    <row r="109" spans="1:2" x14ac:dyDescent="0.25">
      <c r="A109" s="3" t="s">
        <v>5554</v>
      </c>
      <c r="B109" s="6">
        <v>44373733</v>
      </c>
    </row>
    <row r="110" spans="1:2" x14ac:dyDescent="0.25">
      <c r="A110" s="3" t="s">
        <v>5555</v>
      </c>
      <c r="B110" s="6" t="s">
        <v>5895</v>
      </c>
    </row>
    <row r="111" spans="1:2" x14ac:dyDescent="0.25">
      <c r="A111" s="3" t="s">
        <v>5556</v>
      </c>
      <c r="B111" s="6">
        <v>51424458</v>
      </c>
    </row>
    <row r="112" spans="1:2" x14ac:dyDescent="0.25">
      <c r="A112" s="3" t="s">
        <v>5557</v>
      </c>
      <c r="B112" s="6" t="s">
        <v>5974</v>
      </c>
    </row>
    <row r="113" spans="1:2" x14ac:dyDescent="0.25">
      <c r="A113" s="3" t="s">
        <v>5558</v>
      </c>
      <c r="B113" s="6" t="s">
        <v>5975</v>
      </c>
    </row>
    <row r="114" spans="1:2" x14ac:dyDescent="0.25">
      <c r="A114" s="3" t="s">
        <v>5559</v>
      </c>
      <c r="B114" s="6" t="s">
        <v>5976</v>
      </c>
    </row>
    <row r="115" spans="1:2" x14ac:dyDescent="0.25">
      <c r="A115" s="3" t="s">
        <v>5560</v>
      </c>
      <c r="B115" s="6" t="s">
        <v>5977</v>
      </c>
    </row>
    <row r="116" spans="1:2" x14ac:dyDescent="0.25">
      <c r="A116" s="3" t="s">
        <v>5561</v>
      </c>
      <c r="B116" s="6" t="s">
        <v>5978</v>
      </c>
    </row>
    <row r="117" spans="1:2" x14ac:dyDescent="0.25">
      <c r="A117" s="3" t="s">
        <v>5562</v>
      </c>
      <c r="B117" s="6" t="s">
        <v>5979</v>
      </c>
    </row>
    <row r="118" spans="1:2" x14ac:dyDescent="0.25">
      <c r="A118" s="3" t="s">
        <v>5563</v>
      </c>
      <c r="B118" s="6" t="s">
        <v>5980</v>
      </c>
    </row>
    <row r="119" spans="1:2" x14ac:dyDescent="0.25">
      <c r="A119" s="3" t="s">
        <v>5564</v>
      </c>
      <c r="B119" s="6" t="s">
        <v>5981</v>
      </c>
    </row>
    <row r="120" spans="1:2" x14ac:dyDescent="0.25">
      <c r="A120" s="3" t="s">
        <v>5565</v>
      </c>
      <c r="B120" s="6" t="s">
        <v>5982</v>
      </c>
    </row>
    <row r="121" spans="1:2" x14ac:dyDescent="0.25">
      <c r="A121" s="3" t="s">
        <v>5566</v>
      </c>
      <c r="B121" s="6" t="s">
        <v>5983</v>
      </c>
    </row>
    <row r="122" spans="1:2" x14ac:dyDescent="0.25">
      <c r="A122" s="3" t="s">
        <v>5567</v>
      </c>
      <c r="B122" s="6" t="s">
        <v>5984</v>
      </c>
    </row>
    <row r="123" spans="1:2" x14ac:dyDescent="0.25">
      <c r="A123" s="3" t="s">
        <v>5568</v>
      </c>
      <c r="B123" s="6" t="s">
        <v>5896</v>
      </c>
    </row>
    <row r="124" spans="1:2" x14ac:dyDescent="0.25">
      <c r="A124" s="3" t="s">
        <v>5569</v>
      </c>
      <c r="B124" s="6" t="s">
        <v>5897</v>
      </c>
    </row>
    <row r="125" spans="1:2" x14ac:dyDescent="0.25">
      <c r="A125" s="3" t="s">
        <v>5570</v>
      </c>
      <c r="B125" s="6" t="s">
        <v>5898</v>
      </c>
    </row>
    <row r="126" spans="1:2" x14ac:dyDescent="0.25">
      <c r="A126" s="3" t="s">
        <v>5571</v>
      </c>
      <c r="B126" s="6" t="s">
        <v>5899</v>
      </c>
    </row>
    <row r="127" spans="1:2" x14ac:dyDescent="0.25">
      <c r="A127" s="3" t="s">
        <v>5572</v>
      </c>
      <c r="B127" s="6" t="s">
        <v>5900</v>
      </c>
    </row>
    <row r="128" spans="1:2" x14ac:dyDescent="0.25">
      <c r="A128" s="3" t="s">
        <v>5573</v>
      </c>
      <c r="B128" s="6" t="s">
        <v>5901</v>
      </c>
    </row>
    <row r="129" spans="1:2" x14ac:dyDescent="0.25">
      <c r="A129" s="3" t="s">
        <v>5574</v>
      </c>
      <c r="B129" s="6" t="s">
        <v>5902</v>
      </c>
    </row>
    <row r="130" spans="1:2" x14ac:dyDescent="0.25">
      <c r="A130" s="3" t="s">
        <v>5575</v>
      </c>
      <c r="B130" s="6" t="s">
        <v>5903</v>
      </c>
    </row>
    <row r="131" spans="1:2" x14ac:dyDescent="0.25">
      <c r="A131" s="3" t="s">
        <v>5576</v>
      </c>
      <c r="B131" s="6" t="s">
        <v>5985</v>
      </c>
    </row>
    <row r="132" spans="1:2" x14ac:dyDescent="0.25">
      <c r="A132" s="3" t="s">
        <v>5577</v>
      </c>
      <c r="B132" s="6" t="s">
        <v>5986</v>
      </c>
    </row>
    <row r="133" spans="1:2" x14ac:dyDescent="0.25">
      <c r="A133" s="3" t="s">
        <v>5578</v>
      </c>
      <c r="B133" s="6" t="s">
        <v>5987</v>
      </c>
    </row>
    <row r="134" spans="1:2" x14ac:dyDescent="0.25">
      <c r="A134" s="3" t="s">
        <v>5579</v>
      </c>
      <c r="B134" s="6" t="s">
        <v>5988</v>
      </c>
    </row>
    <row r="135" spans="1:2" x14ac:dyDescent="0.25">
      <c r="A135" s="3" t="s">
        <v>5580</v>
      </c>
      <c r="B135" s="6" t="s">
        <v>5989</v>
      </c>
    </row>
    <row r="136" spans="1:2" x14ac:dyDescent="0.25">
      <c r="A136" s="3" t="s">
        <v>5581</v>
      </c>
      <c r="B136" s="6" t="s">
        <v>5990</v>
      </c>
    </row>
    <row r="137" spans="1:2" x14ac:dyDescent="0.25">
      <c r="A137" s="3" t="s">
        <v>5582</v>
      </c>
      <c r="B137" s="6" t="s">
        <v>5991</v>
      </c>
    </row>
    <row r="138" spans="1:2" x14ac:dyDescent="0.25">
      <c r="A138" s="3" t="s">
        <v>5583</v>
      </c>
      <c r="B138" s="6" t="s">
        <v>5992</v>
      </c>
    </row>
    <row r="139" spans="1:2" x14ac:dyDescent="0.25">
      <c r="A139" s="3" t="s">
        <v>5584</v>
      </c>
      <c r="B139" s="6" t="s">
        <v>5993</v>
      </c>
    </row>
    <row r="140" spans="1:2" x14ac:dyDescent="0.25">
      <c r="A140" s="3" t="s">
        <v>5585</v>
      </c>
      <c r="B140" s="6" t="s">
        <v>5994</v>
      </c>
    </row>
    <row r="141" spans="1:2" x14ac:dyDescent="0.25">
      <c r="A141" s="3" t="s">
        <v>5586</v>
      </c>
      <c r="B141" s="6" t="s">
        <v>5995</v>
      </c>
    </row>
    <row r="142" spans="1:2" x14ac:dyDescent="0.25">
      <c r="A142" s="3" t="s">
        <v>5587</v>
      </c>
      <c r="B142" s="6" t="s">
        <v>5996</v>
      </c>
    </row>
    <row r="143" spans="1:2" x14ac:dyDescent="0.25">
      <c r="A143" s="3" t="s">
        <v>5588</v>
      </c>
      <c r="B143" s="6" t="s">
        <v>5997</v>
      </c>
    </row>
    <row r="144" spans="1:2" x14ac:dyDescent="0.25">
      <c r="A144" s="3" t="s">
        <v>5589</v>
      </c>
      <c r="B144" s="6" t="s">
        <v>5998</v>
      </c>
    </row>
    <row r="145" spans="1:2" x14ac:dyDescent="0.25">
      <c r="A145" s="3" t="s">
        <v>5590</v>
      </c>
      <c r="B145" s="6" t="s">
        <v>5999</v>
      </c>
    </row>
    <row r="146" spans="1:2" x14ac:dyDescent="0.25">
      <c r="A146" s="3" t="s">
        <v>5591</v>
      </c>
      <c r="B146" s="6" t="s">
        <v>6000</v>
      </c>
    </row>
    <row r="147" spans="1:2" x14ac:dyDescent="0.25">
      <c r="A147" s="3" t="s">
        <v>5592</v>
      </c>
      <c r="B147" s="6" t="s">
        <v>6001</v>
      </c>
    </row>
    <row r="148" spans="1:2" x14ac:dyDescent="0.25">
      <c r="A148" s="3" t="s">
        <v>5593</v>
      </c>
      <c r="B148" s="6" t="s">
        <v>6002</v>
      </c>
    </row>
    <row r="149" spans="1:2" x14ac:dyDescent="0.25">
      <c r="A149" s="3" t="s">
        <v>5594</v>
      </c>
      <c r="B149" s="6" t="s">
        <v>6003</v>
      </c>
    </row>
    <row r="150" spans="1:2" x14ac:dyDescent="0.25">
      <c r="A150" s="3" t="s">
        <v>5595</v>
      </c>
      <c r="B150" s="6" t="s">
        <v>6004</v>
      </c>
    </row>
    <row r="151" spans="1:2" x14ac:dyDescent="0.25">
      <c r="A151" s="3" t="s">
        <v>5596</v>
      </c>
      <c r="B151" s="6" t="s">
        <v>6005</v>
      </c>
    </row>
    <row r="152" spans="1:2" x14ac:dyDescent="0.25">
      <c r="A152" s="3" t="s">
        <v>5597</v>
      </c>
      <c r="B152" s="6" t="s">
        <v>6006</v>
      </c>
    </row>
    <row r="153" spans="1:2" x14ac:dyDescent="0.25">
      <c r="A153" s="3" t="s">
        <v>5598</v>
      </c>
      <c r="B153" s="6" t="s">
        <v>5945</v>
      </c>
    </row>
    <row r="154" spans="1:2" x14ac:dyDescent="0.25">
      <c r="A154" s="3" t="s">
        <v>5599</v>
      </c>
      <c r="B154" s="6" t="s">
        <v>5946</v>
      </c>
    </row>
    <row r="155" spans="1:2" x14ac:dyDescent="0.25">
      <c r="A155" s="3" t="s">
        <v>5600</v>
      </c>
      <c r="B155" s="6" t="s">
        <v>6007</v>
      </c>
    </row>
    <row r="156" spans="1:2" x14ac:dyDescent="0.25">
      <c r="A156" s="3" t="s">
        <v>5601</v>
      </c>
      <c r="B156" s="6" t="s">
        <v>6008</v>
      </c>
    </row>
    <row r="157" spans="1:2" x14ac:dyDescent="0.25">
      <c r="A157" s="3" t="s">
        <v>5602</v>
      </c>
      <c r="B157" s="6" t="s">
        <v>6009</v>
      </c>
    </row>
    <row r="158" spans="1:2" x14ac:dyDescent="0.25">
      <c r="A158" s="3" t="s">
        <v>5603</v>
      </c>
      <c r="B158" s="6" t="s">
        <v>6010</v>
      </c>
    </row>
    <row r="159" spans="1:2" x14ac:dyDescent="0.25">
      <c r="A159" s="3" t="s">
        <v>5604</v>
      </c>
      <c r="B159" s="6" t="s">
        <v>6011</v>
      </c>
    </row>
    <row r="160" spans="1:2" x14ac:dyDescent="0.25">
      <c r="A160" s="3" t="s">
        <v>5605</v>
      </c>
      <c r="B160" s="6" t="s">
        <v>5904</v>
      </c>
    </row>
    <row r="161" spans="1:2" x14ac:dyDescent="0.25">
      <c r="A161" s="3" t="s">
        <v>5606</v>
      </c>
      <c r="B161" s="6" t="s">
        <v>6012</v>
      </c>
    </row>
    <row r="162" spans="1:2" x14ac:dyDescent="0.25">
      <c r="A162" s="3" t="s">
        <v>5607</v>
      </c>
      <c r="B162" s="6" t="s">
        <v>6013</v>
      </c>
    </row>
    <row r="163" spans="1:2" x14ac:dyDescent="0.25">
      <c r="A163" s="3" t="s">
        <v>5608</v>
      </c>
      <c r="B163" s="6" t="s">
        <v>6014</v>
      </c>
    </row>
    <row r="164" spans="1:2" x14ac:dyDescent="0.25">
      <c r="A164" s="3" t="s">
        <v>5609</v>
      </c>
      <c r="B164" s="6" t="s">
        <v>6015</v>
      </c>
    </row>
    <row r="165" spans="1:2" x14ac:dyDescent="0.25">
      <c r="A165" s="3" t="s">
        <v>5610</v>
      </c>
      <c r="B165" s="6" t="s">
        <v>5905</v>
      </c>
    </row>
    <row r="166" spans="1:2" x14ac:dyDescent="0.25">
      <c r="A166" s="3" t="s">
        <v>5611</v>
      </c>
      <c r="B166" s="6" t="s">
        <v>5906</v>
      </c>
    </row>
    <row r="167" spans="1:2" x14ac:dyDescent="0.25">
      <c r="A167" s="3" t="s">
        <v>5612</v>
      </c>
      <c r="B167" s="6" t="s">
        <v>6016</v>
      </c>
    </row>
    <row r="168" spans="1:2" x14ac:dyDescent="0.25">
      <c r="A168" s="3" t="s">
        <v>5613</v>
      </c>
      <c r="B168" s="6" t="s">
        <v>6017</v>
      </c>
    </row>
    <row r="169" spans="1:2" x14ac:dyDescent="0.25">
      <c r="A169" s="3" t="s">
        <v>5614</v>
      </c>
      <c r="B169" s="6" t="s">
        <v>5907</v>
      </c>
    </row>
    <row r="170" spans="1:2" x14ac:dyDescent="0.25">
      <c r="A170" s="3" t="s">
        <v>5615</v>
      </c>
      <c r="B170" s="6" t="s">
        <v>6018</v>
      </c>
    </row>
    <row r="171" spans="1:2" x14ac:dyDescent="0.25">
      <c r="A171" s="3" t="s">
        <v>5616</v>
      </c>
      <c r="B171" s="6" t="s">
        <v>6019</v>
      </c>
    </row>
    <row r="172" spans="1:2" x14ac:dyDescent="0.25">
      <c r="A172" s="3" t="s">
        <v>5617</v>
      </c>
      <c r="B172" s="6" t="s">
        <v>6020</v>
      </c>
    </row>
    <row r="173" spans="1:2" x14ac:dyDescent="0.25">
      <c r="A173" s="3" t="s">
        <v>5618</v>
      </c>
      <c r="B173" s="6" t="s">
        <v>6021</v>
      </c>
    </row>
    <row r="174" spans="1:2" x14ac:dyDescent="0.25">
      <c r="A174" s="3" t="s">
        <v>5619</v>
      </c>
      <c r="B174" s="6" t="s">
        <v>6022</v>
      </c>
    </row>
    <row r="175" spans="1:2" x14ac:dyDescent="0.25">
      <c r="A175" s="3" t="s">
        <v>5620</v>
      </c>
      <c r="B175" s="6" t="s">
        <v>6023</v>
      </c>
    </row>
    <row r="176" spans="1:2" x14ac:dyDescent="0.25">
      <c r="A176" s="3" t="s">
        <v>5621</v>
      </c>
      <c r="B176" s="6" t="s">
        <v>5908</v>
      </c>
    </row>
    <row r="177" spans="1:2" x14ac:dyDescent="0.25">
      <c r="A177" s="3" t="s">
        <v>5622</v>
      </c>
      <c r="B177" s="6" t="s">
        <v>6024</v>
      </c>
    </row>
    <row r="178" spans="1:2" x14ac:dyDescent="0.25">
      <c r="A178" s="3" t="s">
        <v>5623</v>
      </c>
      <c r="B178" s="6" t="s">
        <v>6025</v>
      </c>
    </row>
    <row r="179" spans="1:2" x14ac:dyDescent="0.25">
      <c r="A179" s="3" t="s">
        <v>5624</v>
      </c>
      <c r="B179" s="6" t="s">
        <v>6026</v>
      </c>
    </row>
    <row r="180" spans="1:2" x14ac:dyDescent="0.25">
      <c r="A180" s="3" t="s">
        <v>5625</v>
      </c>
      <c r="B180" s="6" t="s">
        <v>5909</v>
      </c>
    </row>
    <row r="181" spans="1:2" x14ac:dyDescent="0.25">
      <c r="A181" s="3" t="s">
        <v>5626</v>
      </c>
      <c r="B181" s="6" t="s">
        <v>6027</v>
      </c>
    </row>
    <row r="182" spans="1:2" x14ac:dyDescent="0.25">
      <c r="A182" s="3" t="s">
        <v>5627</v>
      </c>
      <c r="B182" s="6" t="s">
        <v>6028</v>
      </c>
    </row>
    <row r="183" spans="1:2" x14ac:dyDescent="0.25">
      <c r="A183" s="3" t="s">
        <v>5628</v>
      </c>
      <c r="B183" s="6" t="s">
        <v>6029</v>
      </c>
    </row>
    <row r="184" spans="1:2" x14ac:dyDescent="0.25">
      <c r="A184" s="3" t="s">
        <v>5629</v>
      </c>
      <c r="B184" s="6" t="s">
        <v>6030</v>
      </c>
    </row>
    <row r="185" spans="1:2" x14ac:dyDescent="0.25">
      <c r="A185" s="3" t="s">
        <v>5630</v>
      </c>
      <c r="B185" s="6" t="s">
        <v>6031</v>
      </c>
    </row>
    <row r="186" spans="1:2" x14ac:dyDescent="0.25">
      <c r="A186" s="3" t="s">
        <v>5631</v>
      </c>
      <c r="B186" s="6" t="s">
        <v>6032</v>
      </c>
    </row>
    <row r="187" spans="1:2" x14ac:dyDescent="0.25">
      <c r="A187" s="3" t="s">
        <v>5632</v>
      </c>
      <c r="B187" s="6" t="s">
        <v>6033</v>
      </c>
    </row>
    <row r="188" spans="1:2" x14ac:dyDescent="0.25">
      <c r="A188" s="3" t="s">
        <v>5633</v>
      </c>
      <c r="B188" s="6" t="s">
        <v>6034</v>
      </c>
    </row>
    <row r="189" spans="1:2" x14ac:dyDescent="0.25">
      <c r="A189" s="3" t="s">
        <v>5634</v>
      </c>
      <c r="B189" s="6" t="s">
        <v>6035</v>
      </c>
    </row>
    <row r="190" spans="1:2" x14ac:dyDescent="0.25">
      <c r="A190" s="3" t="s">
        <v>5635</v>
      </c>
      <c r="B190" s="6" t="s">
        <v>6036</v>
      </c>
    </row>
    <row r="191" spans="1:2" x14ac:dyDescent="0.25">
      <c r="A191" s="3" t="s">
        <v>5636</v>
      </c>
      <c r="B191" s="6" t="s">
        <v>6037</v>
      </c>
    </row>
    <row r="192" spans="1:2" x14ac:dyDescent="0.25">
      <c r="A192" s="3" t="s">
        <v>5637</v>
      </c>
      <c r="B192" s="6" t="s">
        <v>5947</v>
      </c>
    </row>
    <row r="193" spans="1:2" x14ac:dyDescent="0.25">
      <c r="A193" s="3" t="s">
        <v>5638</v>
      </c>
      <c r="B193" s="6" t="s">
        <v>6038</v>
      </c>
    </row>
    <row r="194" spans="1:2" x14ac:dyDescent="0.25">
      <c r="A194" s="3" t="s">
        <v>5639</v>
      </c>
      <c r="B194" s="6" t="s">
        <v>6039</v>
      </c>
    </row>
    <row r="195" spans="1:2" x14ac:dyDescent="0.25">
      <c r="A195" s="3" t="s">
        <v>5640</v>
      </c>
      <c r="B195" s="6" t="s">
        <v>6040</v>
      </c>
    </row>
    <row r="196" spans="1:2" x14ac:dyDescent="0.25">
      <c r="A196" s="3" t="s">
        <v>5641</v>
      </c>
      <c r="B196" s="6" t="s">
        <v>6041</v>
      </c>
    </row>
    <row r="197" spans="1:2" x14ac:dyDescent="0.25">
      <c r="A197" s="3" t="s">
        <v>5642</v>
      </c>
      <c r="B197" s="6" t="s">
        <v>5910</v>
      </c>
    </row>
    <row r="198" spans="1:2" x14ac:dyDescent="0.25">
      <c r="A198" s="3" t="s">
        <v>5643</v>
      </c>
      <c r="B198" s="6" t="s">
        <v>6042</v>
      </c>
    </row>
    <row r="199" spans="1:2" x14ac:dyDescent="0.25">
      <c r="A199" s="3" t="s">
        <v>5644</v>
      </c>
      <c r="B199" s="6" t="s">
        <v>6043</v>
      </c>
    </row>
    <row r="200" spans="1:2" x14ac:dyDescent="0.25">
      <c r="A200" s="3" t="s">
        <v>5645</v>
      </c>
      <c r="B200" s="6" t="s">
        <v>6044</v>
      </c>
    </row>
    <row r="201" spans="1:2" x14ac:dyDescent="0.25">
      <c r="A201" s="3" t="s">
        <v>5646</v>
      </c>
      <c r="B201" s="6" t="s">
        <v>6045</v>
      </c>
    </row>
    <row r="202" spans="1:2" x14ac:dyDescent="0.25">
      <c r="A202" s="3" t="s">
        <v>5647</v>
      </c>
      <c r="B202" s="6" t="s">
        <v>6046</v>
      </c>
    </row>
    <row r="203" spans="1:2" x14ac:dyDescent="0.25">
      <c r="A203" s="3" t="s">
        <v>5648</v>
      </c>
      <c r="B203" s="6" t="s">
        <v>6047</v>
      </c>
    </row>
    <row r="204" spans="1:2" x14ac:dyDescent="0.25">
      <c r="A204" s="3" t="s">
        <v>5649</v>
      </c>
      <c r="B204" s="6" t="s">
        <v>5911</v>
      </c>
    </row>
    <row r="205" spans="1:2" x14ac:dyDescent="0.25">
      <c r="A205" s="3" t="s">
        <v>5650</v>
      </c>
      <c r="B205" s="6" t="s">
        <v>6048</v>
      </c>
    </row>
    <row r="206" spans="1:2" x14ac:dyDescent="0.25">
      <c r="A206" s="3" t="s">
        <v>5651</v>
      </c>
      <c r="B206" s="6" t="s">
        <v>6049</v>
      </c>
    </row>
    <row r="207" spans="1:2" x14ac:dyDescent="0.25">
      <c r="A207" s="3" t="s">
        <v>5652</v>
      </c>
      <c r="B207" s="6" t="s">
        <v>6050</v>
      </c>
    </row>
    <row r="208" spans="1:2" x14ac:dyDescent="0.25">
      <c r="A208" s="3" t="s">
        <v>5653</v>
      </c>
      <c r="B208" s="6" t="s">
        <v>6051</v>
      </c>
    </row>
    <row r="209" spans="1:2" x14ac:dyDescent="0.25">
      <c r="A209" s="3" t="s">
        <v>5654</v>
      </c>
      <c r="B209" s="6" t="s">
        <v>6052</v>
      </c>
    </row>
    <row r="210" spans="1:2" x14ac:dyDescent="0.25">
      <c r="A210" s="3" t="s">
        <v>5655</v>
      </c>
      <c r="B210" s="6" t="s">
        <v>6053</v>
      </c>
    </row>
    <row r="211" spans="1:2" x14ac:dyDescent="0.25">
      <c r="A211" s="3" t="s">
        <v>5656</v>
      </c>
      <c r="B211" s="6" t="s">
        <v>6054</v>
      </c>
    </row>
    <row r="212" spans="1:2" x14ac:dyDescent="0.25">
      <c r="A212" s="3" t="s">
        <v>5657</v>
      </c>
      <c r="B212" s="6" t="s">
        <v>6055</v>
      </c>
    </row>
    <row r="213" spans="1:2" x14ac:dyDescent="0.25">
      <c r="A213" s="3" t="s">
        <v>5658</v>
      </c>
      <c r="B213" s="6" t="s">
        <v>6056</v>
      </c>
    </row>
    <row r="214" spans="1:2" x14ac:dyDescent="0.25">
      <c r="A214" s="3" t="s">
        <v>5659</v>
      </c>
      <c r="B214" s="6" t="s">
        <v>6057</v>
      </c>
    </row>
    <row r="215" spans="1:2" x14ac:dyDescent="0.25">
      <c r="A215" s="3" t="s">
        <v>5660</v>
      </c>
      <c r="B215" s="6" t="s">
        <v>6058</v>
      </c>
    </row>
    <row r="216" spans="1:2" x14ac:dyDescent="0.25">
      <c r="A216" s="3" t="s">
        <v>5661</v>
      </c>
      <c r="B216" s="6" t="s">
        <v>6059</v>
      </c>
    </row>
    <row r="217" spans="1:2" x14ac:dyDescent="0.25">
      <c r="A217" s="3" t="s">
        <v>5662</v>
      </c>
      <c r="B217" s="6" t="s">
        <v>5948</v>
      </c>
    </row>
    <row r="218" spans="1:2" x14ac:dyDescent="0.25">
      <c r="A218" s="3" t="s">
        <v>5663</v>
      </c>
      <c r="B218" s="6" t="s">
        <v>6060</v>
      </c>
    </row>
    <row r="219" spans="1:2" x14ac:dyDescent="0.25">
      <c r="A219" s="3" t="s">
        <v>5664</v>
      </c>
      <c r="B219" s="6" t="s">
        <v>6061</v>
      </c>
    </row>
    <row r="220" spans="1:2" x14ac:dyDescent="0.25">
      <c r="A220" s="3" t="s">
        <v>5665</v>
      </c>
      <c r="B220" s="6" t="s">
        <v>6062</v>
      </c>
    </row>
    <row r="221" spans="1:2" x14ac:dyDescent="0.25">
      <c r="A221" s="3" t="s">
        <v>5666</v>
      </c>
      <c r="B221" s="6" t="s">
        <v>6063</v>
      </c>
    </row>
    <row r="222" spans="1:2" x14ac:dyDescent="0.25">
      <c r="A222" s="3" t="s">
        <v>5667</v>
      </c>
      <c r="B222" s="6" t="s">
        <v>6064</v>
      </c>
    </row>
    <row r="223" spans="1:2" x14ac:dyDescent="0.25">
      <c r="A223" s="3" t="s">
        <v>5668</v>
      </c>
      <c r="B223" s="6" t="s">
        <v>5912</v>
      </c>
    </row>
    <row r="224" spans="1:2" x14ac:dyDescent="0.25">
      <c r="A224" s="3" t="s">
        <v>5669</v>
      </c>
      <c r="B224" s="6" t="s">
        <v>6065</v>
      </c>
    </row>
    <row r="225" spans="1:2" x14ac:dyDescent="0.25">
      <c r="A225" s="3" t="s">
        <v>5670</v>
      </c>
      <c r="B225" s="6" t="s">
        <v>6066</v>
      </c>
    </row>
    <row r="226" spans="1:2" x14ac:dyDescent="0.25">
      <c r="A226" s="3" t="s">
        <v>5671</v>
      </c>
      <c r="B226" s="6" t="s">
        <v>6067</v>
      </c>
    </row>
    <row r="227" spans="1:2" x14ac:dyDescent="0.25">
      <c r="A227" s="3" t="s">
        <v>5672</v>
      </c>
      <c r="B227" s="6" t="s">
        <v>6068</v>
      </c>
    </row>
    <row r="228" spans="1:2" x14ac:dyDescent="0.25">
      <c r="A228" s="3" t="s">
        <v>5673</v>
      </c>
      <c r="B228" s="6" t="s">
        <v>6069</v>
      </c>
    </row>
    <row r="229" spans="1:2" x14ac:dyDescent="0.25">
      <c r="A229" s="3" t="s">
        <v>5674</v>
      </c>
      <c r="B229" s="6" t="s">
        <v>6070</v>
      </c>
    </row>
    <row r="230" spans="1:2" x14ac:dyDescent="0.25">
      <c r="A230" s="3" t="s">
        <v>5675</v>
      </c>
      <c r="B230" s="6" t="s">
        <v>5949</v>
      </c>
    </row>
    <row r="231" spans="1:2" x14ac:dyDescent="0.25">
      <c r="A231" s="3" t="s">
        <v>5676</v>
      </c>
      <c r="B231" s="6" t="s">
        <v>6071</v>
      </c>
    </row>
    <row r="232" spans="1:2" x14ac:dyDescent="0.25">
      <c r="A232" s="3" t="s">
        <v>5677</v>
      </c>
      <c r="B232" s="6" t="s">
        <v>6072</v>
      </c>
    </row>
    <row r="233" spans="1:2" x14ac:dyDescent="0.25">
      <c r="A233" s="3" t="s">
        <v>5678</v>
      </c>
      <c r="B233" s="6" t="s">
        <v>6073</v>
      </c>
    </row>
    <row r="234" spans="1:2" x14ac:dyDescent="0.25">
      <c r="A234" s="3" t="s">
        <v>5679</v>
      </c>
      <c r="B234" s="6" t="s">
        <v>6074</v>
      </c>
    </row>
    <row r="235" spans="1:2" x14ac:dyDescent="0.25">
      <c r="A235" s="3" t="s">
        <v>5680</v>
      </c>
      <c r="B235" s="6" t="s">
        <v>6075</v>
      </c>
    </row>
    <row r="236" spans="1:2" x14ac:dyDescent="0.25">
      <c r="A236" s="3" t="s">
        <v>5681</v>
      </c>
      <c r="B236" s="6" t="s">
        <v>6076</v>
      </c>
    </row>
    <row r="237" spans="1:2" x14ac:dyDescent="0.25">
      <c r="A237" s="3" t="s">
        <v>5682</v>
      </c>
      <c r="B237" s="6" t="s">
        <v>6077</v>
      </c>
    </row>
    <row r="238" spans="1:2" x14ac:dyDescent="0.25">
      <c r="A238" s="3" t="s">
        <v>5683</v>
      </c>
      <c r="B238" s="6" t="s">
        <v>6078</v>
      </c>
    </row>
    <row r="239" spans="1:2" x14ac:dyDescent="0.25">
      <c r="A239" s="3" t="s">
        <v>5684</v>
      </c>
      <c r="B239" s="6" t="s">
        <v>6079</v>
      </c>
    </row>
    <row r="240" spans="1:2" x14ac:dyDescent="0.25">
      <c r="A240" s="3" t="s">
        <v>5685</v>
      </c>
      <c r="B240" s="6" t="s">
        <v>6080</v>
      </c>
    </row>
    <row r="241" spans="1:2" x14ac:dyDescent="0.25">
      <c r="A241" s="3" t="s">
        <v>5686</v>
      </c>
      <c r="B241" s="6" t="s">
        <v>5913</v>
      </c>
    </row>
    <row r="242" spans="1:2" x14ac:dyDescent="0.25">
      <c r="A242" s="3" t="s">
        <v>5687</v>
      </c>
      <c r="B242" s="6" t="s">
        <v>6081</v>
      </c>
    </row>
    <row r="243" spans="1:2" x14ac:dyDescent="0.25">
      <c r="A243" s="3" t="s">
        <v>5688</v>
      </c>
      <c r="B243" s="6" t="s">
        <v>6082</v>
      </c>
    </row>
    <row r="244" spans="1:2" x14ac:dyDescent="0.25">
      <c r="A244" s="3" t="s">
        <v>5689</v>
      </c>
      <c r="B244" s="6" t="s">
        <v>6083</v>
      </c>
    </row>
    <row r="245" spans="1:2" x14ac:dyDescent="0.25">
      <c r="A245" s="3" t="s">
        <v>5690</v>
      </c>
      <c r="B245" s="6" t="s">
        <v>6084</v>
      </c>
    </row>
    <row r="246" spans="1:2" x14ac:dyDescent="0.25">
      <c r="A246" s="3" t="s">
        <v>5691</v>
      </c>
      <c r="B246" s="6" t="s">
        <v>5914</v>
      </c>
    </row>
    <row r="247" spans="1:2" x14ac:dyDescent="0.25">
      <c r="A247" s="3" t="s">
        <v>5692</v>
      </c>
      <c r="B247" s="6" t="s">
        <v>6085</v>
      </c>
    </row>
    <row r="248" spans="1:2" x14ac:dyDescent="0.25">
      <c r="A248" s="3" t="s">
        <v>5693</v>
      </c>
      <c r="B248" s="6" t="s">
        <v>5915</v>
      </c>
    </row>
    <row r="249" spans="1:2" x14ac:dyDescent="0.25">
      <c r="A249" s="3" t="s">
        <v>5694</v>
      </c>
      <c r="B249" s="6" t="s">
        <v>6086</v>
      </c>
    </row>
    <row r="250" spans="1:2" x14ac:dyDescent="0.25">
      <c r="A250" s="3" t="s">
        <v>5695</v>
      </c>
      <c r="B250" s="6" t="s">
        <v>6087</v>
      </c>
    </row>
    <row r="251" spans="1:2" x14ac:dyDescent="0.25">
      <c r="A251" s="3" t="s">
        <v>5696</v>
      </c>
      <c r="B251" s="6" t="s">
        <v>6088</v>
      </c>
    </row>
    <row r="252" spans="1:2" x14ac:dyDescent="0.25">
      <c r="A252" s="3" t="s">
        <v>5697</v>
      </c>
      <c r="B252" s="6" t="s">
        <v>5916</v>
      </c>
    </row>
    <row r="253" spans="1:2" x14ac:dyDescent="0.25">
      <c r="A253" s="3" t="s">
        <v>5698</v>
      </c>
      <c r="B253" s="6" t="s">
        <v>5917</v>
      </c>
    </row>
    <row r="254" spans="1:2" x14ac:dyDescent="0.25">
      <c r="A254" s="3" t="s">
        <v>5699</v>
      </c>
      <c r="B254" s="6" t="s">
        <v>6089</v>
      </c>
    </row>
    <row r="255" spans="1:2" x14ac:dyDescent="0.25">
      <c r="A255" s="3" t="s">
        <v>5700</v>
      </c>
      <c r="B255" s="6" t="s">
        <v>6090</v>
      </c>
    </row>
    <row r="256" spans="1:2" x14ac:dyDescent="0.25">
      <c r="A256" s="3" t="s">
        <v>5701</v>
      </c>
      <c r="B256" s="6" t="s">
        <v>6091</v>
      </c>
    </row>
    <row r="257" spans="1:2" x14ac:dyDescent="0.25">
      <c r="A257" s="3" t="s">
        <v>5702</v>
      </c>
      <c r="B257" s="6" t="s">
        <v>6092</v>
      </c>
    </row>
    <row r="258" spans="1:2" x14ac:dyDescent="0.25">
      <c r="A258" s="3" t="s">
        <v>5703</v>
      </c>
      <c r="B258" s="6" t="s">
        <v>6093</v>
      </c>
    </row>
    <row r="259" spans="1:2" x14ac:dyDescent="0.25">
      <c r="A259" s="3" t="s">
        <v>5704</v>
      </c>
      <c r="B259" s="6" t="s">
        <v>6094</v>
      </c>
    </row>
    <row r="260" spans="1:2" x14ac:dyDescent="0.25">
      <c r="A260" s="3" t="s">
        <v>5705</v>
      </c>
      <c r="B260" s="6" t="s">
        <v>6095</v>
      </c>
    </row>
    <row r="261" spans="1:2" x14ac:dyDescent="0.25">
      <c r="A261" s="3" t="s">
        <v>5706</v>
      </c>
      <c r="B261" s="6" t="s">
        <v>6096</v>
      </c>
    </row>
    <row r="262" spans="1:2" x14ac:dyDescent="0.25">
      <c r="A262" s="3" t="s">
        <v>5707</v>
      </c>
      <c r="B262" s="6">
        <v>39936429</v>
      </c>
    </row>
    <row r="263" spans="1:2" x14ac:dyDescent="0.25">
      <c r="A263" s="3" t="s">
        <v>5708</v>
      </c>
      <c r="B263" s="6">
        <v>28972940</v>
      </c>
    </row>
    <row r="264" spans="1:2" x14ac:dyDescent="0.25">
      <c r="A264" s="3" t="s">
        <v>5709</v>
      </c>
      <c r="B264" s="6">
        <v>74156263</v>
      </c>
    </row>
    <row r="265" spans="1:2" x14ac:dyDescent="0.25">
      <c r="A265" s="3" t="s">
        <v>5710</v>
      </c>
      <c r="B265" s="6">
        <v>50160252</v>
      </c>
    </row>
    <row r="266" spans="1:2" x14ac:dyDescent="0.25">
      <c r="A266" s="3" t="s">
        <v>5711</v>
      </c>
      <c r="B266" s="6">
        <v>12767769</v>
      </c>
    </row>
    <row r="267" spans="1:2" x14ac:dyDescent="0.25">
      <c r="A267" s="3" t="s">
        <v>5712</v>
      </c>
      <c r="B267" s="6">
        <v>52861101</v>
      </c>
    </row>
    <row r="268" spans="1:2" x14ac:dyDescent="0.25">
      <c r="A268" s="3" t="s">
        <v>5713</v>
      </c>
      <c r="B268" s="6">
        <v>11837171</v>
      </c>
    </row>
    <row r="269" spans="1:2" x14ac:dyDescent="0.25">
      <c r="A269" s="3" t="s">
        <v>5714</v>
      </c>
      <c r="B269" s="6">
        <v>50214326</v>
      </c>
    </row>
    <row r="270" spans="1:2" x14ac:dyDescent="0.25">
      <c r="A270" s="3" t="s">
        <v>5715</v>
      </c>
      <c r="B270" s="6">
        <v>45532624</v>
      </c>
    </row>
    <row r="271" spans="1:2" x14ac:dyDescent="0.25">
      <c r="A271" s="3" t="s">
        <v>5716</v>
      </c>
      <c r="B271" s="6">
        <v>50129612</v>
      </c>
    </row>
    <row r="272" spans="1:2" x14ac:dyDescent="0.25">
      <c r="A272" s="3" t="s">
        <v>5717</v>
      </c>
      <c r="B272" s="6">
        <v>44036260</v>
      </c>
    </row>
    <row r="273" spans="1:2" x14ac:dyDescent="0.25">
      <c r="A273" s="3" t="s">
        <v>5718</v>
      </c>
      <c r="B273" s="6">
        <v>51092788</v>
      </c>
    </row>
    <row r="274" spans="1:2" x14ac:dyDescent="0.25">
      <c r="A274" s="3" t="s">
        <v>5719</v>
      </c>
      <c r="B274" s="6">
        <v>53490829</v>
      </c>
    </row>
    <row r="275" spans="1:2" x14ac:dyDescent="0.25">
      <c r="A275" s="3" t="s">
        <v>5720</v>
      </c>
      <c r="B275" s="6" t="s">
        <v>5918</v>
      </c>
    </row>
    <row r="276" spans="1:2" x14ac:dyDescent="0.25">
      <c r="A276" s="3" t="s">
        <v>5721</v>
      </c>
      <c r="B276" s="6" t="s">
        <v>5919</v>
      </c>
    </row>
    <row r="277" spans="1:2" x14ac:dyDescent="0.25">
      <c r="A277" s="3" t="s">
        <v>5722</v>
      </c>
      <c r="B277" s="6">
        <v>76126747</v>
      </c>
    </row>
    <row r="278" spans="1:2" x14ac:dyDescent="0.25">
      <c r="A278" s="3" t="s">
        <v>5723</v>
      </c>
      <c r="B278" s="6">
        <v>76041148</v>
      </c>
    </row>
    <row r="279" spans="1:2" x14ac:dyDescent="0.25">
      <c r="A279" s="3" t="s">
        <v>5724</v>
      </c>
      <c r="B279" s="6">
        <v>77409550</v>
      </c>
    </row>
    <row r="280" spans="1:2" x14ac:dyDescent="0.25">
      <c r="A280" s="3" t="s">
        <v>5725</v>
      </c>
      <c r="B280" s="6">
        <v>49022192</v>
      </c>
    </row>
    <row r="281" spans="1:2" x14ac:dyDescent="0.25">
      <c r="A281" s="3" t="s">
        <v>5726</v>
      </c>
      <c r="B281" s="6" t="s">
        <v>5950</v>
      </c>
    </row>
    <row r="282" spans="1:2" x14ac:dyDescent="0.25">
      <c r="A282" s="3" t="s">
        <v>5727</v>
      </c>
      <c r="B282" s="6">
        <v>47282190</v>
      </c>
    </row>
    <row r="283" spans="1:2" x14ac:dyDescent="0.25">
      <c r="A283" s="3" t="s">
        <v>5728</v>
      </c>
      <c r="B283" s="6">
        <v>23045040</v>
      </c>
    </row>
    <row r="284" spans="1:2" x14ac:dyDescent="0.25">
      <c r="A284" s="3" t="s">
        <v>5729</v>
      </c>
      <c r="B284" s="6" t="s">
        <v>5920</v>
      </c>
    </row>
    <row r="285" spans="1:2" x14ac:dyDescent="0.25">
      <c r="A285" s="3" t="s">
        <v>5730</v>
      </c>
      <c r="B285" s="6">
        <v>47219729</v>
      </c>
    </row>
    <row r="286" spans="1:2" x14ac:dyDescent="0.25">
      <c r="A286" s="3" t="s">
        <v>5731</v>
      </c>
      <c r="B286" s="6">
        <v>44371805</v>
      </c>
    </row>
    <row r="287" spans="1:2" x14ac:dyDescent="0.25">
      <c r="A287" s="3" t="s">
        <v>5732</v>
      </c>
      <c r="B287" s="6" t="s">
        <v>5951</v>
      </c>
    </row>
    <row r="288" spans="1:2" x14ac:dyDescent="0.25">
      <c r="A288" s="3" t="s">
        <v>5733</v>
      </c>
      <c r="B288" s="6">
        <v>15435250</v>
      </c>
    </row>
    <row r="289" spans="1:2" x14ac:dyDescent="0.25">
      <c r="A289" s="3" t="s">
        <v>5734</v>
      </c>
      <c r="B289" s="6">
        <v>53351140</v>
      </c>
    </row>
    <row r="290" spans="1:2" x14ac:dyDescent="0.25">
      <c r="A290" s="3" t="s">
        <v>5735</v>
      </c>
      <c r="B290" s="6">
        <v>14637859</v>
      </c>
    </row>
    <row r="291" spans="1:2" x14ac:dyDescent="0.25">
      <c r="A291" s="3" t="s">
        <v>5736</v>
      </c>
      <c r="B291" s="6">
        <v>49017589</v>
      </c>
    </row>
    <row r="292" spans="1:2" x14ac:dyDescent="0.25">
      <c r="A292" s="3" t="s">
        <v>5737</v>
      </c>
      <c r="B292" s="6">
        <v>26247567</v>
      </c>
    </row>
    <row r="293" spans="1:2" x14ac:dyDescent="0.25">
      <c r="A293" s="3" t="s">
        <v>5738</v>
      </c>
      <c r="B293" s="6" t="s">
        <v>6097</v>
      </c>
    </row>
    <row r="294" spans="1:2" x14ac:dyDescent="0.25">
      <c r="A294" s="3" t="s">
        <v>5739</v>
      </c>
      <c r="B294" s="6" t="s">
        <v>6098</v>
      </c>
    </row>
    <row r="295" spans="1:2" x14ac:dyDescent="0.25">
      <c r="A295" s="3" t="s">
        <v>5740</v>
      </c>
      <c r="B295" s="6">
        <v>52377261</v>
      </c>
    </row>
    <row r="296" spans="1:2" x14ac:dyDescent="0.25">
      <c r="A296" s="3" t="s">
        <v>5741</v>
      </c>
      <c r="B296" s="6" t="s">
        <v>6099</v>
      </c>
    </row>
    <row r="297" spans="1:2" x14ac:dyDescent="0.25">
      <c r="A297" s="3" t="s">
        <v>5742</v>
      </c>
      <c r="B297" s="6" t="s">
        <v>6100</v>
      </c>
    </row>
    <row r="298" spans="1:2" x14ac:dyDescent="0.25">
      <c r="A298" s="3" t="s">
        <v>5743</v>
      </c>
      <c r="B298" s="6" t="s">
        <v>5921</v>
      </c>
    </row>
    <row r="299" spans="1:2" x14ac:dyDescent="0.25">
      <c r="A299" s="3" t="s">
        <v>5744</v>
      </c>
      <c r="B299" s="6" t="s">
        <v>6101</v>
      </c>
    </row>
    <row r="300" spans="1:2" x14ac:dyDescent="0.25">
      <c r="A300" s="3" t="s">
        <v>5745</v>
      </c>
      <c r="B300" s="6" t="s">
        <v>5922</v>
      </c>
    </row>
    <row r="301" spans="1:2" x14ac:dyDescent="0.25">
      <c r="A301" s="3" t="s">
        <v>5746</v>
      </c>
      <c r="B301" s="6" t="s">
        <v>5923</v>
      </c>
    </row>
    <row r="302" spans="1:2" x14ac:dyDescent="0.25">
      <c r="A302" s="3" t="s">
        <v>5747</v>
      </c>
      <c r="B302" s="6" t="s">
        <v>6102</v>
      </c>
    </row>
    <row r="303" spans="1:2" x14ac:dyDescent="0.25">
      <c r="A303" s="3" t="s">
        <v>5748</v>
      </c>
      <c r="B303" s="6" t="s">
        <v>6103</v>
      </c>
    </row>
    <row r="304" spans="1:2" x14ac:dyDescent="0.25">
      <c r="A304" s="3" t="s">
        <v>5749</v>
      </c>
      <c r="B304" s="6" t="s">
        <v>6104</v>
      </c>
    </row>
    <row r="305" spans="1:2" x14ac:dyDescent="0.25">
      <c r="A305" s="3" t="s">
        <v>5750</v>
      </c>
      <c r="B305" s="6" t="s">
        <v>6105</v>
      </c>
    </row>
    <row r="306" spans="1:2" x14ac:dyDescent="0.25">
      <c r="A306" s="3" t="s">
        <v>5751</v>
      </c>
      <c r="B306" s="6" t="s">
        <v>6106</v>
      </c>
    </row>
    <row r="307" spans="1:2" x14ac:dyDescent="0.25">
      <c r="A307" s="3" t="s">
        <v>5752</v>
      </c>
      <c r="B307" s="6" t="s">
        <v>6107</v>
      </c>
    </row>
    <row r="308" spans="1:2" x14ac:dyDescent="0.25">
      <c r="A308" s="3" t="s">
        <v>5753</v>
      </c>
      <c r="B308" s="6" t="s">
        <v>5952</v>
      </c>
    </row>
    <row r="309" spans="1:2" x14ac:dyDescent="0.25">
      <c r="A309" s="3" t="s">
        <v>5754</v>
      </c>
      <c r="B309" s="6" t="s">
        <v>6108</v>
      </c>
    </row>
    <row r="310" spans="1:2" x14ac:dyDescent="0.25">
      <c r="A310" s="3" t="s">
        <v>5755</v>
      </c>
      <c r="B310" s="6" t="s">
        <v>6109</v>
      </c>
    </row>
    <row r="311" spans="1:2" x14ac:dyDescent="0.25">
      <c r="A311" s="3" t="s">
        <v>5756</v>
      </c>
      <c r="B311" s="6" t="s">
        <v>6110</v>
      </c>
    </row>
    <row r="312" spans="1:2" x14ac:dyDescent="0.25">
      <c r="A312" s="3" t="s">
        <v>5757</v>
      </c>
      <c r="B312" s="6" t="s">
        <v>6111</v>
      </c>
    </row>
    <row r="313" spans="1:2" x14ac:dyDescent="0.25">
      <c r="A313" s="3" t="s">
        <v>5758</v>
      </c>
      <c r="B313" s="6" t="s">
        <v>5953</v>
      </c>
    </row>
    <row r="314" spans="1:2" x14ac:dyDescent="0.25">
      <c r="A314" s="3" t="s">
        <v>5759</v>
      </c>
      <c r="B314" s="6" t="s">
        <v>5924</v>
      </c>
    </row>
    <row r="315" spans="1:2" x14ac:dyDescent="0.25">
      <c r="A315" s="3" t="s">
        <v>5760</v>
      </c>
      <c r="B315" s="6" t="s">
        <v>6112</v>
      </c>
    </row>
    <row r="316" spans="1:2" x14ac:dyDescent="0.25">
      <c r="A316" s="3" t="s">
        <v>5761</v>
      </c>
      <c r="B316" s="6" t="s">
        <v>5925</v>
      </c>
    </row>
    <row r="317" spans="1:2" x14ac:dyDescent="0.25">
      <c r="A317" s="3" t="s">
        <v>5762</v>
      </c>
      <c r="B317" s="6" t="s">
        <v>6113</v>
      </c>
    </row>
    <row r="318" spans="1:2" x14ac:dyDescent="0.25">
      <c r="A318" s="3" t="s">
        <v>5763</v>
      </c>
      <c r="B318" s="6" t="s">
        <v>6114</v>
      </c>
    </row>
    <row r="319" spans="1:2" x14ac:dyDescent="0.25">
      <c r="A319" s="3" t="s">
        <v>5764</v>
      </c>
      <c r="B319" s="6" t="s">
        <v>6115</v>
      </c>
    </row>
    <row r="320" spans="1:2" x14ac:dyDescent="0.25">
      <c r="A320" s="3" t="s">
        <v>5765</v>
      </c>
      <c r="B320" s="6">
        <v>52996887</v>
      </c>
    </row>
    <row r="321" spans="1:2" x14ac:dyDescent="0.25">
      <c r="A321" s="3" t="s">
        <v>5766</v>
      </c>
      <c r="B321" s="6">
        <v>47525129</v>
      </c>
    </row>
    <row r="322" spans="1:2" x14ac:dyDescent="0.25">
      <c r="A322" s="3" t="s">
        <v>5767</v>
      </c>
      <c r="B322" s="6">
        <v>71944167</v>
      </c>
    </row>
    <row r="323" spans="1:2" x14ac:dyDescent="0.25">
      <c r="A323" s="3" t="s">
        <v>5768</v>
      </c>
      <c r="B323" s="6">
        <v>73013997</v>
      </c>
    </row>
    <row r="324" spans="1:2" x14ac:dyDescent="0.25">
      <c r="A324" s="3" t="s">
        <v>5769</v>
      </c>
      <c r="B324" s="6">
        <v>50555076</v>
      </c>
    </row>
    <row r="325" spans="1:2" x14ac:dyDescent="0.25">
      <c r="A325" s="3" t="s">
        <v>5770</v>
      </c>
      <c r="B325" s="6">
        <v>50762862</v>
      </c>
    </row>
    <row r="326" spans="1:2" x14ac:dyDescent="0.25">
      <c r="A326" s="3" t="s">
        <v>5771</v>
      </c>
      <c r="B326" s="6" t="s">
        <v>5926</v>
      </c>
    </row>
    <row r="327" spans="1:2" x14ac:dyDescent="0.25">
      <c r="A327" s="3" t="s">
        <v>5772</v>
      </c>
      <c r="B327" s="6">
        <v>12431412</v>
      </c>
    </row>
    <row r="328" spans="1:2" x14ac:dyDescent="0.25">
      <c r="A328" s="3" t="s">
        <v>5773</v>
      </c>
      <c r="B328" s="6">
        <v>74876214</v>
      </c>
    </row>
    <row r="329" spans="1:2" x14ac:dyDescent="0.25">
      <c r="A329" s="3" t="s">
        <v>5774</v>
      </c>
      <c r="B329" s="6">
        <v>47524836</v>
      </c>
    </row>
    <row r="330" spans="1:2" x14ac:dyDescent="0.25">
      <c r="A330" s="3" t="s">
        <v>5775</v>
      </c>
      <c r="B330" s="6">
        <v>35479921</v>
      </c>
    </row>
    <row r="331" spans="1:2" x14ac:dyDescent="0.25">
      <c r="A331" s="3" t="s">
        <v>5776</v>
      </c>
      <c r="B331" s="6">
        <v>50769426</v>
      </c>
    </row>
    <row r="332" spans="1:2" x14ac:dyDescent="0.25">
      <c r="A332" s="3" t="s">
        <v>5777</v>
      </c>
      <c r="B332" s="6">
        <v>76074327</v>
      </c>
    </row>
    <row r="333" spans="1:2" x14ac:dyDescent="0.25">
      <c r="A333" s="3" t="s">
        <v>5778</v>
      </c>
      <c r="B333" s="6">
        <v>75167773</v>
      </c>
    </row>
    <row r="334" spans="1:2" x14ac:dyDescent="0.25">
      <c r="A334" s="3" t="s">
        <v>5779</v>
      </c>
      <c r="B334" s="6">
        <v>47516151</v>
      </c>
    </row>
    <row r="335" spans="1:2" x14ac:dyDescent="0.25">
      <c r="A335" s="3" t="s">
        <v>5780</v>
      </c>
      <c r="B335" s="6">
        <v>53421802</v>
      </c>
    </row>
    <row r="336" spans="1:2" x14ac:dyDescent="0.25">
      <c r="A336" s="3" t="s">
        <v>5781</v>
      </c>
      <c r="B336" s="6">
        <v>53424425</v>
      </c>
    </row>
    <row r="337" spans="1:2" x14ac:dyDescent="0.25">
      <c r="A337" s="3" t="s">
        <v>5782</v>
      </c>
      <c r="B337" s="6">
        <v>51090971</v>
      </c>
    </row>
    <row r="338" spans="1:2" x14ac:dyDescent="0.25">
      <c r="A338" s="3" t="s">
        <v>5783</v>
      </c>
      <c r="B338" s="6">
        <v>47528037</v>
      </c>
    </row>
    <row r="339" spans="1:2" x14ac:dyDescent="0.25">
      <c r="A339" s="3" t="s">
        <v>5784</v>
      </c>
      <c r="B339" s="6">
        <v>50557538</v>
      </c>
    </row>
    <row r="340" spans="1:2" x14ac:dyDescent="0.25">
      <c r="A340" s="3" t="s">
        <v>5785</v>
      </c>
      <c r="B340" s="6">
        <v>53660802</v>
      </c>
    </row>
    <row r="341" spans="1:2" x14ac:dyDescent="0.25">
      <c r="A341" s="3" t="s">
        <v>5786</v>
      </c>
      <c r="B341" s="6">
        <v>44078843</v>
      </c>
    </row>
    <row r="342" spans="1:2" x14ac:dyDescent="0.25">
      <c r="A342" s="3" t="s">
        <v>5787</v>
      </c>
      <c r="B342" s="6">
        <v>17435557</v>
      </c>
    </row>
    <row r="343" spans="1:2" x14ac:dyDescent="0.25">
      <c r="A343" s="3" t="s">
        <v>5788</v>
      </c>
      <c r="B343" s="6">
        <v>71268821</v>
      </c>
    </row>
    <row r="344" spans="1:2" x14ac:dyDescent="0.25">
      <c r="A344" s="3" t="s">
        <v>5789</v>
      </c>
      <c r="B344" s="6">
        <v>53458222</v>
      </c>
    </row>
    <row r="345" spans="1:2" x14ac:dyDescent="0.25">
      <c r="A345" s="3" t="s">
        <v>5790</v>
      </c>
      <c r="B345" s="6">
        <v>50556338</v>
      </c>
    </row>
    <row r="346" spans="1:2" x14ac:dyDescent="0.25">
      <c r="A346" s="3" t="s">
        <v>5791</v>
      </c>
      <c r="B346" s="6" t="s">
        <v>5927</v>
      </c>
    </row>
    <row r="347" spans="1:2" x14ac:dyDescent="0.25">
      <c r="A347" s="3" t="s">
        <v>5792</v>
      </c>
      <c r="B347" s="6" t="s">
        <v>5928</v>
      </c>
    </row>
    <row r="348" spans="1:2" x14ac:dyDescent="0.25">
      <c r="A348" s="3" t="s">
        <v>5793</v>
      </c>
      <c r="B348" s="6" t="s">
        <v>5929</v>
      </c>
    </row>
    <row r="349" spans="1:2" x14ac:dyDescent="0.25">
      <c r="A349" s="3" t="s">
        <v>5794</v>
      </c>
      <c r="B349" s="6" t="s">
        <v>5930</v>
      </c>
    </row>
    <row r="350" spans="1:2" x14ac:dyDescent="0.25">
      <c r="A350" s="3" t="s">
        <v>5795</v>
      </c>
      <c r="B350" s="6" t="s">
        <v>6116</v>
      </c>
    </row>
    <row r="351" spans="1:2" x14ac:dyDescent="0.25">
      <c r="A351" s="3" t="s">
        <v>5796</v>
      </c>
      <c r="B351" s="6">
        <v>47452042</v>
      </c>
    </row>
    <row r="352" spans="1:2" x14ac:dyDescent="0.25">
      <c r="A352" s="3" t="s">
        <v>5797</v>
      </c>
      <c r="B352" s="6">
        <v>47228402</v>
      </c>
    </row>
    <row r="353" spans="1:2" x14ac:dyDescent="0.25">
      <c r="A353" s="3" t="s">
        <v>5798</v>
      </c>
      <c r="B353" s="6" t="s">
        <v>5931</v>
      </c>
    </row>
    <row r="354" spans="1:2" x14ac:dyDescent="0.25">
      <c r="A354" s="3" t="s">
        <v>5799</v>
      </c>
      <c r="B354" s="6">
        <v>72063263</v>
      </c>
    </row>
    <row r="355" spans="1:2" x14ac:dyDescent="0.25">
      <c r="A355" s="3" t="s">
        <v>5800</v>
      </c>
      <c r="B355" s="6" t="s">
        <v>5932</v>
      </c>
    </row>
    <row r="356" spans="1:2" x14ac:dyDescent="0.25">
      <c r="A356" s="3" t="s">
        <v>5801</v>
      </c>
      <c r="B356" s="6" t="s">
        <v>5933</v>
      </c>
    </row>
    <row r="357" spans="1:2" x14ac:dyDescent="0.25">
      <c r="A357" s="3" t="s">
        <v>5802</v>
      </c>
      <c r="B357" s="6">
        <v>53420424</v>
      </c>
    </row>
    <row r="358" spans="1:2" x14ac:dyDescent="0.25">
      <c r="A358" s="3" t="s">
        <v>5803</v>
      </c>
      <c r="B358" s="6">
        <v>51992661</v>
      </c>
    </row>
    <row r="359" spans="1:2" x14ac:dyDescent="0.25">
      <c r="A359" s="3" t="s">
        <v>5804</v>
      </c>
      <c r="B359" s="6" t="s">
        <v>6117</v>
      </c>
    </row>
    <row r="360" spans="1:2" x14ac:dyDescent="0.25">
      <c r="A360" s="3" t="s">
        <v>5805</v>
      </c>
      <c r="B360" s="6" t="s">
        <v>6118</v>
      </c>
    </row>
    <row r="361" spans="1:2" x14ac:dyDescent="0.25">
      <c r="A361" s="3" t="s">
        <v>5806</v>
      </c>
      <c r="B361" s="6" t="s">
        <v>5934</v>
      </c>
    </row>
    <row r="362" spans="1:2" x14ac:dyDescent="0.25">
      <c r="A362" s="3" t="s">
        <v>5807</v>
      </c>
      <c r="B362" s="6" t="s">
        <v>6119</v>
      </c>
    </row>
    <row r="363" spans="1:2" x14ac:dyDescent="0.25">
      <c r="A363" s="3" t="s">
        <v>5808</v>
      </c>
      <c r="B363" s="6" t="s">
        <v>6120</v>
      </c>
    </row>
    <row r="364" spans="1:2" x14ac:dyDescent="0.25">
      <c r="A364" s="3" t="s">
        <v>5809</v>
      </c>
      <c r="B364" s="6">
        <v>70886933</v>
      </c>
    </row>
    <row r="365" spans="1:2" x14ac:dyDescent="0.25">
      <c r="A365" s="3" t="s">
        <v>5810</v>
      </c>
      <c r="B365" s="6">
        <v>48899739</v>
      </c>
    </row>
    <row r="366" spans="1:2" x14ac:dyDescent="0.25">
      <c r="A366" s="3" t="s">
        <v>5811</v>
      </c>
      <c r="B366" s="6">
        <v>51104702</v>
      </c>
    </row>
    <row r="367" spans="1:2" x14ac:dyDescent="0.25">
      <c r="A367" s="3" t="s">
        <v>5812</v>
      </c>
      <c r="B367" s="6">
        <v>51118969</v>
      </c>
    </row>
    <row r="368" spans="1:2" x14ac:dyDescent="0.25">
      <c r="A368" s="3" t="s">
        <v>5813</v>
      </c>
      <c r="B368" s="6">
        <v>79020594</v>
      </c>
    </row>
    <row r="369" spans="1:2" x14ac:dyDescent="0.25">
      <c r="A369" s="3" t="s">
        <v>5814</v>
      </c>
      <c r="B369" s="6">
        <v>71027174</v>
      </c>
    </row>
    <row r="370" spans="1:2" x14ac:dyDescent="0.25">
      <c r="A370" s="3" t="s">
        <v>5815</v>
      </c>
      <c r="B370" s="6">
        <v>50469768</v>
      </c>
    </row>
    <row r="371" spans="1:2" x14ac:dyDescent="0.25">
      <c r="A371" s="3" t="s">
        <v>5816</v>
      </c>
      <c r="B371" s="6">
        <v>15424148</v>
      </c>
    </row>
    <row r="372" spans="1:2" x14ac:dyDescent="0.25">
      <c r="A372" s="3" t="s">
        <v>5817</v>
      </c>
      <c r="B372" s="6">
        <v>53617333</v>
      </c>
    </row>
    <row r="373" spans="1:2" x14ac:dyDescent="0.25">
      <c r="A373" s="3" t="s">
        <v>5818</v>
      </c>
      <c r="B373" s="6">
        <v>47463426</v>
      </c>
    </row>
    <row r="374" spans="1:2" x14ac:dyDescent="0.25">
      <c r="A374" s="3" t="s">
        <v>5819</v>
      </c>
      <c r="B374" s="6">
        <v>50891642</v>
      </c>
    </row>
    <row r="375" spans="1:2" x14ac:dyDescent="0.25">
      <c r="A375" s="3" t="s">
        <v>5820</v>
      </c>
      <c r="B375" s="6">
        <v>52000448</v>
      </c>
    </row>
    <row r="376" spans="1:2" x14ac:dyDescent="0.25">
      <c r="A376" s="3" t="s">
        <v>5821</v>
      </c>
      <c r="B376" s="6">
        <v>51469795</v>
      </c>
    </row>
    <row r="377" spans="1:2" x14ac:dyDescent="0.25">
      <c r="A377" s="3" t="s">
        <v>5822</v>
      </c>
      <c r="B377" s="6" t="s">
        <v>5935</v>
      </c>
    </row>
    <row r="378" spans="1:2" x14ac:dyDescent="0.25">
      <c r="A378" s="3" t="s">
        <v>5823</v>
      </c>
      <c r="B378" s="6">
        <v>20249250</v>
      </c>
    </row>
    <row r="379" spans="1:2" x14ac:dyDescent="0.25">
      <c r="A379" s="3" t="s">
        <v>5824</v>
      </c>
      <c r="B379" s="6">
        <v>70982357</v>
      </c>
    </row>
    <row r="380" spans="1:2" x14ac:dyDescent="0.25">
      <c r="A380" s="3" t="s">
        <v>5825</v>
      </c>
      <c r="B380" s="6">
        <v>74728264</v>
      </c>
    </row>
    <row r="381" spans="1:2" x14ac:dyDescent="0.25">
      <c r="A381" s="3" t="s">
        <v>5826</v>
      </c>
      <c r="B381" s="6">
        <v>53471789</v>
      </c>
    </row>
    <row r="382" spans="1:2" x14ac:dyDescent="0.25">
      <c r="A382" s="3" t="s">
        <v>5827</v>
      </c>
      <c r="B382" s="6">
        <v>46833118</v>
      </c>
    </row>
    <row r="383" spans="1:2" x14ac:dyDescent="0.25">
      <c r="A383" s="3" t="s">
        <v>5828</v>
      </c>
      <c r="B383" s="6" t="s">
        <v>5936</v>
      </c>
    </row>
    <row r="384" spans="1:2" x14ac:dyDescent="0.25">
      <c r="A384" s="3" t="s">
        <v>5829</v>
      </c>
      <c r="B384" s="6">
        <v>51704173</v>
      </c>
    </row>
    <row r="385" spans="1:2" x14ac:dyDescent="0.25">
      <c r="A385" s="3" t="s">
        <v>5830</v>
      </c>
      <c r="B385" s="6">
        <v>17454447</v>
      </c>
    </row>
    <row r="386" spans="1:2" x14ac:dyDescent="0.25">
      <c r="A386" s="3" t="s">
        <v>5831</v>
      </c>
      <c r="B386" s="6" t="s">
        <v>5937</v>
      </c>
    </row>
    <row r="387" spans="1:2" x14ac:dyDescent="0.25">
      <c r="A387" s="3" t="s">
        <v>5832</v>
      </c>
      <c r="B387" s="6">
        <v>45419628</v>
      </c>
    </row>
    <row r="388" spans="1:2" x14ac:dyDescent="0.25">
      <c r="A388" s="3" t="s">
        <v>5833</v>
      </c>
      <c r="B388" s="6">
        <v>70058114</v>
      </c>
    </row>
    <row r="389" spans="1:2" x14ac:dyDescent="0.25">
      <c r="A389" s="3" t="s">
        <v>5834</v>
      </c>
      <c r="B389" s="6">
        <v>50768130</v>
      </c>
    </row>
    <row r="390" spans="1:2" x14ac:dyDescent="0.25">
      <c r="A390" s="3" t="s">
        <v>5835</v>
      </c>
      <c r="B390" s="6">
        <v>44907733</v>
      </c>
    </row>
    <row r="391" spans="1:2" x14ac:dyDescent="0.25">
      <c r="A391" s="3" t="s">
        <v>5836</v>
      </c>
      <c r="B391" s="6" t="s">
        <v>5938</v>
      </c>
    </row>
    <row r="392" spans="1:2" x14ac:dyDescent="0.25">
      <c r="A392" s="3" t="s">
        <v>5837</v>
      </c>
      <c r="B392" s="6">
        <v>49004542</v>
      </c>
    </row>
    <row r="393" spans="1:2" x14ac:dyDescent="0.25">
      <c r="A393" s="3" t="s">
        <v>5838</v>
      </c>
      <c r="B393" s="6">
        <v>33526468</v>
      </c>
    </row>
    <row r="394" spans="1:2" x14ac:dyDescent="0.25">
      <c r="A394" s="3" t="s">
        <v>5839</v>
      </c>
      <c r="B394" s="6">
        <v>26042750</v>
      </c>
    </row>
    <row r="395" spans="1:2" x14ac:dyDescent="0.25">
      <c r="A395" s="3" t="s">
        <v>5840</v>
      </c>
      <c r="B395" s="6">
        <v>70802353</v>
      </c>
    </row>
    <row r="396" spans="1:2" x14ac:dyDescent="0.25">
      <c r="A396" s="3" t="s">
        <v>5841</v>
      </c>
      <c r="B396" s="6">
        <v>53730155</v>
      </c>
    </row>
    <row r="397" spans="1:2" x14ac:dyDescent="0.25">
      <c r="A397" s="3" t="s">
        <v>5842</v>
      </c>
      <c r="B397" s="6">
        <v>47049704</v>
      </c>
    </row>
    <row r="398" spans="1:2" x14ac:dyDescent="0.25">
      <c r="A398" s="3" t="s">
        <v>5843</v>
      </c>
      <c r="B398" s="6">
        <v>46880746</v>
      </c>
    </row>
    <row r="399" spans="1:2" x14ac:dyDescent="0.25">
      <c r="A399" s="3" t="s">
        <v>5844</v>
      </c>
      <c r="B399" s="6">
        <v>70070969</v>
      </c>
    </row>
    <row r="400" spans="1:2" x14ac:dyDescent="0.25">
      <c r="A400" s="3" t="s">
        <v>5845</v>
      </c>
      <c r="B400" s="6">
        <v>50097539</v>
      </c>
    </row>
    <row r="401" spans="1:2" x14ac:dyDescent="0.25">
      <c r="A401" s="3" t="s">
        <v>5846</v>
      </c>
      <c r="B401" s="6" t="s">
        <v>5939</v>
      </c>
    </row>
    <row r="402" spans="1:2" x14ac:dyDescent="0.25">
      <c r="A402" s="3" t="s">
        <v>5847</v>
      </c>
      <c r="B402" s="6">
        <v>47303330</v>
      </c>
    </row>
    <row r="403" spans="1:2" x14ac:dyDescent="0.25">
      <c r="A403" s="3" t="s">
        <v>5848</v>
      </c>
      <c r="B403" s="6">
        <v>53550896</v>
      </c>
    </row>
    <row r="404" spans="1:2" x14ac:dyDescent="0.25">
      <c r="A404" s="3" t="s">
        <v>5849</v>
      </c>
      <c r="B404" s="6" t="s">
        <v>5954</v>
      </c>
    </row>
    <row r="405" spans="1:2" x14ac:dyDescent="0.25">
      <c r="A405" s="3" t="s">
        <v>5850</v>
      </c>
      <c r="B405" s="6">
        <v>78850205</v>
      </c>
    </row>
    <row r="406" spans="1:2" x14ac:dyDescent="0.25">
      <c r="A406" s="3" t="s">
        <v>5851</v>
      </c>
      <c r="B406" s="6" t="s">
        <v>5940</v>
      </c>
    </row>
    <row r="407" spans="1:2" x14ac:dyDescent="0.25">
      <c r="A407" s="3" t="s">
        <v>5852</v>
      </c>
      <c r="B407" s="6">
        <v>52975704</v>
      </c>
    </row>
    <row r="408" spans="1:2" x14ac:dyDescent="0.25">
      <c r="A408" s="3" t="s">
        <v>5853</v>
      </c>
      <c r="B408" s="6">
        <v>52397938</v>
      </c>
    </row>
    <row r="409" spans="1:2" x14ac:dyDescent="0.25">
      <c r="A409" s="3" t="s">
        <v>5854</v>
      </c>
      <c r="B409" s="6">
        <v>52666163</v>
      </c>
    </row>
    <row r="410" spans="1:2" x14ac:dyDescent="0.25">
      <c r="A410" s="3" t="s">
        <v>5855</v>
      </c>
      <c r="B410" s="6">
        <v>21655934</v>
      </c>
    </row>
    <row r="411" spans="1:2" x14ac:dyDescent="0.25">
      <c r="A411" s="3" t="s">
        <v>5856</v>
      </c>
      <c r="B411" s="6">
        <v>74931069</v>
      </c>
    </row>
    <row r="412" spans="1:2" x14ac:dyDescent="0.25">
      <c r="A412" s="3" t="s">
        <v>5857</v>
      </c>
      <c r="B412" s="6">
        <v>50443845</v>
      </c>
    </row>
    <row r="413" spans="1:2" x14ac:dyDescent="0.25">
      <c r="A413" s="3" t="s">
        <v>5858</v>
      </c>
      <c r="B413" s="6" t="s">
        <v>5941</v>
      </c>
    </row>
    <row r="414" spans="1:2" x14ac:dyDescent="0.25">
      <c r="A414" s="3" t="s">
        <v>5859</v>
      </c>
      <c r="B414" s="6">
        <v>21490189</v>
      </c>
    </row>
    <row r="415" spans="1:2" x14ac:dyDescent="0.25">
      <c r="A415" s="3" t="s">
        <v>5860</v>
      </c>
      <c r="B415" s="6" t="s">
        <v>5942</v>
      </c>
    </row>
    <row r="416" spans="1:2" x14ac:dyDescent="0.25">
      <c r="A416" s="3" t="s">
        <v>5861</v>
      </c>
      <c r="B416" s="6">
        <v>53498923</v>
      </c>
    </row>
    <row r="417" spans="1:2" x14ac:dyDescent="0.25">
      <c r="A417" s="3" t="s">
        <v>5862</v>
      </c>
      <c r="B417" s="6">
        <v>53095393</v>
      </c>
    </row>
    <row r="418" spans="1:2" x14ac:dyDescent="0.25">
      <c r="A418" s="3" t="s">
        <v>5863</v>
      </c>
      <c r="B418" s="6" t="s">
        <v>5943</v>
      </c>
    </row>
    <row r="419" spans="1:2" x14ac:dyDescent="0.25">
      <c r="A419" s="3" t="s">
        <v>5864</v>
      </c>
      <c r="B419" s="6">
        <v>35444916</v>
      </c>
    </row>
    <row r="420" spans="1:2" x14ac:dyDescent="0.25">
      <c r="A420" s="3" t="s">
        <v>5865</v>
      </c>
      <c r="B420" s="6">
        <v>52887603</v>
      </c>
    </row>
    <row r="421" spans="1:2" x14ac:dyDescent="0.25">
      <c r="A421" s="3" t="s">
        <v>5866</v>
      </c>
      <c r="B421" s="6">
        <v>44497735</v>
      </c>
    </row>
    <row r="422" spans="1:2" x14ac:dyDescent="0.25">
      <c r="A422" s="3" t="s">
        <v>5867</v>
      </c>
      <c r="B422" s="6">
        <v>70908458</v>
      </c>
    </row>
    <row r="423" spans="1:2" x14ac:dyDescent="0.25">
      <c r="A423" s="3" t="s">
        <v>5868</v>
      </c>
      <c r="B423" s="6" t="s">
        <v>5944</v>
      </c>
    </row>
    <row r="424" spans="1:2" x14ac:dyDescent="0.25">
      <c r="A424" s="3" t="s">
        <v>5869</v>
      </c>
      <c r="B424" s="6">
        <v>53567621</v>
      </c>
    </row>
    <row r="425" spans="1:2" x14ac:dyDescent="0.25">
      <c r="A425" s="3" t="s">
        <v>5870</v>
      </c>
      <c r="B425" s="6">
        <v>71939437</v>
      </c>
    </row>
  </sheetData>
  <pageMargins left="0.7" right="0.7" top="0.75" bottom="0.75" header="0.3" footer="0.3"/>
  <pageSetup paperSize="9"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40"/>
  <sheetViews>
    <sheetView workbookViewId="0">
      <selection activeCell="D24" sqref="D24"/>
    </sheetView>
  </sheetViews>
  <sheetFormatPr baseColWidth="10" defaultRowHeight="15" x14ac:dyDescent="0.25"/>
  <cols>
    <col min="3" max="3" width="11.85546875" bestFit="1" customWidth="1"/>
  </cols>
  <sheetData>
    <row r="1" spans="1:3" x14ac:dyDescent="0.25">
      <c r="A1" s="92" t="s">
        <v>4012</v>
      </c>
      <c r="B1">
        <v>2000</v>
      </c>
      <c r="C1" t="str">
        <f t="shared" ref="C1:C40" si="0">CONCATENATE("EXAMEN ",B1,"/MP3/","Q-",A1," EXAMEN ",B1,".mp3")</f>
        <v>EXAMEN 2000/MP3/Q-01 EXAMEN 2000.mp3</v>
      </c>
    </row>
    <row r="2" spans="1:3" x14ac:dyDescent="0.25">
      <c r="A2" s="92" t="s">
        <v>4011</v>
      </c>
      <c r="B2">
        <v>2000</v>
      </c>
      <c r="C2" t="str">
        <f t="shared" si="0"/>
        <v>EXAMEN 2000/MP3/Q-02 EXAMEN 2000.mp3</v>
      </c>
    </row>
    <row r="3" spans="1:3" x14ac:dyDescent="0.25">
      <c r="A3" s="92" t="s">
        <v>4010</v>
      </c>
      <c r="B3">
        <v>2000</v>
      </c>
      <c r="C3" t="str">
        <f t="shared" si="0"/>
        <v>EXAMEN 2000/MP3/Q-03 EXAMEN 2000.mp3</v>
      </c>
    </row>
    <row r="4" spans="1:3" x14ac:dyDescent="0.25">
      <c r="A4" s="92" t="s">
        <v>4009</v>
      </c>
      <c r="B4">
        <v>2000</v>
      </c>
      <c r="C4" t="str">
        <f t="shared" si="0"/>
        <v>EXAMEN 2000/MP3/Q-04 EXAMEN 2000.mp3</v>
      </c>
    </row>
    <row r="5" spans="1:3" x14ac:dyDescent="0.25">
      <c r="A5" s="92" t="s">
        <v>4008</v>
      </c>
      <c r="B5">
        <v>2000</v>
      </c>
      <c r="C5" t="str">
        <f t="shared" si="0"/>
        <v>EXAMEN 2000/MP3/Q-05 EXAMEN 2000.mp3</v>
      </c>
    </row>
    <row r="6" spans="1:3" x14ac:dyDescent="0.25">
      <c r="A6" s="92" t="s">
        <v>4007</v>
      </c>
      <c r="B6">
        <v>2000</v>
      </c>
      <c r="C6" t="str">
        <f t="shared" si="0"/>
        <v>EXAMEN 2000/MP3/Q-06 EXAMEN 2000.mp3</v>
      </c>
    </row>
    <row r="7" spans="1:3" x14ac:dyDescent="0.25">
      <c r="A7" s="92" t="s">
        <v>4006</v>
      </c>
      <c r="B7">
        <v>2000</v>
      </c>
      <c r="C7" t="str">
        <f t="shared" si="0"/>
        <v>EXAMEN 2000/MP3/Q-07 EXAMEN 2000.mp3</v>
      </c>
    </row>
    <row r="8" spans="1:3" x14ac:dyDescent="0.25">
      <c r="A8" s="92" t="s">
        <v>4005</v>
      </c>
      <c r="B8">
        <v>2000</v>
      </c>
      <c r="C8" t="str">
        <f t="shared" si="0"/>
        <v>EXAMEN 2000/MP3/Q-08 EXAMEN 2000.mp3</v>
      </c>
    </row>
    <row r="9" spans="1:3" x14ac:dyDescent="0.25">
      <c r="A9" s="92" t="s">
        <v>4004</v>
      </c>
      <c r="B9">
        <v>2000</v>
      </c>
      <c r="C9" t="str">
        <f t="shared" si="0"/>
        <v>EXAMEN 2000/MP3/Q-09 EXAMEN 2000.mp3</v>
      </c>
    </row>
    <row r="10" spans="1:3" x14ac:dyDescent="0.25">
      <c r="A10">
        <v>10</v>
      </c>
      <c r="B10">
        <v>2000</v>
      </c>
      <c r="C10" t="str">
        <f t="shared" si="0"/>
        <v>EXAMEN 2000/MP3/Q-10 EXAMEN 2000.mp3</v>
      </c>
    </row>
    <row r="11" spans="1:3" x14ac:dyDescent="0.25">
      <c r="A11">
        <v>11</v>
      </c>
      <c r="B11">
        <v>2000</v>
      </c>
      <c r="C11" t="str">
        <f t="shared" si="0"/>
        <v>EXAMEN 2000/MP3/Q-11 EXAMEN 2000.mp3</v>
      </c>
    </row>
    <row r="12" spans="1:3" x14ac:dyDescent="0.25">
      <c r="A12">
        <v>12</v>
      </c>
      <c r="B12">
        <v>2000</v>
      </c>
      <c r="C12" t="str">
        <f t="shared" si="0"/>
        <v>EXAMEN 2000/MP3/Q-12 EXAMEN 2000.mp3</v>
      </c>
    </row>
    <row r="13" spans="1:3" x14ac:dyDescent="0.25">
      <c r="A13">
        <v>13</v>
      </c>
      <c r="B13">
        <v>2000</v>
      </c>
      <c r="C13" t="str">
        <f t="shared" si="0"/>
        <v>EXAMEN 2000/MP3/Q-13 EXAMEN 2000.mp3</v>
      </c>
    </row>
    <row r="14" spans="1:3" x14ac:dyDescent="0.25">
      <c r="A14">
        <v>14</v>
      </c>
      <c r="B14">
        <v>2000</v>
      </c>
      <c r="C14" t="str">
        <f t="shared" si="0"/>
        <v>EXAMEN 2000/MP3/Q-14 EXAMEN 2000.mp3</v>
      </c>
    </row>
    <row r="15" spans="1:3" x14ac:dyDescent="0.25">
      <c r="A15">
        <v>15</v>
      </c>
      <c r="B15">
        <v>2000</v>
      </c>
      <c r="C15" t="str">
        <f t="shared" si="0"/>
        <v>EXAMEN 2000/MP3/Q-15 EXAMEN 2000.mp3</v>
      </c>
    </row>
    <row r="16" spans="1:3" x14ac:dyDescent="0.25">
      <c r="A16">
        <v>16</v>
      </c>
      <c r="B16">
        <v>2000</v>
      </c>
      <c r="C16" t="str">
        <f t="shared" si="0"/>
        <v>EXAMEN 2000/MP3/Q-16 EXAMEN 2000.mp3</v>
      </c>
    </row>
    <row r="17" spans="1:3" x14ac:dyDescent="0.25">
      <c r="A17">
        <v>17</v>
      </c>
      <c r="B17">
        <v>2000</v>
      </c>
      <c r="C17" t="str">
        <f t="shared" si="0"/>
        <v>EXAMEN 2000/MP3/Q-17 EXAMEN 2000.mp3</v>
      </c>
    </row>
    <row r="18" spans="1:3" x14ac:dyDescent="0.25">
      <c r="A18">
        <v>18</v>
      </c>
      <c r="B18">
        <v>2000</v>
      </c>
      <c r="C18" t="str">
        <f t="shared" si="0"/>
        <v>EXAMEN 2000/MP3/Q-18 EXAMEN 2000.mp3</v>
      </c>
    </row>
    <row r="19" spans="1:3" x14ac:dyDescent="0.25">
      <c r="A19">
        <v>19</v>
      </c>
      <c r="B19">
        <v>2000</v>
      </c>
      <c r="C19" t="str">
        <f t="shared" si="0"/>
        <v>EXAMEN 2000/MP3/Q-19 EXAMEN 2000.mp3</v>
      </c>
    </row>
    <row r="20" spans="1:3" x14ac:dyDescent="0.25">
      <c r="A20">
        <v>20</v>
      </c>
      <c r="B20">
        <v>2000</v>
      </c>
      <c r="C20" t="str">
        <f t="shared" si="0"/>
        <v>EXAMEN 2000/MP3/Q-20 EXAMEN 2000.mp3</v>
      </c>
    </row>
    <row r="21" spans="1:3" x14ac:dyDescent="0.25">
      <c r="A21">
        <v>21</v>
      </c>
      <c r="B21">
        <v>2000</v>
      </c>
      <c r="C21" t="str">
        <f t="shared" si="0"/>
        <v>EXAMEN 2000/MP3/Q-21 EXAMEN 2000.mp3</v>
      </c>
    </row>
    <row r="22" spans="1:3" x14ac:dyDescent="0.25">
      <c r="A22">
        <v>22</v>
      </c>
      <c r="B22">
        <v>2000</v>
      </c>
      <c r="C22" t="str">
        <f t="shared" si="0"/>
        <v>EXAMEN 2000/MP3/Q-22 EXAMEN 2000.mp3</v>
      </c>
    </row>
    <row r="23" spans="1:3" x14ac:dyDescent="0.25">
      <c r="A23">
        <v>23</v>
      </c>
      <c r="B23">
        <v>2000</v>
      </c>
      <c r="C23" t="str">
        <f t="shared" si="0"/>
        <v>EXAMEN 2000/MP3/Q-23 EXAMEN 2000.mp3</v>
      </c>
    </row>
    <row r="24" spans="1:3" x14ac:dyDescent="0.25">
      <c r="A24">
        <v>24</v>
      </c>
      <c r="B24">
        <v>2000</v>
      </c>
      <c r="C24" t="str">
        <f t="shared" si="0"/>
        <v>EXAMEN 2000/MP3/Q-24 EXAMEN 2000.mp3</v>
      </c>
    </row>
    <row r="25" spans="1:3" x14ac:dyDescent="0.25">
      <c r="A25">
        <v>25</v>
      </c>
      <c r="B25">
        <v>2000</v>
      </c>
      <c r="C25" t="str">
        <f t="shared" si="0"/>
        <v>EXAMEN 2000/MP3/Q-25 EXAMEN 2000.mp3</v>
      </c>
    </row>
    <row r="26" spans="1:3" x14ac:dyDescent="0.25">
      <c r="A26">
        <v>26</v>
      </c>
      <c r="B26">
        <v>2000</v>
      </c>
      <c r="C26" t="str">
        <f t="shared" si="0"/>
        <v>EXAMEN 2000/MP3/Q-26 EXAMEN 2000.mp3</v>
      </c>
    </row>
    <row r="27" spans="1:3" x14ac:dyDescent="0.25">
      <c r="A27">
        <v>27</v>
      </c>
      <c r="B27">
        <v>2000</v>
      </c>
      <c r="C27" t="str">
        <f t="shared" si="0"/>
        <v>EXAMEN 2000/MP3/Q-27 EXAMEN 2000.mp3</v>
      </c>
    </row>
    <row r="28" spans="1:3" x14ac:dyDescent="0.25">
      <c r="A28">
        <v>28</v>
      </c>
      <c r="B28">
        <v>2000</v>
      </c>
      <c r="C28" t="str">
        <f t="shared" si="0"/>
        <v>EXAMEN 2000/MP3/Q-28 EXAMEN 2000.mp3</v>
      </c>
    </row>
    <row r="29" spans="1:3" x14ac:dyDescent="0.25">
      <c r="A29">
        <v>29</v>
      </c>
      <c r="B29">
        <v>2000</v>
      </c>
      <c r="C29" t="str">
        <f t="shared" si="0"/>
        <v>EXAMEN 2000/MP3/Q-29 EXAMEN 2000.mp3</v>
      </c>
    </row>
    <row r="30" spans="1:3" x14ac:dyDescent="0.25">
      <c r="A30">
        <v>30</v>
      </c>
      <c r="B30">
        <v>2000</v>
      </c>
      <c r="C30" t="str">
        <f t="shared" si="0"/>
        <v>EXAMEN 2000/MP3/Q-30 EXAMEN 2000.mp3</v>
      </c>
    </row>
    <row r="31" spans="1:3" x14ac:dyDescent="0.25">
      <c r="A31">
        <v>31</v>
      </c>
      <c r="B31">
        <v>2000</v>
      </c>
      <c r="C31" t="str">
        <f t="shared" si="0"/>
        <v>EXAMEN 2000/MP3/Q-31 EXAMEN 2000.mp3</v>
      </c>
    </row>
    <row r="32" spans="1:3" x14ac:dyDescent="0.25">
      <c r="A32">
        <v>32</v>
      </c>
      <c r="B32">
        <v>2000</v>
      </c>
      <c r="C32" t="str">
        <f t="shared" si="0"/>
        <v>EXAMEN 2000/MP3/Q-32 EXAMEN 2000.mp3</v>
      </c>
    </row>
    <row r="33" spans="1:3" x14ac:dyDescent="0.25">
      <c r="A33">
        <v>33</v>
      </c>
      <c r="B33">
        <v>2000</v>
      </c>
      <c r="C33" t="str">
        <f t="shared" si="0"/>
        <v>EXAMEN 2000/MP3/Q-33 EXAMEN 2000.mp3</v>
      </c>
    </row>
    <row r="34" spans="1:3" x14ac:dyDescent="0.25">
      <c r="A34">
        <v>34</v>
      </c>
      <c r="B34">
        <v>2000</v>
      </c>
      <c r="C34" t="str">
        <f t="shared" si="0"/>
        <v>EXAMEN 2000/MP3/Q-34 EXAMEN 2000.mp3</v>
      </c>
    </row>
    <row r="35" spans="1:3" x14ac:dyDescent="0.25">
      <c r="A35">
        <v>35</v>
      </c>
      <c r="B35">
        <v>2000</v>
      </c>
      <c r="C35" t="str">
        <f t="shared" si="0"/>
        <v>EXAMEN 2000/MP3/Q-35 EXAMEN 2000.mp3</v>
      </c>
    </row>
    <row r="36" spans="1:3" x14ac:dyDescent="0.25">
      <c r="A36">
        <v>36</v>
      </c>
      <c r="B36">
        <v>2000</v>
      </c>
      <c r="C36" t="str">
        <f t="shared" si="0"/>
        <v>EXAMEN 2000/MP3/Q-36 EXAMEN 2000.mp3</v>
      </c>
    </row>
    <row r="37" spans="1:3" x14ac:dyDescent="0.25">
      <c r="A37">
        <v>37</v>
      </c>
      <c r="B37">
        <v>2000</v>
      </c>
      <c r="C37" t="str">
        <f t="shared" si="0"/>
        <v>EXAMEN 2000/MP3/Q-37 EXAMEN 2000.mp3</v>
      </c>
    </row>
    <row r="38" spans="1:3" x14ac:dyDescent="0.25">
      <c r="A38">
        <v>38</v>
      </c>
      <c r="B38">
        <v>2000</v>
      </c>
      <c r="C38" t="str">
        <f t="shared" si="0"/>
        <v>EXAMEN 2000/MP3/Q-38 EXAMEN 2000.mp3</v>
      </c>
    </row>
    <row r="39" spans="1:3" x14ac:dyDescent="0.25">
      <c r="A39">
        <v>39</v>
      </c>
      <c r="B39">
        <v>2000</v>
      </c>
      <c r="C39" t="str">
        <f t="shared" si="0"/>
        <v>EXAMEN 2000/MP3/Q-39 EXAMEN 2000.mp3</v>
      </c>
    </row>
    <row r="40" spans="1:3" x14ac:dyDescent="0.25">
      <c r="A40">
        <v>40</v>
      </c>
      <c r="B40">
        <v>2000</v>
      </c>
      <c r="C40" t="str">
        <f t="shared" si="0"/>
        <v>EXAMEN 2000/MP3/Q-40 EXAMEN 2000.mp3</v>
      </c>
    </row>
  </sheetData>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workbookViewId="0">
      <selection activeCell="D10" sqref="D10"/>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Listening</vt:lpstr>
      <vt:lpstr>Normal</vt:lpstr>
      <vt:lpstr>Data</vt:lpstr>
      <vt:lpstr>CONCATENAR</vt:lpstr>
      <vt:lpstr>Ayuda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2013-04-11T09:15:10Z</dcterms:modified>
</cp:coreProperties>
</file>