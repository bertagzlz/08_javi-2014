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15" yWindow="-15" windowWidth="18825" windowHeight="10155" tabRatio="411" activeTab="1"/>
  </bookViews>
  <sheets>
    <sheet name="Listening" sheetId="1" r:id="rId1"/>
    <sheet name="Normal" sheetId="4" r:id="rId2"/>
    <sheet name="Data" sheetId="2" r:id="rId3"/>
    <sheet name="Hoja3" sheetId="3" r:id="rId4"/>
  </sheets>
  <functionGroups builtInGroupCount="17"/>
  <definedNames>
    <definedName name="_xlnm._FilterDatabase" localSheetId="0" hidden="1">Listening!$C$122:$F$131</definedName>
    <definedName name="_xlnm._FilterDatabase" localSheetId="1" hidden="1">Normal!$C$3:$F$12</definedName>
  </definedNames>
  <calcPr calcId="144525"/>
</workbook>
</file>

<file path=xl/calcChain.xml><?xml version="1.0" encoding="utf-8"?>
<calcChain xmlns="http://schemas.openxmlformats.org/spreadsheetml/2006/main">
  <c r="Q37" i="4" l="1"/>
  <c r="R37" i="4"/>
  <c r="S37" i="4"/>
  <c r="T37" i="4"/>
  <c r="Q38" i="4"/>
  <c r="R38" i="4"/>
  <c r="S38" i="4"/>
  <c r="T38" i="4"/>
  <c r="Q39" i="4"/>
  <c r="R39" i="4"/>
  <c r="S39" i="4"/>
  <c r="T39" i="4"/>
  <c r="Q40" i="4"/>
  <c r="R40" i="4"/>
  <c r="S40" i="4"/>
  <c r="T40" i="4"/>
  <c r="Q41" i="4"/>
  <c r="R41" i="4"/>
  <c r="S41" i="4"/>
  <c r="T41" i="4"/>
  <c r="Q42" i="4"/>
  <c r="R42" i="4"/>
  <c r="S42" i="4"/>
  <c r="T42" i="4"/>
  <c r="Q43" i="4"/>
  <c r="R43" i="4"/>
  <c r="S43" i="4"/>
  <c r="T43" i="4"/>
  <c r="Q44" i="4"/>
  <c r="R44" i="4"/>
  <c r="S44" i="4"/>
  <c r="T44" i="4"/>
  <c r="Q45" i="4"/>
  <c r="R45" i="4"/>
  <c r="S45" i="4"/>
  <c r="T45" i="4"/>
  <c r="Q46" i="4"/>
  <c r="R46" i="4"/>
  <c r="S46" i="4"/>
  <c r="T46" i="4"/>
  <c r="Q47" i="4"/>
  <c r="R47" i="4"/>
  <c r="S47" i="4"/>
  <c r="T47" i="4"/>
  <c r="Q48" i="4"/>
  <c r="R48" i="4"/>
  <c r="S48" i="4"/>
  <c r="T48" i="4"/>
  <c r="Q49" i="4"/>
  <c r="R49" i="4"/>
  <c r="S49" i="4"/>
  <c r="T49" i="4"/>
  <c r="Q50" i="4"/>
  <c r="R50" i="4"/>
  <c r="S50" i="4"/>
  <c r="T50" i="4"/>
  <c r="Q51" i="4"/>
  <c r="R51" i="4"/>
  <c r="S51" i="4"/>
  <c r="T51" i="4"/>
  <c r="S36" i="4"/>
  <c r="T36" i="4"/>
  <c r="Q36" i="4"/>
  <c r="R36" i="4"/>
  <c r="M51" i="4"/>
  <c r="M50" i="4"/>
  <c r="M49" i="4"/>
  <c r="M48" i="4"/>
  <c r="M47" i="4"/>
  <c r="M46" i="4"/>
  <c r="M45" i="4"/>
  <c r="M44" i="4"/>
  <c r="M43" i="4"/>
  <c r="M42" i="4"/>
  <c r="M41" i="4"/>
  <c r="M40" i="4"/>
  <c r="M39" i="4"/>
  <c r="M38" i="4"/>
  <c r="M37" i="4"/>
  <c r="M36" i="4"/>
  <c r="Q71" i="4"/>
  <c r="Q9" i="4"/>
  <c r="Q10" i="4"/>
  <c r="Q11" i="4"/>
  <c r="Q12" i="4"/>
  <c r="Q13" i="4"/>
  <c r="Q14" i="4"/>
  <c r="Q15" i="4"/>
  <c r="Q16" i="4"/>
  <c r="Q17" i="4"/>
  <c r="Q18" i="4"/>
  <c r="Q19" i="4"/>
  <c r="Q20" i="4"/>
  <c r="Q8" i="4"/>
  <c r="Q4" i="4"/>
  <c r="Q5" i="4"/>
  <c r="Q6" i="4"/>
  <c r="Q7" i="4"/>
  <c r="Q3" i="4"/>
  <c r="Q69" i="4" s="1"/>
  <c r="R3" i="4"/>
  <c r="Q68" i="4"/>
  <c r="D4" i="3"/>
  <c r="D5" i="3"/>
  <c r="D6" i="3"/>
  <c r="D7" i="3"/>
  <c r="D8" i="3"/>
  <c r="D9" i="3"/>
  <c r="D10" i="3"/>
  <c r="D11" i="3"/>
  <c r="D12" i="3"/>
  <c r="D13" i="3"/>
  <c r="D14" i="3"/>
  <c r="D15" i="3"/>
  <c r="D16" i="3"/>
  <c r="D17" i="3"/>
  <c r="D18" i="3"/>
  <c r="D19" i="3"/>
  <c r="D20" i="3"/>
  <c r="D21" i="3"/>
  <c r="D22" i="3"/>
  <c r="D3" i="3"/>
  <c r="Q84" i="4"/>
  <c r="Q85" i="4"/>
  <c r="Q86" i="4"/>
  <c r="Q87" i="4"/>
  <c r="Q88" i="4"/>
  <c r="Q89" i="4"/>
  <c r="Q90" i="4"/>
  <c r="Q91" i="4"/>
  <c r="Q92" i="4"/>
  <c r="Q93" i="4"/>
  <c r="Q94" i="4"/>
  <c r="Q95" i="4"/>
  <c r="Q96" i="4"/>
  <c r="Q97" i="4"/>
  <c r="Q83" i="4"/>
  <c r="Q70" i="4"/>
  <c r="Q72" i="4"/>
  <c r="Q73" i="4"/>
  <c r="Q74" i="4"/>
  <c r="Q75" i="4"/>
  <c r="Q76" i="4"/>
  <c r="Q77" i="4"/>
  <c r="Q78" i="4"/>
  <c r="Q79" i="4"/>
  <c r="Q80" i="4"/>
  <c r="Q81" i="4"/>
  <c r="Q82" i="4"/>
  <c r="N201" i="1"/>
  <c r="N196" i="1"/>
  <c r="N182" i="1"/>
  <c r="N183" i="1"/>
  <c r="N184" i="1"/>
  <c r="N185" i="1"/>
  <c r="N186" i="1"/>
  <c r="N187" i="1"/>
  <c r="N188" i="1"/>
  <c r="N189" i="1"/>
  <c r="N190" i="1"/>
  <c r="N191" i="1"/>
  <c r="N192" i="1"/>
  <c r="N193" i="1"/>
  <c r="N194" i="1"/>
  <c r="N195" i="1"/>
  <c r="N197" i="1"/>
  <c r="N198" i="1"/>
  <c r="N199" i="1"/>
  <c r="N200" i="1"/>
  <c r="N181" i="1"/>
  <c r="N180" i="1"/>
  <c r="N162" i="1"/>
  <c r="N163" i="1"/>
  <c r="N164" i="1"/>
  <c r="N165" i="1"/>
  <c r="N166" i="1"/>
  <c r="N167" i="1"/>
  <c r="N168" i="1"/>
  <c r="N169" i="1"/>
  <c r="N170" i="1"/>
  <c r="N171" i="1"/>
  <c r="N172" i="1"/>
  <c r="N173" i="1"/>
  <c r="N174" i="1"/>
  <c r="N175" i="1"/>
  <c r="N176" i="1"/>
  <c r="N177" i="1"/>
  <c r="N178" i="1"/>
  <c r="N179" i="1"/>
</calcChain>
</file>

<file path=xl/connections.xml><?xml version="1.0" encoding="utf-8"?>
<connections xmlns="http://schemas.openxmlformats.org/spreadsheetml/2006/main">
  <connection id="1" name="sites" type="4" refreshedVersion="0" background="1">
    <webPr xml="1" sourceData="1" parsePre="1" consecutive="1" url="D:\01home\web\08_javi\xml\sites.xml" htmlTables="1"/>
  </connection>
</connections>
</file>

<file path=xl/sharedStrings.xml><?xml version="1.0" encoding="utf-8"?>
<sst xmlns="http://schemas.openxmlformats.org/spreadsheetml/2006/main" count="2586" uniqueCount="2410">
  <si>
    <t>fecha</t>
  </si>
  <si>
    <t>titulo</t>
  </si>
  <si>
    <t>url</t>
  </si>
  <si>
    <t>answ1</t>
  </si>
  <si>
    <t>answ2</t>
  </si>
  <si>
    <t>repeat</t>
  </si>
  <si>
    <t>answ3</t>
  </si>
  <si>
    <t>answ4</t>
  </si>
  <si>
    <t>id_exam</t>
  </si>
  <si>
    <t>Question</t>
  </si>
  <si>
    <t>nquest</t>
  </si>
  <si>
    <t>delay</t>
  </si>
  <si>
    <t>En las sucesivas presentaciones usted encontrará preguntas de tipo test relacionadas con la conversación que debe escuchar previamente en la parte izquierda de la misma.</t>
  </si>
  <si>
    <t>Después de escuchar la conversación en inglés deberá responder a una de las preguntas de la parte derecha.</t>
  </si>
  <si>
    <t>Gracias por su colaboración. A continuación podrá &lt;strong&gt;imprimir&lt;/strong&gt; las respuestas que han sido seleccionadas, o bien imprimirlas en un archivo &lt;strong&gt;pdf&lt;/strong&gt; para su entrega al profesor correspondiente.</t>
  </si>
  <si>
    <t>nombre_examen</t>
  </si>
  <si>
    <t>listening</t>
  </si>
  <si>
    <t>Question1</t>
  </si>
  <si>
    <t>Question2</t>
  </si>
  <si>
    <t>Texto</t>
  </si>
  <si>
    <t xml:space="preserve">a) be completely negative.                                                                                                                 </t>
  </si>
  <si>
    <t xml:space="preserve">b) give a generally positive outlook while pointing out some problematic areas.                            </t>
  </si>
  <si>
    <t xml:space="preserve">c) lead the reader to the conclusion that the situation is going to improve in the near future.                                                                                                                                                        </t>
  </si>
  <si>
    <t>d) give a generally pessimistic picture while pointing out some encouraging achievements.</t>
  </si>
  <si>
    <t>EXAMEN 1/MP3/Q-10 EXAMEN 1.mp3</t>
  </si>
  <si>
    <t>EXAMEN 1/MP3/Q-11 EXAMEN 1.mp3</t>
  </si>
  <si>
    <t>EXAMEN 1/MP3/Q-12 EXAMEN 1.mp3</t>
  </si>
  <si>
    <t>EXAMEN 1/MP3/Q-13 EXAMEN 1.mp3</t>
  </si>
  <si>
    <t>EXAMEN 1/MP3/Q-14 EXAMEN 1.mp3</t>
  </si>
  <si>
    <t>EXAMEN 1/MP3/Q-15 EXAMEN 1.mp3</t>
  </si>
  <si>
    <t>EXAMEN 1/MP3/Q-16 EXAMEN 1.mp3</t>
  </si>
  <si>
    <t>EXAMEN 1/MP3/Q-17 EXAMEN 1.mp3</t>
  </si>
  <si>
    <t>EXAMEN 1/MP3/Q-18 EXAMEN 1.mp3</t>
  </si>
  <si>
    <t>EXAMEN 1/MP3/Q-19 EXAMEN 1.mp3</t>
  </si>
  <si>
    <t>EXAMEN 1/MP3/Q-20 EXAMEN 1.mp3</t>
  </si>
  <si>
    <t>EXAMEN 2</t>
  </si>
  <si>
    <t>d)  France was not aware of the occurrence of the genocide until it was too late.</t>
  </si>
  <si>
    <t xml:space="preserve">2. According to the article; </t>
  </si>
  <si>
    <t>4. The Chilean President believes the death toll may rise because;</t>
  </si>
  <si>
    <t>5. The adjective that best describes the state of the aid-workers as reported in the text would be;</t>
  </si>
  <si>
    <t xml:space="preserve">6. The local people in Jos seem to feel that the violence arose due to; </t>
  </si>
  <si>
    <t xml:space="preserve">7. From the article we know that;  </t>
  </si>
  <si>
    <t xml:space="preserve">8. By making the film, Kathryn Bigelow wanted to portray; </t>
  </si>
  <si>
    <t xml:space="preserve">9.  According to the article; </t>
  </si>
  <si>
    <t xml:space="preserve">10. It seems that in the next elections; </t>
  </si>
  <si>
    <t xml:space="preserve">11. According to Prince Charles’ famous description, books at the Birmingham Library were; </t>
  </si>
  <si>
    <t xml:space="preserve">12. The current Birmingham Central Library could be described as; </t>
  </si>
  <si>
    <t xml:space="preserve">13.We get the impression that the writer; </t>
  </si>
  <si>
    <t xml:space="preserve">14. It seems that the writer’s parents were; </t>
  </si>
  <si>
    <t xml:space="preserve">15. According to the article, John Dunford suggested in his speech that teaching is now more difficult than previously because;   </t>
  </si>
  <si>
    <t xml:space="preserve">16. We can conclude that the writer; </t>
  </si>
  <si>
    <t xml:space="preserve">17. Scientists believe that the Cathedral of Holy Ascension was not destroyed in the earthquake because; </t>
  </si>
  <si>
    <t>18. The writer suggests that the Tien Shan mountain range is;</t>
  </si>
  <si>
    <t xml:space="preserve">19. When Nick Page arrived in Ethiopia, he found that; </t>
  </si>
  <si>
    <t>20. When Nick Page was recording, he claimed that he;</t>
  </si>
  <si>
    <t>EXAMEN 1</t>
  </si>
  <si>
    <t>1.</t>
  </si>
  <si>
    <t>2.</t>
  </si>
  <si>
    <t>3.</t>
  </si>
  <si>
    <t>4.</t>
  </si>
  <si>
    <t>5. What is the situation?</t>
  </si>
  <si>
    <t>6.</t>
  </si>
  <si>
    <t>7.</t>
  </si>
  <si>
    <t>8.</t>
  </si>
  <si>
    <t>9.</t>
  </si>
  <si>
    <t>10.</t>
  </si>
  <si>
    <t>11.</t>
  </si>
  <si>
    <t>12.</t>
  </si>
  <si>
    <t>13. What can be deduced from this conversation?</t>
  </si>
  <si>
    <t>14. What does the woman reply?</t>
  </si>
  <si>
    <t>15. What does the woman imply?</t>
  </si>
  <si>
    <t>16. What can be deduced from this conversation?</t>
  </si>
  <si>
    <t>17. What can be deduced from this conversation?</t>
  </si>
  <si>
    <t>18. What can be deduced from this conversation?</t>
  </si>
  <si>
    <t>19. What can be deduced from this conversation?</t>
  </si>
  <si>
    <t>20. What can be deduced from this conversation?</t>
  </si>
  <si>
    <t>21. What can be said about the film ‘the Hurt Locker’ ?</t>
  </si>
  <si>
    <t>EXAMEN 1/MP3/Q-21 EXAMEN 1.mp3</t>
  </si>
  <si>
    <t>A. It turned out to be a big money earner</t>
  </si>
  <si>
    <t>B. It did not cost much to make</t>
  </si>
  <si>
    <t>C. People flocked to see it</t>
  </si>
  <si>
    <t>D. In her speech, Bigelow criticised the Armed Forces</t>
  </si>
  <si>
    <t>22. How did the Federal Aviation Administration react to this situation?</t>
  </si>
  <si>
    <t>EXAMEN 1/MP3/Q-22 EXAMEN 1.mp3</t>
  </si>
  <si>
    <t xml:space="preserve">A. It dismissed two people </t>
  </si>
  <si>
    <t>B. It was amazed at how confident the child was</t>
  </si>
  <si>
    <t>C. It considered that the incident was exaggerated</t>
  </si>
  <si>
    <t>D. It ordered more security at the control tower</t>
  </si>
  <si>
    <t>23. What can be said about the possible location of the radioactive waste dump?</t>
  </si>
  <si>
    <t>EXAMEN 1/MP3/Q-23 EXAMEN 1.mp3</t>
  </si>
  <si>
    <t>A. All  indigenous groups are opposed to it</t>
  </si>
  <si>
    <t>B. Earthquakes in the area make it unsafe</t>
  </si>
  <si>
    <t>C. It is not far from Sydney</t>
  </si>
  <si>
    <t>D. Landowners  have protested against it</t>
  </si>
  <si>
    <t>24. Which of the following statements is true according to what you have heard?</t>
  </si>
  <si>
    <t>EXAMEN 1/MP3/Q-24 EXAMEN 1.mp3</t>
  </si>
  <si>
    <t>A. The history girls are fashion models</t>
  </si>
  <si>
    <t>B. The reki-jo idolize rock stars</t>
  </si>
  <si>
    <t>C. Japanese people identify with elite swordsmen</t>
  </si>
  <si>
    <t xml:space="preserve">D. Reki-jo is a new urban sub-culture </t>
  </si>
  <si>
    <t>25. What is the reaction of sailing experts to Jessica’s achievement?</t>
  </si>
  <si>
    <t>EXAMEN 1/MP3/Q-25 EXAMEN 1.mp3</t>
  </si>
  <si>
    <t>A. They think she will set a new record</t>
  </si>
  <si>
    <t xml:space="preserve">B. They feel what she has done has no merit  </t>
  </si>
  <si>
    <t>C. In their view she hasn’t sailed far enough</t>
  </si>
  <si>
    <t>D. They think she is too timid to undertake a solo journey</t>
  </si>
  <si>
    <t>26. Choose the statement which is true according to what you have heard</t>
  </si>
  <si>
    <t>EXAMEN 1/MP3/Q-26 EXAMEN 1.mp3</t>
  </si>
  <si>
    <t>C. Vasari worked for the Italian Ministry of culture</t>
  </si>
  <si>
    <t>D. Vasari himself claimed to be an artist</t>
  </si>
  <si>
    <t>27. Which statement about World’s Fairs is true according to what you have heard?</t>
  </si>
  <si>
    <t>EXAMEN 1/MP3/Q-27 EXAMEN 1.mp3</t>
  </si>
  <si>
    <t>A. In the past they indicated the shape of the future</t>
  </si>
  <si>
    <t>B. The Internet has made them irrelevant</t>
  </si>
  <si>
    <t>C. They rarely show you something fascinating</t>
  </si>
  <si>
    <t>28. What did Transocean do in the hours after the blast?</t>
  </si>
  <si>
    <t>EXAMEN 1/MP3/Q-28 EXAMEN 1.mp3</t>
  </si>
  <si>
    <t>A. They contacted the families of the survivors immediately</t>
  </si>
  <si>
    <t>B. They got workers to give signed accounts of what they had seen</t>
  </si>
  <si>
    <t>C. They captured millions of barrels of oil</t>
  </si>
  <si>
    <t>D. They refused to speak publicly on the matter until the survivors had spoken</t>
  </si>
  <si>
    <t xml:space="preserve">29. What can be deduced from the extract about Charles Darwin? </t>
  </si>
  <si>
    <t>EXAMEN 1/MP3/Q-29 EXAMEN 1.mp3</t>
  </si>
  <si>
    <t>A. He had been advised to marry his cousin</t>
  </si>
  <si>
    <t>B. He suspected that plants were in-breeding and so healthier</t>
  </si>
  <si>
    <t xml:space="preserve">D. He  thought that cross-breeding produced more robust species </t>
  </si>
  <si>
    <t>30. What can be deduced about hoarders from the experts?</t>
  </si>
  <si>
    <t>EXAMEN 1/MP3/Q-30 EXAMEN 1.mp3</t>
  </si>
  <si>
    <t>A. They are psychologically different to other people</t>
  </si>
  <si>
    <t>B. Their emotional profile doesn’t differ from non-hoarders</t>
  </si>
  <si>
    <t>C. Irene  is a hoarder who got rid of clutter to keep her husband</t>
  </si>
  <si>
    <t>31. Which of the following statements is true according to what you have heard?</t>
  </si>
  <si>
    <t>EXAMEN 1/MP3/Q-31 EXAMEN 1.mp3</t>
  </si>
  <si>
    <t>A. Khodorkovsky has completed a nine-year sentence for fraud and tax evasion</t>
  </si>
  <si>
    <t>C. Khodorkovsky purchased state assets for way below market price</t>
  </si>
  <si>
    <t>D. Boris Yelstin built up the Yukos Oil company in the 1990s</t>
  </si>
  <si>
    <t>EXAMEN 1/MP3/Q-32 EXAMEN 1.mp3</t>
  </si>
  <si>
    <t>A. Americans insist on having public tap water</t>
  </si>
  <si>
    <t>B. Bottled water ends up contaminating the environment</t>
  </si>
  <si>
    <t>D. Bottled water is not legally required to come from a spring</t>
  </si>
  <si>
    <t>EXAMEN 1/MP3/Q-33 EXAMEN 1.mp3</t>
  </si>
  <si>
    <t>A. Elliot is a wonderful dancer</t>
  </si>
  <si>
    <t>B. Hunny thought Elliot was very genuine</t>
  </si>
  <si>
    <t>C. The two couples liked bowling</t>
  </si>
  <si>
    <t>EXAMEN 1/MP3/Q-34 EXAMEN 1.mp3</t>
  </si>
  <si>
    <t>A. She does not like to be photographed</t>
  </si>
  <si>
    <t>B. She has been eclipsed by other aid workers</t>
  </si>
  <si>
    <t>C. She steered clear of the press in LA airport</t>
  </si>
  <si>
    <t>D. She needed half a million pounds for charity work</t>
  </si>
  <si>
    <t>EXAMEN 1/MP3/Q-35 EXAMEN 1.mp3</t>
  </si>
  <si>
    <t>A. Seniesa started to fight a couple of years ago</t>
  </si>
  <si>
    <t>C. Seniesa lost her first fight to a little boy</t>
  </si>
  <si>
    <t>EXAMEN 1/MP3/Q-36 EXAMEN 1.mp3</t>
  </si>
  <si>
    <t>A. Brain abnormalities are common among adolescents</t>
  </si>
  <si>
    <t>B. Most teenagers are allowed to drink alcohol at home</t>
  </si>
  <si>
    <t>C. Binge drinking is OK  three times a month</t>
  </si>
  <si>
    <t>D. Alcohol abuse can affect attention and memory</t>
  </si>
  <si>
    <t>EXAMEN 1/MP3/Q-37 EXAMEN 1.mp3</t>
  </si>
  <si>
    <t>A. To sell cereal the flakes in the photo must be perfect</t>
  </si>
  <si>
    <t>B. If the ad is for cereal the milk can be fake</t>
  </si>
  <si>
    <t>C. Glue and hair tonic taste good on cereal</t>
  </si>
  <si>
    <t>D. With the arrival of digital nothing in the photo is real</t>
  </si>
  <si>
    <t>38. Which statement is true according to what you have heard?</t>
  </si>
  <si>
    <t>EXAMEN 1/MP3/Q-38 EXAMEN 1.mp3</t>
  </si>
  <si>
    <t>A. The government cannot establish a price for the gas</t>
  </si>
  <si>
    <t>B. The dispute between the brothers has been going on for nine years</t>
  </si>
  <si>
    <t>C. Gas –pricing regulations in India favour the stock markets</t>
  </si>
  <si>
    <t xml:space="preserve">D. The brothers have been given a time limit to draw up a new agreement </t>
  </si>
  <si>
    <t>EXAMEN 1/MP3/Q-39 EXAMEN 1.mp3</t>
  </si>
  <si>
    <t>B. Caesar was the emperor who introduced football</t>
  </si>
  <si>
    <t>C. The bronze head of Caesar today lacks lustre</t>
  </si>
  <si>
    <t>D. The tousled hair mars the sculpture</t>
  </si>
  <si>
    <t>EXAMEN 1/MP3/Q-40 EXAMEN 1.mp3</t>
  </si>
  <si>
    <t>A. Some clients tortured their financial advisor</t>
  </si>
  <si>
    <t>B. The financial advisor was on trial for the sub-prime melt-down</t>
  </si>
  <si>
    <t>C. The financial advisor was taken on a holiday for four days</t>
  </si>
  <si>
    <t>D. The pensioners had risked their money on real estate</t>
  </si>
  <si>
    <t>9. What does the man mean?</t>
  </si>
  <si>
    <t>10. What does the man mean?</t>
  </si>
  <si>
    <t>11. What does the man mean?</t>
  </si>
  <si>
    <t>13. What does the woman mean?</t>
  </si>
  <si>
    <t>14. What does the man mean?</t>
  </si>
  <si>
    <t>15. What is the man waiting for?</t>
  </si>
  <si>
    <t>16. What does the man mean?</t>
  </si>
  <si>
    <t>17. What does the woman say?</t>
  </si>
  <si>
    <t>18. What does the woman say?</t>
  </si>
  <si>
    <t>19. What does the man mean?</t>
  </si>
  <si>
    <t xml:space="preserve">20. What can be inferred from what the man says? </t>
  </si>
  <si>
    <t>EXAMEN 3</t>
  </si>
  <si>
    <t xml:space="preserve">1. </t>
  </si>
  <si>
    <t>4. What does the man mean?</t>
  </si>
  <si>
    <t>5.</t>
  </si>
  <si>
    <t>6. What does the man offer to do?</t>
  </si>
  <si>
    <t xml:space="preserve">7. What can be inferred from this conversation? </t>
  </si>
  <si>
    <t>8. What does the man mean?</t>
  </si>
  <si>
    <t>9. What can be inferred from this conversation?</t>
  </si>
  <si>
    <t>10. What does the woman mean?</t>
  </si>
  <si>
    <t>11. What does the woman mean?</t>
  </si>
  <si>
    <t>12. What does the man mean?</t>
  </si>
  <si>
    <t>13. What does the man mean?</t>
  </si>
  <si>
    <t>14. What does the second man say?</t>
  </si>
  <si>
    <t xml:space="preserve">15. What does the woman mean? </t>
  </si>
  <si>
    <t>16. What can be inferred from this conversation?</t>
  </si>
  <si>
    <t>18. What does the second man ask?</t>
  </si>
  <si>
    <t>D. If he can listen to the radio</t>
  </si>
  <si>
    <t>D. That she has full training for the post</t>
  </si>
  <si>
    <t>D. O'Malley came last</t>
  </si>
  <si>
    <t>D. The man's sister works abroad</t>
  </si>
  <si>
    <t>D. The bank refused to give Paul credit</t>
  </si>
  <si>
    <t>D. I do not have the memory to do what he did</t>
  </si>
  <si>
    <t>D. It has not stopped raining in ages</t>
  </si>
  <si>
    <t>D. Pat would like to be a father</t>
  </si>
  <si>
    <t>D. My car needs a mechanical check</t>
  </si>
  <si>
    <t>D. He arrived late to the office once</t>
  </si>
  <si>
    <t>D. The meeting has been cancelled.</t>
  </si>
  <si>
    <t>D. Getting a credit card is difficult if you’re in the red.</t>
  </si>
  <si>
    <t>D. Mrs. Peters was asked to sell her grandfather clock for five hundred dollars.</t>
  </si>
  <si>
    <t xml:space="preserve">D. The authorities were quick to inform the population about the disease. </t>
  </si>
  <si>
    <t>D. My uncle and his son are in Wales on holiday</t>
  </si>
  <si>
    <t>C. She is related to a Welsh uncle of mine.</t>
  </si>
  <si>
    <t>C. The authorities were fast to find the source of the disease.</t>
  </si>
  <si>
    <t>C. The grandfather clock Mrs. Peters inherited was sold for five hundred dollars.</t>
  </si>
  <si>
    <t>C. Credit cards are red in some countries.</t>
  </si>
  <si>
    <t>C. The boss had to make a phone call.</t>
  </si>
  <si>
    <t>C. He still arrives late to the office</t>
  </si>
  <si>
    <t>C. I need to offer a service with my car</t>
  </si>
  <si>
    <t>C. Pat and Jill are going out tonight</t>
  </si>
  <si>
    <t>C. Its has not rained in a long time</t>
  </si>
  <si>
    <t>C. I do not have the courage to do what he did</t>
  </si>
  <si>
    <t>C. Paul was sacked from his job</t>
  </si>
  <si>
    <t>C. The man's sister works with cows</t>
  </si>
  <si>
    <t>C. O'Malley came first</t>
  </si>
  <si>
    <t>C. That she has been here longer</t>
  </si>
  <si>
    <t>C. His days are becoming busier and busier</t>
  </si>
  <si>
    <t>C. He found the movie hilarious</t>
  </si>
  <si>
    <t>C. If she has tested the batteries</t>
  </si>
  <si>
    <t>C. The embassy should apologise</t>
  </si>
  <si>
    <t>A. It was okay where I left my car</t>
  </si>
  <si>
    <t>A. We helped the bulldog</t>
  </si>
  <si>
    <t>A. I haven’t drunk too much coffee.</t>
  </si>
  <si>
    <t>A. Motivation and experience determine success.</t>
  </si>
  <si>
    <t>A. I’m dying to get the new Harry Potter book.</t>
  </si>
  <si>
    <t>A. Before long it will be summer.</t>
  </si>
  <si>
    <t>A. John has forgotten the man</t>
  </si>
  <si>
    <t>A. Weather permitting, the barbecue will take place.</t>
  </si>
  <si>
    <t>A. He is faced with a wide selection of hats.</t>
  </si>
  <si>
    <t xml:space="preserve">A. The woman’s offer fell short. </t>
  </si>
  <si>
    <t>A. Mike’s Porsche is red not black</t>
  </si>
  <si>
    <t>A. This war was shorter than the last.</t>
  </si>
  <si>
    <t>A. She has trouble with her eyesight</t>
  </si>
  <si>
    <t>A. He will fix the problem with the lift himself</t>
  </si>
  <si>
    <t>A. A TV programme to begin.</t>
  </si>
  <si>
    <t>A. Wars are being presented as entertainment.</t>
  </si>
  <si>
    <t>A. Her client is confessing his guilt.</t>
  </si>
  <si>
    <t xml:space="preserve">A. Strides have been made in modern warfare. </t>
  </si>
  <si>
    <t>A. He guesses their friends will be over for an hour.</t>
  </si>
  <si>
    <t>A. Journalists cover wars for financial reasons.</t>
  </si>
  <si>
    <t>B. It was not okay where I left my car</t>
  </si>
  <si>
    <t>B. The Bulldog was feeble.</t>
  </si>
  <si>
    <t>B. I would feel nervous if I didn’t drink so much coffee.</t>
  </si>
  <si>
    <t xml:space="preserve">B. Motivation doesn’t determine success. </t>
  </si>
  <si>
    <t>B. I’ll wait to get the new Harry Potter book.</t>
  </si>
  <si>
    <t>B. You can tell it will be a long summer.</t>
  </si>
  <si>
    <t>B. John will be back for the man</t>
  </si>
  <si>
    <t>B. The barbecue is taking place because of the weather.</t>
  </si>
  <si>
    <t xml:space="preserve">B. He can’t decide until he sees more hats. </t>
  </si>
  <si>
    <t>B. The woman's offer was over the top.</t>
  </si>
  <si>
    <t>B. Mike’s car is parked opposite the bookstore.</t>
  </si>
  <si>
    <t>B. The woman will be surprised when the war finishes.</t>
  </si>
  <si>
    <t>B. She doesn’t believe the couple took their flight.</t>
  </si>
  <si>
    <t>B. He will go to maintenance and report the problem</t>
  </si>
  <si>
    <t>B. His friends to watch a TV programme with him.</t>
  </si>
  <si>
    <t>B. Television confuses people’s perception of things.</t>
  </si>
  <si>
    <t>B. Her client is aiding the investigation.</t>
  </si>
  <si>
    <t>B. The enemy was able to retaliate.</t>
  </si>
  <si>
    <t>B. Their friends will stay for less than an hour.</t>
  </si>
  <si>
    <t>B. The chances of being wounded are not high.</t>
  </si>
  <si>
    <t>C. I left my car and walked</t>
  </si>
  <si>
    <t>C. The Bulldog was lying in the middle of the road.</t>
  </si>
  <si>
    <t>C. I wouldn’t be nervous if I drank coffee.</t>
  </si>
  <si>
    <t>C. Experience alone often determines success.</t>
  </si>
  <si>
    <t>C. I couldn’t wait to buy the new Harry Potter book.</t>
  </si>
  <si>
    <t>C. We will have to wait for the long days of summer.</t>
  </si>
  <si>
    <t>C. John is waiting for the man.</t>
  </si>
  <si>
    <t>C. The barbecue was called off.</t>
  </si>
  <si>
    <t>C. It’s hard to choose from so few hats.</t>
  </si>
  <si>
    <t>C. The man has decided not to sell the house.</t>
  </si>
  <si>
    <t>C. The red Porsche is unfamiliar.</t>
  </si>
  <si>
    <t>C. The latest war was long-lasting.</t>
  </si>
  <si>
    <t>C. Debbie and Jeff often fight.</t>
  </si>
  <si>
    <t>C. He’ll arrange for a new elevator to be installed</t>
  </si>
  <si>
    <t>C. A TV programme to finish.</t>
  </si>
  <si>
    <t>C. Television influences the outcome of most wars</t>
  </si>
  <si>
    <t>C. Her client is hindering the investigation.</t>
  </si>
  <si>
    <t>C. Methods of warfare remain unchanged.</t>
  </si>
  <si>
    <t>C. Their friends will turn up in barely an hour.</t>
  </si>
  <si>
    <t>C. Excitement is not the most important aspect of war journalism.</t>
  </si>
  <si>
    <t>D. I always drive on the left</t>
  </si>
  <si>
    <t>D. The Bulldog was a week old pup.</t>
  </si>
  <si>
    <t>D. I have drunk a lot of coffee.</t>
  </si>
  <si>
    <t>D. Motivation usually determines success.</t>
  </si>
  <si>
    <t>D. I have just bought the new Harry Potter book.</t>
  </si>
  <si>
    <t>D. I long for the days of summer</t>
  </si>
  <si>
    <t>D. John is holding the man up.</t>
  </si>
  <si>
    <t>D. The barbecue took place despite the weather.</t>
  </si>
  <si>
    <t>D. The hats he has seen are spoiled.</t>
  </si>
  <si>
    <t>D. The man prefers to wait for a higher offer.</t>
  </si>
  <si>
    <t>D. Mike could be in the book store.</t>
  </si>
  <si>
    <t>D. The latest war was brief.</t>
  </si>
  <si>
    <t xml:space="preserve">D. She was taken aback by their fight. </t>
  </si>
  <si>
    <t>D. He’ll phone for someone to fix the electrical problem</t>
  </si>
  <si>
    <t>D. Some friends to pay a call.</t>
  </si>
  <si>
    <t>D. Television is to blame for the outbreak of war.</t>
  </si>
  <si>
    <t xml:space="preserve">D. Her client is recording the conversation. </t>
  </si>
  <si>
    <t>D. Modern warfare has gone downhill.</t>
  </si>
  <si>
    <t>D. Things won’t start for at least an hour.</t>
  </si>
  <si>
    <t>D. Prestige is not the most important aspect of war journalism.</t>
  </si>
  <si>
    <t>En las sucesivas presentaciones usted encontrará preguntas de relacionadas con el texto redactado.</t>
  </si>
  <si>
    <t>Después de leer y comprender el texto presentado deberá responder a una de las preguntas de la parte inferior.</t>
  </si>
  <si>
    <t>Contenidos para exámen de listening</t>
  </si>
  <si>
    <t>Contenidos para exámen normal de comprensión de textos</t>
  </si>
  <si>
    <t>Poner los nombres</t>
  </si>
  <si>
    <t>Poner DNI sin letra</t>
  </si>
  <si>
    <t>33. Which of the following statements is true according to what you have heard?</t>
  </si>
  <si>
    <t>34. Which statement is true about Sarah Ferguson according to what you have heard?</t>
  </si>
  <si>
    <t>35. Which statement is true according to what you have heard?</t>
  </si>
  <si>
    <t>36. Which of the following statements is true?</t>
  </si>
  <si>
    <t>37. Choose the correct statement</t>
  </si>
  <si>
    <t>39. What can be deduced from the extract?</t>
  </si>
  <si>
    <t>40. What can be deduced from the extract?</t>
  </si>
  <si>
    <t>EXAMEN 4</t>
  </si>
  <si>
    <t xml:space="preserve">Sarkozy Admits French ‘Mistakes’ in 1994 Genocide.                                                                                                                                                                                                     ( No writer given.)  France 24. February 25 2010.                                                                                                                                                                                                            President Nicolas Sarkozy admitted France’s “error of judgement” but stopped short of an apology in connection with the Rwandan 1994 genocide during his visit to the country on Thursday, aimed at kicking off a new era of diplomacy. French President Nicolas Sarkozy admitted Thursday at a joint press conference in Kigali with his Rwandan counterpart, Paul Kagame, that France had made “mistakes” at the time of the 1994 Rwandan genocide, in which 800,000 people, mainly from Kagame’s Tutsi minority were killed. “What happened here is unacceptable, (and) compels the international community, including France, to reflect on the mistakes that stopped it from preventing and halting this abominable crime,” the French president told reporters.                                                                                                          The French leader also visited the main genocide memorial in Kigali. He observed a minute’s silence in front of one of the mass graves containing the remains of some 250,000 people and laid a wreath. The 1994 genocide arose from a complicated and long-standing conflict between Rwanda’s two main ethnic groups, the Tutsis and the Hutus. The man who held the post of Rwandan president at the time, Juvènal Habyarimana, was a Hutu who supported Hutu interests. He died on April 6, 1994, when his plane was shot down from the sky in an apparent assassination. The Hutus promptly blamed the Tutsis, unleashing the mass slaughter of Tutsis over the course of the following months. Sarkozy’s visit—the first by a French president to Rwanda since the genocide—marks an important step in the reconciliation between the two countries. In the past, Kagame has repeatedly accused Paris of aiding the genocide. </t>
  </si>
  <si>
    <t>1. The article states that</t>
  </si>
  <si>
    <t xml:space="preserve">a) the French president has apologized to Rwanda regarding the 1994 genocide.                                                                                                                                                                       </t>
  </si>
  <si>
    <t xml:space="preserve">b) the French president does not wish to visit Rwanda.                                                                                          </t>
  </si>
  <si>
    <t xml:space="preserve">c) the behavior of France was at fault regarding the 1994 genocide .                                                                </t>
  </si>
  <si>
    <t xml:space="preserve">a) the Hutus held the Tutsis responsible for the death of President Juvènal </t>
  </si>
  <si>
    <t xml:space="preserve">b) it has been proven that President Juvènal Habyarimana was assassinated.           </t>
  </si>
  <si>
    <t>c) President Juvènal Habyarimana was known to support both Hutu and Tutsi interests</t>
  </si>
  <si>
    <t>d) the French president hopes for a reconciliation between the Hutus and theTutsis.</t>
  </si>
  <si>
    <t>Two Million Displaced as Government Scrambles to Provide Aid.                                                                                                                                                                               (No writer given.) France 24. International News.  March 1 2010.                                                                                                                                                                                     Chile’s quake toll topped 700 on Sunday as rescuers raced to find survivors. The extent of the disaster became clear in costal areas where giant waves had swept homes away, leaving an estimated two million without homes.                                                                                                                                                                              Chile’s government scrambled on Monday to offer aid to thousands of homeless people in coastal villages rocked by an 8.8-magnitude earth quake and tsunamis, as 10,000 troops moved into the worst-hit areas to control looting. The government raised the death toll to 711 from Saturday’s massive quake as scenes of devastation emerged in towns swamped by giant waves unleashed by one of the most powerful earthquakes in a century. With many people missing and some communities in the central region of the South American country still isolated by damaged or destroyed roads, President Michelle Bachelet said the death toll was certain to rise. Houses lay in ruins and cars were flattened after waves surged through fishing villages on the country’s long Pacific coast. “France 24” correspondent Cyril Vanier, reporting from the capital Santiago, said that these coastal towns near the epicentre- 115  kilometres from Concepcion, the country’s second-largest –were “almost 100% destroyed.” Vanier also spoke of “serious looting” in severely struck Concepcion and other cities, including Santiago, with people seen pillaging stores for food and other supplies.</t>
  </si>
  <si>
    <t>3. The troops were deployed to control</t>
  </si>
  <si>
    <t xml:space="preserve">a) physical assaults.                                                                                                                                                    </t>
  </si>
  <si>
    <t xml:space="preserve">b) plundering.                                                                                                                                                               </t>
  </si>
  <si>
    <t xml:space="preserve">c) evacuation of the area.                                                                                                                                                    </t>
  </si>
  <si>
    <t>d) possession of weapons.</t>
  </si>
  <si>
    <t xml:space="preserve">a) another earthquake is expected.                                                                                                                             </t>
  </si>
  <si>
    <t xml:space="preserve">b) the tsunamis are expected to continue for sometime.                                                                                      </t>
  </si>
  <si>
    <t xml:space="preserve">c) people in the more remote areas are in danger.                                                                                                  </t>
  </si>
  <si>
    <t>d) there are people still unaccounted for.</t>
  </si>
  <si>
    <t>Nigeria Riots: Our Homes Were Razed.” (Caroline Duffield.)   B.B.C. News (One-Minute World News.)  March 8 2010.                                                                                      Awalu Mohamed was one of the first to arrive in the mining village of Kuru Karama to discover burned human remains and corpses thrown into communal wells and sewage pits.                                          “There are so many, many corpses,” says Mr Mohamed, of the Jamatu Nasril Islam aid group. He described how 62 corpses were pulled from the wells on the first day, but aid workers had no equipment to reach those further down.                                                                                                     “We went to one family and found the entire family there, 20-something of them, including the small, small kids. All of them burned to ashes,” he says. He covers his eyes. He and other aid workers realized they were overwhelmed.                                                                                                                                                                     Around the village, more bodies are being found every day. Those who tried to run from the gangs were hunted and cut down with machetes and guns around the settlement. Many people are still living in temporary shelters in and around Jos. “We could hear the noise. They were singing and chanting, they destroyed everything,” says 20-year-old Zainab Sanusi. “They burned our house. We are left with nothing now, nothing.” Most of the people I met were Hausa-speaking Muslims but Christian groups say they were also attacked by mobs. Although they have not given any details of how many members of the community were killed.                                                                                                                              The B.B.C. drove through burned out suburbs, villages and tiny settlements. The Bukuru Markets area-once a roaring hive of shops-is now a blackened bonfire under a blue sky. At least 1,000 businesses here were burned. Jos sits on a tense dividing line between Nigeria’s mostly Hausa-speaking Muslim north, and the south where the majority is Christian or practice traditional religions. The town is predominantly Christian, with Hausa Muslims in the minority. But people here respect faith. Everyone insists this violence is not about religion. It is about politics, they say.                                                                                                                               Jos has an ugly history of violence at election times. Local politicians are accused of orchestrating violence to rig elections and intimidate their rivals.                                                                           “I want the government to intervene on this,” says Chibuzou Aghande, a Christian attending an emotional church service in Nassarawa, a few hundred yards from where the first troubles started. Worshippers spilled outside the church and hundreds packed the pews inside. Some wept while others murmured responses to a charged sermon. “Our diversity is meant to create harmony, not disharmony,” Archbishop Ignatius Kaigama told them. “Your gifts as a Christian should be put to good use so the Muslim can benefit. Your gifts as a Muslim should be put to good use so the Christian can benefit.” “Imagine the values in the Koran. Imagine the values in the Bible. If we bring all these together, imagine the fantastic world we will have.”</t>
  </si>
  <si>
    <t xml:space="preserve">a)  overwrought.                                                                                                                                                            </t>
  </si>
  <si>
    <t xml:space="preserve">b) tireless.                                                                                                                                                                          </t>
  </si>
  <si>
    <t xml:space="preserve">c) snowed- under.                                                                                                                                                                      </t>
  </si>
  <si>
    <t xml:space="preserve">d) agitated.                                                                                                                                      </t>
  </si>
  <si>
    <t xml:space="preserve">a) theological reasons.                                                                                                                                                           </t>
  </si>
  <si>
    <t xml:space="preserve">b) a conflict of interest over land ownership.                                                                                                             </t>
  </si>
  <si>
    <t xml:space="preserve">c) a shortage of employment.                                                                                                                                          </t>
  </si>
  <si>
    <t xml:space="preserve">d) affairs of state. </t>
  </si>
  <si>
    <t>Profile: Kathryn Bigelow. (Mark Savage.)  B.B.C. News (One-Minute News.)  March 8 2010.                                                                                                                                      Kathryn Bigelow has become the first woman in the history of the Academy Awards to win the best director trophy, as her tension-filled Iraq war drama The Hurt Locker collected six prizes. It is something of a turnaround for the director, whose previous movies have totally by passed the annual awards season. The Hurt Locker follows a group of bomb-disposal technicians working in Iraq. Based on the real-life observations of writer Mark Boal, these soldiers speak of explosions as putting you in “the hurt locker.”                                                                                                                                                                                                                              Bigelow shot the movie with a cast of unknowns, “so the audience wouldn’t know who among the three main characters was going to die by virtue of their public profile,” she said.                                                                                                                                                                                                                                                                                      Her uncompromising attitude didn’t stop at the casting stage, either. Rather than using the nondescript desert plains of Arizona to stand in for Iraq, she went to Jordan and shot the film in 115 degree heat.                                                                                                                                                                                                                                    Not only that, she part-funded the movie herself-believing that a major Hollywood studio would not give her the creative control she desired.                                                                                          “Don’t give up on your dream” is Kathryn Bigelow’s advice after her win. Critics were gripped by the “convincingly blunt” action sequences and Bigelow’s “penetrating study of heroism”, but several criticized the decision not to take an ideological viewpoint on the Iraq War.  Bigelow contented the film was “not a documentary”, maintaining that her intention was to highlight the plight of soldiers in a war she felt had been “under-reported” in the U.S. media. She added that the script was informed by war correspondent Chris Hedges’ polemic War Is a Force That Gives Us Meaning-which argues that war seduces entire societies, like a powerful drug.</t>
  </si>
  <si>
    <t xml:space="preserve">a) Kathryn Bigelow has previously won several awards.                                                                                           </t>
  </si>
  <si>
    <t xml:space="preserve">b) Kathryn Bigelow’s movies have always attracted a lot of attention during the annual awards season.                                                                                                                                                                                      </t>
  </si>
  <si>
    <t>c) Kathryn Bigelow’s earlier movies didn’t make a mark during the annual awards season</t>
  </si>
  <si>
    <t>d) Kathryn Bigelow has sound knowledge of bomb disposal techniques.</t>
  </si>
  <si>
    <t xml:space="preserve">a) public response to the war in Iraq.                                                                                                                         </t>
  </si>
  <si>
    <t xml:space="preserve">b) the predicament of the soldiers in the Iraq war.                                                                                                 </t>
  </si>
  <si>
    <t xml:space="preserve">c) her ideological views of the Iraq war.                                                                                                                 </t>
  </si>
  <si>
    <t xml:space="preserve">d) the conditions in the desert in Jordan. </t>
  </si>
  <si>
    <t>Wanted; An Eco-Prophet.(Peter Preston.)  The Guardian.  March 7 2010.                                                                                                                                                                      It is an exceptionally inconvenient truth. Only one American in three believes that human beings are responsible for climate change:  a polling result 10% down on where opinion rested the year before. Worse, the number of Americans who believe that climate change is a hoax or a scientific conspiracy- not doubting, just damned blank certain- has doubled since 2008. Add in those who assert that the changes, if any, are of “no significant concern”, and you’ve got 30% of the U.S. denying, scoffing and just walking on by.                                                                                  Are the issues clearer, the people more committed, here in Britain? Call for the latest evidence from Ipsos Mori- and find that the proportion of U.K. adults who believe that global warming is “definitely” a reality has plummeted from 44% to 31% in the last 12 months. Figures like these, on both sides of the Atlantic, are getting more skeptical week by week. The real change of electoral climate is that fewer and fewer voters pay any heed to scientists and politicians.                               It isn’t hard to collate the factors that drive disillusion. Professors with a colloquial touch writing “awful” emails; a recession so tough that it blows future shock away; a cold, cold winter the Met Office didn’t forecast; scientific angst about swine flu revealed as way over the top; dodgy figures, dodgy reporting, dodgy issues way up to UN level.                                                      These are only a few of our least favourite things. Mix them together in the stew of pre-election politics, and the result is lethal inertia. Once upon a quite recent time, David Cameron seemed bent on playing a new green giant. Now he’s just another family-friendly campaigner, keen on pressing pounds sterling into sweaty palms. Environmental issues have slithered down the greasy pole of public anxiety. They won’t get much of a mention on the hustings in May: no fresh commitments, no crucial pledges. In one sense, the heat may be rising; in another, the heat is off.                                                                                                                                                           More jaw and Gore from politicians can’t cut it. They have come to seem secondhand sources, merely parroting a frail scientific thesis. That goes, alas for journalists, too- and for pressure groups issuing lurid warnings or staging angry demos. Those of us who are convinced, who believe in the necessity of action, haven’t changed our minds. But we’re not the point. The audience that matters is out there, sleeping or drifting. And rousing it will demand something different, not more of the same.</t>
  </si>
  <si>
    <t xml:space="preserve">a) The number of Americans concerned about climate change is increasing.                                                       </t>
  </si>
  <si>
    <t xml:space="preserve">b) Americans conduct regular opinion polls on the topic of climate change.                                                     </t>
  </si>
  <si>
    <t xml:space="preserve">c) Climate change has been officially denounced as a hoax in the U.S.A.                                                         </t>
  </si>
  <si>
    <t xml:space="preserve">d) The number of Americans concerned about climate change is decreasing. </t>
  </si>
  <si>
    <t xml:space="preserve">a) Environmental concerns will be a major issue.                                                                                                   </t>
  </si>
  <si>
    <t xml:space="preserve">b) David Cameron will focus on environmental issues.                                                                                        </t>
  </si>
  <si>
    <t xml:space="preserve">c) Climate change will not feature prominently.                                                                                                   </t>
  </si>
  <si>
    <t>d) Turbulent demonstrations are expected.</t>
  </si>
  <si>
    <t xml:space="preserve">The Battle of Britain’s Libraries.(Stuart Jeffries.)  The Guardian.  March 7 2010.                                                                                                                                                               ‘It will be much more than just a library. Perhaps we should call it a palazzo of human thought,” says Mike Whitby, Birmingham city council’s leader, as he reclines in his vast office. He’s talking about the new 193- million- pound Library of Birmingham, currently under construction at Centenary Square between those other two Brummie palazzi , the Repertory Theatre and the former civic centre called Baskerville House.                                                                                                                                   Cardiff, Newcastle and Swindon already have new super-libraries, while Liverpool and Manchester’s central libraries are undergoing multimillion pound renovations.                              Whitby’s office looks out on to the existing Birmingham Central Library, an inverted modernist ziggurat built in 1973-74. This is the building Prince Charles famously described as a place where books were incinerated rather than borrowed. Unlike him, I once spent long, happy hours reading here, amazed that so many books (2.5m of them, stretching over seven floors) were at the disposal of a non-princely nobody like me. Now culture minister Margaret Hodge has given the go-ahead to flatten this Grade II-listed building; demolition will be completed over the next five years. Why must it go? “It leaks, and great big chunks of concrete keep falling from it,” says Birmingham head of libraries, Brian Gambles. He keeps a souvenir chunk in his office to prove the point. “It’s ugly and unfit for purpose and would cost too much to properly renovate.”                                                                                                                                                                    Last week I spoke to Hodge in her office near Trafalgar Square. She told me that running a successful public library in the 21st century is tough. Technological advances and higher expectations of service mean that libraries must, in her glum progressivist phrase, “move with the times to stay part of the times”. “I do care passionately about libraries,” she says, “but they have to change. The footfall is down and book issues are massively down. Only 14 of 151 local authorities have libraries that offer ebooks.” </t>
  </si>
  <si>
    <t xml:space="preserve">a) charred.                                                                                                                                                           </t>
  </si>
  <si>
    <t xml:space="preserve">b) taken on loan.                                                                                                                                                          </t>
  </si>
  <si>
    <t xml:space="preserve">c) pirated.                                                                                                                                                                     </t>
  </si>
  <si>
    <t>d) plagiarized.</t>
  </si>
  <si>
    <t xml:space="preserve">a) up-market.                                                                                                                                                               </t>
  </si>
  <si>
    <t xml:space="preserve">b) state-of-the-art.                                                                                                                                                           </t>
  </si>
  <si>
    <t xml:space="preserve">c) run- down.                                                                                                                                                                   </t>
  </si>
  <si>
    <t xml:space="preserve">d) abandoned.  </t>
  </si>
  <si>
    <t xml:space="preserve">a) enjoyed spending her childhood summers on university campuses.                                                               </t>
  </si>
  <si>
    <t xml:space="preserve">b) was inspired by the university cultural life.                                                                                                         </t>
  </si>
  <si>
    <t xml:space="preserve">c) didn’t attend university.                                                                                                                                            </t>
  </si>
  <si>
    <t>d) would rather spend her money on an expensive hotel.</t>
  </si>
  <si>
    <t xml:space="preserve">a) well-heeled.                                                                                                                                                                </t>
  </si>
  <si>
    <t xml:space="preserve">b) of modest means.                                                                                                                                                   </t>
  </si>
  <si>
    <t xml:space="preserve">c) affluent.                                                                                                                                                                    </t>
  </si>
  <si>
    <t>d) moneyed.</t>
  </si>
  <si>
    <t>No Wonder Our Teenagers are so Demanding.(Tom Sutcliffe.) The Independent.  (Opinion.)  March 9 2010.                                                                                                  In a valedictory speech to the Association of School and College leaders, its general secretary, John Dunford, has suggested that a modern culture of “instant gratification” has made the job of teachers “immensely harder than it was even 10 years ago.” Tutored by television talent contests and online gaming, today’s  students, he argued, have come to expect instant results and are easily frustrated by anything which doesn’t deliver an immediate sense of progress. “To engage the impatient young people of Generation Y, something more is needed.”                                                                                                                                                             “All teachers under the age of 43,” he pointed out, “have spent their whole career under a centrally directed, suffocating detailed national curriculum….so it has been a challenge for school leaders to free up the thinking of their younger staff.                                                                                                                                                   This raises a fairly substantial question about the “impatience” of today’s schoolchildren. Is it a culturally induced pathology which must be corrected by the application of old-fashioned kinds of hard work, as Dr Dunford himself seemed to hint by describing pupils as living in “a celebrity-dominated society where success appears to come instantly and without any real effort”? Or is it a justified frustration at teaching which has failed to keep pace with developments in the modern world? To put it another way, are they failing us- as several of the news reports implicitly hinted-or are we failing them? Dr Dunford’s speech seemed to muddle both views together in a way that made it hard to tell what he thinks. There’s a big difference, after all, between saying “the competition for children’s attention is stronger than it’s ever been” and saying “children just can’t concentrate any longer.” For those worried that it’s the latter rather than the former, I would offer two notes of caution. The first would be that anyone who believes that computer games offer no tuition in deferred gratification or the unbreakable connection between effort and reward has never watched a child playing one. You might prefer your 14 year-old to pour as many hours into a real guitar as they seem willing to do into a virtual one-but that they are still capable of drudgery in pursuit of perfection is undeniable. It suggests that with the right kinds of rewards-with genuinely playful teaching, for example-extraordinary things could be achieved. There isn’t an inherent problem with their powers of concentration.                                                                                                                                  The second point would be this: how far do today’s schoolchildren really have to look to encounter a system which is impatient of slow development and careful nurture? Now students are told GCSEs (all of them) are absolutely critical to university success and the first year of sixth form plunges them directly into examinations that will determine their futures. They are subject to an education system that seems to insist on instant results, as narrowly defined and inflexible as a poorly defined video game. Frankly, if they’re a little impatient and demanding in return I’m not entirely surprised</t>
  </si>
  <si>
    <t xml:space="preserve">a) students have become lazier.                                                                                                                                          </t>
  </si>
  <si>
    <t xml:space="preserve">b) students don’t have time to study.                                                                                                                          </t>
  </si>
  <si>
    <t xml:space="preserve">c) students want instantaneous results.                                                                                                                            </t>
  </si>
  <si>
    <t>d) students no longer respect the teachers.</t>
  </si>
  <si>
    <t xml:space="preserve">a) favours the application of the old-fashioned methods of teaching.                                                                 </t>
  </si>
  <si>
    <t>b) believes that playing  computer games generally has a negative effect on young people</t>
  </si>
  <si>
    <t xml:space="preserve">c) accepts the idea that children now seem to have a shorter attention span.         </t>
  </si>
  <si>
    <t>d) would welcome some new approaches to teaching methods.</t>
  </si>
  <si>
    <t xml:space="preserve">I Toasted My Telly and Braced Myself for an Earthquake.(Dom Joly)  The Independent.  March 7 2010.                                                                                                                 I read with great sadness about the Desarmes family who, after the terrible quake there, left Haiti to go and stay with their eldest son in….Chile. Having now survived two huge quakes, they are living in the garden in understandable fear of another. Spared the appalling experience of the Desarmeses , I am currently staying at the top of a very high building in Alamaty, the former capital of Kazakhstan and getting more and more paranoid about earthquakes. These seem to be happening all over the globe at the moment and Almaty is in a high risk area. The whole city was destroyed by a huge earthquake in 1911 with only one building, the wooden Cathedral of Holy Ascension, surviving. Locals at the time believed that the spiritual nature of the building spared it, but scientists (they always ruin this kind of stuff) now feel the unique wooden construction of the cathedral had allowed it to expand and absorb the shock.                                                                                                                                          Modern day Almaty arose out of the ruins- a tree-lined Soviet city built on an efficient grid system. The state department has ranked the earthquake threat here as a level 4 (the highest it assigns.) Locals expect another big one at any time. As my glass-fronted hotel is most definitely not made of wood, I just hope that the architects employed in the construction were made well aware of the seismic history of this area. There was a large tremor just the day before I arrived but so far, nothing massive.                                                                                                                                                                                                                                                                      Almaty has not been lucky with Nature. The city sits right under the beautiful Tien Shan mountain range whose snow-capped peaks of more than 4,000 metres form a wonderful backdrop. Unfortunately, the mountains seem keen to visit the city. A huge mudslide hit Almaty in 1921, causing great loss of life, and you still come across huge boulders that lie around like embarrassed conquerors.                                                                                                                                                                  All this is too much information for a visitor as I wandered about the city trying to avoid the odour of freshly grilled horse shashlik. I jumped nervously every time a large lorry roars past, and flinched whenever and angry babushka slammed a door. After a while, I decided that vodka was the answer. It worked wonders. After a couple of toasts in honour of my parents, my Labrador…..my TV….I was blissfully unconcerned about the possibilities of a quake. Indeed, if anything, I was rather looking forward to one. I could immediately become one of those on-the-spot journalists who report breathlessly on rolling news channels while getting their cameramen to jiggle the camera a bit  to make it look even worse than it is. </t>
  </si>
  <si>
    <t xml:space="preserve">a) of its spiritual nature.                                                                                                                                                    </t>
  </si>
  <si>
    <t xml:space="preserve">b) of its location.                                                                                                                                                          </t>
  </si>
  <si>
    <t xml:space="preserve">c) it can assimilate impact.                                                                                                                                            </t>
  </si>
  <si>
    <t xml:space="preserve">d) it was empty at the time of the quake.  </t>
  </si>
  <si>
    <t xml:space="preserve">a) a potential tourist attraction.                                                                                                                                 </t>
  </si>
  <si>
    <t xml:space="preserve">b) an asset to the city .                                                                                                                                             </t>
  </si>
  <si>
    <t xml:space="preserve">c) a potential source of development.                                                                                                                     </t>
  </si>
  <si>
    <t>d) a potential hazard.</t>
  </si>
  <si>
    <t>Musical Journey Through Ethiopia.(Scott Kara)  New Zealand Herald.  March 6 2010.                                                                                                                                                       The name Nick Page might not be as well-known as Paul Simon, Damon Albarn or Ry Cooder. But the British music producer, who was best known as one of the main players in world fusion dance band Transglobal Underground from the early 90s, has a similar intrepid spirit when it comes to discovering music from around the world.                                                                                                                                                                                                                                                                          While Simon went to South Africa to record 1986’s Graceland, and Albarn travelled to Mali, with Cooder making world-wide stars of the Cuban players of Buena Vista Social Club, Page went to Ethiopia. He was drawn to Ethiopian music after listening to Ethiopiques compilations in the late 90s and early 2000s, a music series released by Frenchman Francis Falceto.                                                                                                                                                                                                                          “I got very excited because there was something fresh about it, yet it was old but felt slightly new, and it had a Middle Eastern flavour which has a lot to do with Yemen being across the water from Ethiopia. It was exciting because it wasn’t what I had come to expect from Africa.”                                                                                                    But he admits getting to the country to experience the music first hand would never have happened without his music-making mate Dan Harper, who lived in the capital Addis Ababa. Harper urged him to pay a visit and in 2006 Page made the sojourn to Addis.                                                                                                                                                  He arrived expecting a hot and humid climate. Instead it was rainy season and, to his surprise, it was a high-altitude mountain city. “It was cold,” he laughs. In fact, all my preconceptions (about Ethiopia) were destroyed within the first 24 hours. It’s very thin air there, it’s full of diesel pollution, but it’s full of eucalyptus trees and it’s very green too.”                                         When it came time to record, Page admits he had no master plan- “I made it up as I went along”- although he did envisage the resulting music would be a mix of the “golden age” of Ethiopian music from the early 60s to early 70s, some jazz, and the 70s dub and reggae style similar to that of his favourite band The Abyssinians.                                                                                                                                                                                                           Harper and Page recruited local musicians for the project, including saxophonist Feleke Hailu, and singers Tsedenia  Gebremarkos (a pop star in Ethiopia), and Sintayehau “Mimi” Zenebe (a night club owner in Addis who is also known as the Ethiopian Edith Piaf).  Page recorded at Harper’s home studio out the back of his house. He calls these rough-and- ready sessions “urban field recordings” because the songs are riddled with many environmental and background noises.</t>
  </si>
  <si>
    <t xml:space="preserve">a) his earlier notions of it were inaccurate.                                                                                                                   </t>
  </si>
  <si>
    <t xml:space="preserve">b) it matched his expectations.                                                                                                                                  </t>
  </si>
  <si>
    <t xml:space="preserve">c) the temperature was stifling.                                                                                                                                       </t>
  </si>
  <si>
    <t>d) there was a drought.</t>
  </si>
  <si>
    <t xml:space="preserve">a) recruited completely unknown musicians.                                                                                                             </t>
  </si>
  <si>
    <t xml:space="preserve">b) ran through the music thoroughly with the musicians.                                                                                     </t>
  </si>
  <si>
    <t xml:space="preserve">c) ad-libbed.                                                                                                                                                                   </t>
  </si>
  <si>
    <t>d) was careful to edit out background noises.</t>
  </si>
  <si>
    <t>READING COMPREHENSION TEXTS</t>
  </si>
  <si>
    <t>Departamento de Idiomas. Escuela de Guerra | INGLÉS</t>
  </si>
  <si>
    <t>A. My Uncle Percy is married to a Welsh woman.</t>
  </si>
  <si>
    <t>A. The authorities kept the disease under control</t>
  </si>
  <si>
    <t>A. Mrs. Peters bought a grandfather clock for five hundred dollars.</t>
  </si>
  <si>
    <t>A. You can buy tapes easily in some countries.</t>
  </si>
  <si>
    <t>A. The meeting has been postponed.</t>
  </si>
  <si>
    <t>A. He is on his way, but he will arrive late</t>
  </si>
  <si>
    <t>A. This time I have to drive my car</t>
  </si>
  <si>
    <t>A. Pat is acting like a child lately</t>
  </si>
  <si>
    <t>A. It has not rained since October</t>
  </si>
  <si>
    <t>A. I would not have the time to do what he did</t>
  </si>
  <si>
    <t>B. My Uncle Percy met his spouse in Wales.</t>
  </si>
  <si>
    <t>B. Mrs. Peters’ grandfather clock is priceless.</t>
  </si>
  <si>
    <t>B. There’s a lot of bureaucracy when you want to enter some countries.</t>
  </si>
  <si>
    <t>B. The boss has been called away.</t>
  </si>
  <si>
    <t>B. He has never arrived late to the office</t>
  </si>
  <si>
    <t>B. This time I need to buy a new car</t>
  </si>
  <si>
    <t>B. Pat is looking after a baby tonight</t>
  </si>
  <si>
    <t>B. It has been raining since October</t>
  </si>
  <si>
    <t>B. I would not have the strength to do what he did</t>
  </si>
  <si>
    <t xml:space="preserve">B. Paul was too overqualified </t>
  </si>
  <si>
    <t>B. The man's sister works one day a week</t>
  </si>
  <si>
    <t>B. McGregor came last</t>
  </si>
  <si>
    <t>B. That her post could be something else</t>
  </si>
  <si>
    <t>B. It was the strangest film he has seen</t>
  </si>
  <si>
    <t>B. If she has bought new batteries</t>
  </si>
  <si>
    <t>A. The man's sister works with chickens</t>
  </si>
  <si>
    <t>A. McGregor came first</t>
  </si>
  <si>
    <t>A. That she is not as young as she looks</t>
  </si>
  <si>
    <t>A. He passes the dry cleaner’s on the way to work</t>
  </si>
  <si>
    <t>A. If the radio uses batteries</t>
  </si>
  <si>
    <t>A. She has a friend at the embassy</t>
  </si>
  <si>
    <t>B. She should look for her copy instead of bothering him</t>
  </si>
  <si>
    <t>17. What does the man mean?</t>
  </si>
  <si>
    <t>A. Paul didn't get the job</t>
  </si>
  <si>
    <t>B. The authorities' predictions about the disease were wrong.</t>
  </si>
  <si>
    <t>B. He doubts he'll be able to do what she wants</t>
  </si>
  <si>
    <t>D. He wasn't able to go to the movies as planned</t>
  </si>
  <si>
    <t>D. She's not sure of the answer</t>
  </si>
  <si>
    <t>D. He would lend her his but he can't find it either</t>
  </si>
  <si>
    <t>B. It's not safe to travel</t>
  </si>
  <si>
    <t>A.  She can't borrow the manual until he finishes with it</t>
  </si>
  <si>
    <t>A. He doesn't normally like Hugh Grant films</t>
  </si>
  <si>
    <t>A. Vasari's papers were sold at an auction for $3.5 million</t>
  </si>
  <si>
    <t>B. Vasari's descendents stopped the auction</t>
  </si>
  <si>
    <t>B. The Yukos Oil Company once controlled 20% of the world's oil</t>
  </si>
  <si>
    <t xml:space="preserve">B. Seniesa's father had been in street gangs in his youth </t>
  </si>
  <si>
    <t>D. He forgot to take the clothes to the dry cleaner's</t>
  </si>
  <si>
    <t>D. They're about selling a country's goods and products</t>
  </si>
  <si>
    <t>D. In general, hoarders can't get out of their houses</t>
  </si>
  <si>
    <t>D. Seneisa's father thinks boxing is not for girls</t>
  </si>
  <si>
    <t>A. Caesar's image was calculated to transmit ferocity</t>
  </si>
  <si>
    <t>32. Which of the following statements is true according to what you have heard?</t>
  </si>
  <si>
    <t>C. It's okay as long as she returns it after she's finished</t>
  </si>
  <si>
    <t>C. The journey took six months</t>
  </si>
  <si>
    <t>A. Having a friend perform the ceremony is ideal for couples of different religions</t>
  </si>
  <si>
    <t>A. The Andes mountain range is 7,000 miles long</t>
  </si>
  <si>
    <t>A. Teams of Afghans searched for minerals in dozens of sites</t>
  </si>
  <si>
    <t>A. The Obama inauguration took place on a weekend and collapsed the Internet</t>
  </si>
  <si>
    <t>A. Coins or credit cards will not be used in Washington DC as of October</t>
  </si>
  <si>
    <t>A. The American ambassador in Afghanistan is single</t>
  </si>
  <si>
    <t>A. Teachers will have to take part in gun fighting if it is near their classrooms</t>
  </si>
  <si>
    <t>A. Gene’s dad was quite talkative and outgoing</t>
  </si>
  <si>
    <t>A. The president of FIFA believes human error makes soccer exciting</t>
  </si>
  <si>
    <t>A. All of the countries have rising government debt</t>
  </si>
  <si>
    <t>A. 200 people have been laid off at the Pilkington Tiles factory</t>
  </si>
  <si>
    <t>A. He has lived all his life in the United States</t>
  </si>
  <si>
    <t>A. The head discovered is made of bronze</t>
  </si>
  <si>
    <t>A. Current conflicts show a sense of ideology</t>
  </si>
  <si>
    <t>A. He likes to wear the traditional dress of the Cofan Indians</t>
  </si>
  <si>
    <t>A. Several assassination attempts on Ted Kennedy’s life</t>
  </si>
  <si>
    <t>A. Marcel was employed by BP for a long time</t>
  </si>
  <si>
    <t>A. The  last amnesty was in 1959 after Fidel Castro came to power</t>
  </si>
  <si>
    <t>A. The pilot glided for 26 hours over the Swiss Alps</t>
  </si>
  <si>
    <t>B. Michael Jacobs witnessed extreme events</t>
  </si>
  <si>
    <t>B. It is unclear how much the mineral resources are worth</t>
  </si>
  <si>
    <t xml:space="preserve">B. There Is less Internet traffic at the weekend because people see matches on TV  </t>
  </si>
  <si>
    <t>B. Pay-by-phone parking has been the norm in European cities for a long time</t>
  </si>
  <si>
    <t>B. McChrystal was fired for revealing details of war policy</t>
  </si>
  <si>
    <t>B. Officially the number of blockades set up by the Zetas was 40</t>
  </si>
  <si>
    <t>B. The clergy believe this causes couples to  lose their faith</t>
  </si>
  <si>
    <t>B. Gene’s description of the mine is first hand</t>
  </si>
  <si>
    <t>B. A microchip in the ball has changed the nature of the game</t>
  </si>
  <si>
    <t>B. Bolton Council will have to cut savings by 40 % in the next five years</t>
  </si>
  <si>
    <t>B. He refuses to use United States identification</t>
  </si>
  <si>
    <t>B. After the discovery of the heads Europeans rewrote art history</t>
  </si>
  <si>
    <t>B. Previous liberation movements wanted to change society</t>
  </si>
  <si>
    <t>B. He helps them to acquire rainforest territory</t>
  </si>
  <si>
    <t>B. That Ted Kennedy was a security threat</t>
  </si>
  <si>
    <t>B. His preferred wedding spot is full of tar balls and oil mousse</t>
  </si>
  <si>
    <t>B. The EU wants to normalize relations so US citizens can travel to Cuba</t>
  </si>
  <si>
    <t>B. The shrine is in a neighbourhood previously controlled by Shiites</t>
  </si>
  <si>
    <t>B. The plane is the size of an Airbus and travelled at 78 miles an hour</t>
  </si>
  <si>
    <t>C. Economic viability has always been part of the counterinsurgency effort</t>
  </si>
  <si>
    <t>C. People have TV sets at work so they can see the matches</t>
  </si>
  <si>
    <t>C. Westminster sold all its old parking metres on eBay</t>
  </si>
  <si>
    <t>C. Petreaus has a proven track record in civilian- military relations</t>
  </si>
  <si>
    <t>C. Drivers were dragged out of their cars by gunmen</t>
  </si>
  <si>
    <t>C. Uncertified people performing wedding ceremonies is not a problem</t>
  </si>
  <si>
    <t>C. The coalmines were subject to frequent explosions</t>
  </si>
  <si>
    <t>C. The Middle East will not be discussed this time round</t>
  </si>
  <si>
    <t>C. English fans reject experiments in football</t>
  </si>
  <si>
    <t>C. There was rioting after England lost to Germany in a World Cup match</t>
  </si>
  <si>
    <t>C. He has never had a passport</t>
  </si>
  <si>
    <t>C. The head symbolizes a culture that left us no evidence in writing</t>
  </si>
  <si>
    <t>C. He can communicate with them in fluent Cofan</t>
  </si>
  <si>
    <t>C. The Kennedys  were partial to being monitored</t>
  </si>
  <si>
    <t>C. He has filed a claim for business interruption</t>
  </si>
  <si>
    <t>C. Cuba has received international condemnation for its treatment of the prisoners</t>
  </si>
  <si>
    <t>C. The most direct route to the Shiite shrine is through a Sunni area</t>
  </si>
  <si>
    <t>C. The plane is part of a long-term  energy-saving  project</t>
  </si>
  <si>
    <t>D. Humbolt  explored  only deserts and ice-fields in the Andes</t>
  </si>
  <si>
    <t>D. The resources are set to become economically viable</t>
  </si>
  <si>
    <t>D. Twitter’s recent problems were caused by the spike in traffic due to the World Cup</t>
  </si>
  <si>
    <t>D. There are no coin-operated parking meters in Westminster anymore</t>
  </si>
  <si>
    <t>D. Relations between McChrystal and President Karazi were tense</t>
  </si>
  <si>
    <t>D. Trucks buses and cars were set alight after the drivers had been removed</t>
  </si>
  <si>
    <t>D. You can become a clergyman in a matter of seconds over the Internet</t>
  </si>
  <si>
    <t>D. After dinner Gene’s father returned to the mine to work for a few more hours</t>
  </si>
  <si>
    <t>D. FIFA is willing to adopt new technologies in football</t>
  </si>
  <si>
    <t>D. Protests against the summit have been a headache for security</t>
  </si>
  <si>
    <t xml:space="preserve">D. Bolton Council has introduced temporary contracts </t>
  </si>
  <si>
    <t>D. He will get a Harvard lawyer to plead his case</t>
  </si>
  <si>
    <t>D. Heads were discovered in Ife at the turn of the last century</t>
  </si>
  <si>
    <t>D. Rebel groups in Somalia have a certain amount of support among the population</t>
  </si>
  <si>
    <t>D. He doesn’t mind living in a forest infested with jaguars and bears</t>
  </si>
  <si>
    <t>D. How  the FBI actually operated</t>
  </si>
  <si>
    <t>D. Crashing waves, ideal for weddings, are fewer</t>
  </si>
  <si>
    <t>D. The US Congress has passed a law which annuls  the travel ban</t>
  </si>
  <si>
    <t>D. Sunni insurgents joined forces with the Americans</t>
  </si>
  <si>
    <t>D. It was unpleasant for the pilot to hear no noise</t>
  </si>
  <si>
    <t>B. Maternal and child health is on the agenda for discussion</t>
  </si>
  <si>
    <t>C. In the Congo rebel groups have a lot of popular support</t>
  </si>
  <si>
    <t>12. What does the woman infer?</t>
  </si>
  <si>
    <t>7. What can be deduced from this conversation?</t>
  </si>
  <si>
    <t>1. Choose the correct statement</t>
  </si>
  <si>
    <t>2. Choose the correct statement</t>
  </si>
  <si>
    <t>3. Choose the correct statement</t>
  </si>
  <si>
    <t>4. Choose the correct statement</t>
  </si>
  <si>
    <t>5. Choose the correct statement</t>
  </si>
  <si>
    <t>6. Choose the correct statement</t>
  </si>
  <si>
    <t>8. Choose the correct statement</t>
  </si>
  <si>
    <t>21 Which of the following statements is true according to what you have heard?</t>
  </si>
  <si>
    <t>22. Which statement is true according to what you have heard?</t>
  </si>
  <si>
    <t>23. Which of the statements is true according to what you have heard?</t>
  </si>
  <si>
    <t>24. Which of the statements is true according to what you have heard?</t>
  </si>
  <si>
    <t>25. Which of the following statements is true according to what you have heard?</t>
  </si>
  <si>
    <t>26. Which of the following statements is true according to what you have heard?</t>
  </si>
  <si>
    <t>27. Which one of the following statements is true according to what you have heard?</t>
  </si>
  <si>
    <t>28. Which statement  is true according to what you have heard?</t>
  </si>
  <si>
    <t>29. Which statement is true according to what you have heard?</t>
  </si>
  <si>
    <t>30. Which statement is correct according to what you have heard?</t>
  </si>
  <si>
    <t>31. Which statement is true according to what you have heard?</t>
  </si>
  <si>
    <t>32. Which of the following statements is true about the student’s plight?</t>
  </si>
  <si>
    <t>33. Which statement is true according to what you have heard?</t>
  </si>
  <si>
    <t>34. Which statement is true according to what Gettleman says?</t>
  </si>
  <si>
    <t>35. Why is Randy Borman  an important figure for the Cofan Indians?</t>
  </si>
  <si>
    <t>36. What was revealed in the FBI files?</t>
  </si>
  <si>
    <t>37. Which statement is true according to what you have heard?</t>
  </si>
  <si>
    <t>39. Choose the correct statement</t>
  </si>
  <si>
    <t>40. Choose the correct statement</t>
  </si>
  <si>
    <r>
      <rPr>
        <sz val="8"/>
        <color theme="1"/>
        <rFont val="Times New Roman"/>
        <family val="1"/>
      </rPr>
      <t xml:space="preserve">A.  </t>
    </r>
    <r>
      <rPr>
        <sz val="11"/>
        <color theme="1"/>
        <rFont val="Calibri"/>
        <family val="2"/>
        <scheme val="minor"/>
      </rPr>
      <t>Shiite Muslims make frequent pilgrimages to Bagdhad</t>
    </r>
  </si>
  <si>
    <t>Tiempo global</t>
  </si>
  <si>
    <t>timeOver</t>
  </si>
  <si>
    <t>Su tiempo ha terminado. Pulse finalizar e imprima sus respuestas</t>
  </si>
  <si>
    <t>Say No To Campus Life Out of Season.(Liz Hoggard.)  The Independent. (Opinion)  March 9 2010.                                                                                                                               When news broke this weekend that Cambridge is to open its doors as a B and B establishment-to raise money- the people cheered. For the first time in Cambridge’s 800-year-history, holiday makers will be able to stay the night in Corpus Christi College, Clare; Downing, et al. Until now only conference delegates and guests of college members could book accommodation. But from Easter, it was reported, anyone will be able to sample Cambridge University life from 60 pounds a night.                                                                                                                                                                                                                                                                       Imagine waking up to ancient courts and quiet cloisters once occupied by Isaac Newton, Charles Darwin, Oliver Cromwell, William Wordsworth, Stephen Hawking and Stephen Fry, runs the romantic blurb. Are they kidding?                                                                                                                                                                                 As a teenager I spent all my summer holidays staying on university campuses. York, Exeter, Stirling, I’ve seen them all. Blame my cash-strapped French teacher parents, who jumped at the chance to stay somewhere inexpensive. Plus they argued it would be a marvelous way to experience culture from the inside.                                                                                                                      I’m sure one day they’ll make a C4 film about my family. At breakfast we’d sit around the kitchen table like a parody of University Challenge (National Health glasses, bad 1970’s haircuts) as my parents tried to raise our spirits with promises of improving day trips, theatre outings, and cheese and wine evenings with the local academics. Dream on. The only people on campus at that time of year are janitors, depressed foreign students, and  the Open University. The OU, God bless them, work incredibly hard all year long, studying on top of day jobs. So given two weeks to become a hedonistic student, they literally throw off their wedding rings, and start living it up. Very puzzling for 13-year-old girls. I think my parents hoped we were getting an education in thrift. Don’t believe it. These days I fritter money on five-star hotels with crisp linen and spas and valet parking. I never want to see a bunk bed again. Forget the Dreaming Spires. Or bed and breakfast with the dons. Send your kids to Eurodisney instead. They might just learn some French.</t>
  </si>
  <si>
    <t>EXAMEN 2/MP3/Q-40 EXAMEN 2.mp3</t>
  </si>
  <si>
    <t>EXAMEN 2/MP3/Q-39 EXAMEN 2.mp3</t>
  </si>
  <si>
    <t>EXAMEN 2/MP3/Q-38 EXAMEN 2.mp3</t>
  </si>
  <si>
    <t>EXAMEN 2/MP3/Q-37 EXAMEN 2.mp3</t>
  </si>
  <si>
    <t>EXAMEN 2/MP3/Q-36 EXAMEN 2.mp3</t>
  </si>
  <si>
    <t>EXAMEN 2/MP3/Q-35 EXAMEN 2.mp3</t>
  </si>
  <si>
    <t>EXAMEN 2/MP3/Q-34 EXAMEN 2.mp3</t>
  </si>
  <si>
    <t>EXAMEN 2/MP3/Q-33 EXAMEN 2.mp3</t>
  </si>
  <si>
    <t>EXAMEN 2/MP3/Q-32 EXAMEN 2.mp3</t>
  </si>
  <si>
    <t>EXAMEN 2/MP3/Q-31 EXAMEN 2.mp3</t>
  </si>
  <si>
    <t>EXAMEN 2/MP3/Q-10 EXAMEN 2.mp3</t>
  </si>
  <si>
    <t>EXAMEN 2/MP3/Q-11 EXAMEN 2.mp3</t>
  </si>
  <si>
    <t>EXAMEN 2/MP3/Q-12 EXAMEN 2.mp3</t>
  </si>
  <si>
    <t>EXAMEN 2/MP3/Q-13 EXAMEN 2.mp3</t>
  </si>
  <si>
    <t>EXAMEN 2/MP3/Q-14 EXAMEN 2.mp3</t>
  </si>
  <si>
    <t>EXAMEN 2/MP3/Q-15 EXAMEN 2.mp3</t>
  </si>
  <si>
    <t>EXAMEN 2/MP3/Q-16 EXAMEN 2.mp3</t>
  </si>
  <si>
    <t>EXAMEN 2/MP3/Q-17 EXAMEN 2.mp3</t>
  </si>
  <si>
    <t>EXAMEN 2/MP3/Q-18 EXAMEN 2.mp3</t>
  </si>
  <si>
    <t>EXAMEN 2/MP3/Q-19 EXAMEN 2.mp3</t>
  </si>
  <si>
    <t>EXAMEN 2/MP3/Q-20 EXAMEN 2.mp3</t>
  </si>
  <si>
    <t>EXAMEN 2/MP3/Q-21 EXAMEN 2.mp3</t>
  </si>
  <si>
    <t>EXAMEN 2/MP3/Q-22 EXAMEN 2.mp3</t>
  </si>
  <si>
    <t>EXAMEN 2/MP3/Q-23 EXAMEN 2.mp3</t>
  </si>
  <si>
    <t>EXAMEN 2/MP3/Q-24 EXAMEN 2.mp3</t>
  </si>
  <si>
    <t>EXAMEN 2/MP3/Q-25 EXAMEN 2.mp3</t>
  </si>
  <si>
    <t>EXAMEN 2/MP3/Q-26 EXAMEN 2.mp3</t>
  </si>
  <si>
    <t>EXAMEN 2/MP3/Q-27 EXAMEN 2.mp3</t>
  </si>
  <si>
    <t>EXAMEN 2/MP3/Q-28 EXAMEN 2.mp3</t>
  </si>
  <si>
    <t>EXAMEN 2/MP3/Q-29 EXAMEN 2.mp3</t>
  </si>
  <si>
    <t>EXAMEN 2/MP3/Q-30 EXAMEN 2.mp3</t>
  </si>
  <si>
    <t>EXAMEN 3/MP3/Q-17 EXAMEN 3.mp3</t>
  </si>
  <si>
    <t>EXAMEN 3/MP3/Q-16 EXAMEN 3.mp3</t>
  </si>
  <si>
    <t>EXAMEN 3/MP3/Q-15 EXAMEN 3.mp3</t>
  </si>
  <si>
    <t>EXAMEN 3/MP3/Q-14 EXAMEN 3.mp3</t>
  </si>
  <si>
    <t>EXAMEN 3/MP3/Q-13 EXAMEN 3.mp3</t>
  </si>
  <si>
    <t>EXAMEN 3/MP3/Q-12 EXAMEN 3.mp3</t>
  </si>
  <si>
    <t>EXAMEN 3/MP3/Q-11 EXAMEN 3.mp3</t>
  </si>
  <si>
    <t>EXAMEN 3/MP3/Q-10 EXAMEN 3.mp3</t>
  </si>
  <si>
    <t>EXAMEN 3/MP3/Q-18 EXAMEN 3.mp3</t>
  </si>
  <si>
    <t>EXAMEN 3/MP3/Q-19 EXAMEN 3.mp3</t>
  </si>
  <si>
    <t>EXAMEN 3/MP3/Q-20 EXAMEN 3.mp3</t>
  </si>
  <si>
    <t>EXAMEN 3/MP3/Q-21 EXAMEN 3.mp3</t>
  </si>
  <si>
    <t>EXAMEN 3/MP3/Q-22 EXAMEN 3.mp3</t>
  </si>
  <si>
    <t>EXAMEN 3/MP3/Q-23 EXAMEN 3.mp3</t>
  </si>
  <si>
    <t>EXAMEN 3/MP3/Q-24 EXAMEN 3.mp3</t>
  </si>
  <si>
    <t>EXAMEN 3/MP3/Q-25 EXAMEN 3.mp3</t>
  </si>
  <si>
    <t>EXAMEN 3/MP3/Q-26 EXAMEN 3.mp3</t>
  </si>
  <si>
    <t>EXAMEN 3/MP3/Q-27 EXAMEN 3.mp3</t>
  </si>
  <si>
    <t>EXAMEN 3/MP3/Q-28 EXAMEN 3.mp3</t>
  </si>
  <si>
    <t>EXAMEN 3/MP3/Q-29 EXAMEN 3.mp3</t>
  </si>
  <si>
    <t>EXAMEN 3/MP3/Q-30 EXAMEN 3.mp3</t>
  </si>
  <si>
    <t>EXAMEN 3/MP3/Q-31 EXAMEN 3.mp3</t>
  </si>
  <si>
    <t>EXAMEN 3/MP3/Q-32 EXAMEN 3.mp3</t>
  </si>
  <si>
    <t>EXAMEN 3/MP3/Q-33 EXAMEN 3.mp3</t>
  </si>
  <si>
    <t>EXAMEN 3/MP3/Q-34 EXAMEN 3.mp3</t>
  </si>
  <si>
    <t>EXAMEN 3/MP3/Q-35 EXAMEN 3.mp3</t>
  </si>
  <si>
    <t>EXAMEN 3/MP3/Q-36 EXAMEN 3.mp3</t>
  </si>
  <si>
    <t>EXAMEN 3/MP3/Q-37 EXAMEN 3.mp3</t>
  </si>
  <si>
    <t>EXAMEN 3/MP3/Q-38 EXAMEN 3.mp3</t>
  </si>
  <si>
    <t>EXAMEN 3/MP3/Q-39 EXAMEN 3.mp3</t>
  </si>
  <si>
    <t>EXAMEN 3/MP3/Q-40 EXAMEN 3.mp3</t>
  </si>
  <si>
    <t>a) He experiences violent dreams</t>
  </si>
  <si>
    <t>c) He doesn’t remember his violent dreams</t>
  </si>
  <si>
    <t>d) He had already done studies on sleep disorders</t>
  </si>
  <si>
    <t>c) Pretended to be asleep while committing a crime</t>
  </si>
  <si>
    <t>d) Been released on bail after committing a crime while sleepwalking</t>
  </si>
  <si>
    <t>a) Doesn’t understand his fellow countrymen</t>
  </si>
  <si>
    <t>d) Relates more easily to foreigners than other Bolivians</t>
  </si>
  <si>
    <t>b) Penalize Bolivians who arrive late for work</t>
  </si>
  <si>
    <t>c) Change the national habit of arriving late in many different circumstances</t>
  </si>
  <si>
    <t>d) Monitor the times that people arrive at work</t>
  </si>
  <si>
    <t>a) Dispense with all the old rules of Scrabble</t>
  </si>
  <si>
    <t>c) Approve the use of proper nouns in Scrabble</t>
  </si>
  <si>
    <t>d) Create an official word list for Scrabble</t>
  </si>
  <si>
    <t>c) Scrabble will become more difficult</t>
  </si>
  <si>
    <t>d) Scrabble will attract more players</t>
  </si>
  <si>
    <t>b) Scrabble will appeal more to intellectual fans</t>
  </si>
  <si>
    <t>a) Gullible</t>
  </si>
  <si>
    <t>d) Difficult to convince</t>
  </si>
  <si>
    <t>c) Replace the mayor of Jafr</t>
  </si>
  <si>
    <t>c) Will negotiate with Toshiba in 2014</t>
  </si>
  <si>
    <t>b) Is certain that the micro-reactors will begin production in 2014</t>
  </si>
  <si>
    <t>b) A scrutiny of the current justice system</t>
  </si>
  <si>
    <t>c) The appearance of a number of similar cases</t>
  </si>
  <si>
    <t>d) Complications with a lot of red tape</t>
  </si>
  <si>
    <t>a) Dictatorships are good for artistic life because of the financial support they give to the arts</t>
  </si>
  <si>
    <t>d) Corruption and violence inspire great art</t>
  </si>
  <si>
    <t>b) The highest ideals of literature and art came from the Soviet Union</t>
  </si>
  <si>
    <t>c) Abstract expressionism arose during the cold war</t>
  </si>
  <si>
    <t>d) The work of an artist is influenced by the system in which he lives</t>
  </si>
  <si>
    <t>d) The population of Japan will increase by 41%</t>
  </si>
  <si>
    <t>d) Deportation is a “collateral” issue</t>
  </si>
  <si>
    <t>b) Dealing with legal issues can prove costly for doctors</t>
  </si>
  <si>
    <t>LABRADO GOMEZ, CARLOS</t>
  </si>
  <si>
    <t>21. Which of the statements below is true about Ms Lohan?</t>
  </si>
  <si>
    <t>22. Choose the statement which is correct according to what you have heard</t>
  </si>
  <si>
    <t>23. How is the crackdown going to affect Oldham?</t>
  </si>
  <si>
    <t>24. What can be said about Rafa Nadal?</t>
  </si>
  <si>
    <t>25. What can be said about the Pakistani cricket players?</t>
  </si>
  <si>
    <t>26. What can be said about Lord Prescott?</t>
  </si>
  <si>
    <t>27. Which statement is true according to what you have heard?</t>
  </si>
  <si>
    <t>28. What can be said about the aircraft?</t>
  </si>
  <si>
    <t>29. Which of the following statements is correct?</t>
  </si>
  <si>
    <t>30. What can be said about the Immigration Minister?</t>
  </si>
  <si>
    <t>31. Choose the correct statement according to what you have heard</t>
  </si>
  <si>
    <t>33. Which of the following statements is true?</t>
  </si>
  <si>
    <t>34. Choose the statement which is correct according to what you have heard.</t>
  </si>
  <si>
    <t>35. What can be said about Manchester Central Library?</t>
  </si>
  <si>
    <t>36. Choose the correct statement?</t>
  </si>
  <si>
    <t>37. Choose the statement which is correct according to the extract</t>
  </si>
  <si>
    <t>38. What can be said about Ingrid Betancourt?</t>
  </si>
  <si>
    <t>39. According to the conversation what can be said about obesity?</t>
  </si>
  <si>
    <t>40. Which of the statements is true according to the extract?</t>
  </si>
  <si>
    <t>A. Billy wakes up early.</t>
  </si>
  <si>
    <t>A. I find it hard to live without the Internet.</t>
  </si>
  <si>
    <t>A. Your mother wants to speak to you.</t>
  </si>
  <si>
    <t>A. He gave Mary the sandwich that made her ill.</t>
  </si>
  <si>
    <t>A. The woman is not yet in possession of the file.</t>
  </si>
  <si>
    <t>A. The current mayor is to blame for the problem.</t>
  </si>
  <si>
    <t>A. She was speechless when she heard the news.</t>
  </si>
  <si>
    <t>A. The sooner they finish the assignment the better</t>
  </si>
  <si>
    <t>A. The police left the card behind.</t>
  </si>
  <si>
    <t>A. She knew taxes were going to rise.</t>
  </si>
  <si>
    <t>A. The restaurant has moved to a new location.</t>
  </si>
  <si>
    <t>A. He believes that we are in the midst of the peak.</t>
  </si>
  <si>
    <t>A. If the other man had ever stolen anything .</t>
  </si>
  <si>
    <t>A. She spent eighty four days in prison</t>
  </si>
  <si>
    <t>A. The extract considers the little-known side of food processing</t>
  </si>
  <si>
    <t xml:space="preserve">A. Police are going to be tough on everyone in the street </t>
  </si>
  <si>
    <t xml:space="preserve">A. He won despite suffering  from his knee injury during the match </t>
  </si>
  <si>
    <t>A. They robbed an art gallery</t>
  </si>
  <si>
    <t>A. Scotland Yard bugged his telephone</t>
  </si>
  <si>
    <t>A. Hamas did not take part in the talks in Washington</t>
  </si>
  <si>
    <t>A. It is very delicate</t>
  </si>
  <si>
    <t>A. People start to drink alcohol between 16  and 24</t>
  </si>
  <si>
    <t>A. He made a speech last Monday</t>
  </si>
  <si>
    <t>A. Police have established the purity of drugs on the streets</t>
  </si>
  <si>
    <t>A. In the Imagination Playground structures are not fixed</t>
  </si>
  <si>
    <t>A. Three people were sentenced to life imprisonment</t>
  </si>
  <si>
    <t xml:space="preserve">A. The Reno Cure was only for women </t>
  </si>
  <si>
    <t>A. It will be closed for five years</t>
  </si>
  <si>
    <t>A. The miners will be rescued this weekend</t>
  </si>
  <si>
    <t>A. There is a competition organised to divide up the Artic region</t>
  </si>
  <si>
    <t xml:space="preserve">A. She previously ran for  President in Columbia </t>
  </si>
  <si>
    <t>A. One in 40 people are obese since their teens</t>
  </si>
  <si>
    <t>A. Many young people rebel against dictates on marriage</t>
  </si>
  <si>
    <t>B. I could survive without the internet.</t>
  </si>
  <si>
    <t>B. You ought to give your mother a call.</t>
  </si>
  <si>
    <t>B. Families kill couples who refuse to accept arranged marriages</t>
  </si>
  <si>
    <t>B. It is linked to low self-esteem</t>
  </si>
  <si>
    <t>B. Her memoirs are only available in NY</t>
  </si>
  <si>
    <t>B. Moscow raised a flag over the territory  assigned to it</t>
  </si>
  <si>
    <t>B. A baby was born in the mine</t>
  </si>
  <si>
    <t>B. It offers its services only to Manchester residents</t>
  </si>
  <si>
    <t>B. People stayed on the ranches to avoid their partners</t>
  </si>
  <si>
    <t>B. An old legal process meant only one person was convicted</t>
  </si>
  <si>
    <t>B. A disgruntled parent complained about playgrounds in NY City</t>
  </si>
  <si>
    <t>B. Dealers have cut the price of drugs</t>
  </si>
  <si>
    <t>B. He wants stricter entry regulations for foreign students</t>
  </si>
  <si>
    <t>B. The British Medical Association has imposed a limit on alcohol consumption</t>
  </si>
  <si>
    <t>B. It has capacity for over 2 tons of bombs</t>
  </si>
  <si>
    <t>B. Israeli and Palestinian leaders have been meeting every two years</t>
  </si>
  <si>
    <t>B. He is a former Prime Minister</t>
  </si>
  <si>
    <t>B. They are accused of being involved in fraud</t>
  </si>
  <si>
    <t>B. At one point it looked as though he was in difficulty</t>
  </si>
  <si>
    <t>B. Staying away from school will be considered a serious crime</t>
  </si>
  <si>
    <t>B. The jam was tasted before the pails were sealed</t>
  </si>
  <si>
    <t xml:space="preserve">B. She has already had problems with the law </t>
  </si>
  <si>
    <t>B. War journalists must keep their wits about them.</t>
  </si>
  <si>
    <t>B. If the other man had ever been missing.</t>
  </si>
  <si>
    <t>B. He believes that the peak has passed.</t>
  </si>
  <si>
    <t xml:space="preserve">B. The new chef is less skilled than the last. </t>
  </si>
  <si>
    <t>B. The client was leading the police astray.</t>
  </si>
  <si>
    <t>B. They must have the assignment finished as soon as possible</t>
  </si>
  <si>
    <t>B. She took the news in her stride.</t>
  </si>
  <si>
    <t>B. The mayor needs to organise some more public works.</t>
  </si>
  <si>
    <t>B. The man thinks his cooking smells bad.</t>
  </si>
  <si>
    <t>B. Allow the woman to use his phone.</t>
  </si>
  <si>
    <t>B. All that school has to offer appeals to me.</t>
  </si>
  <si>
    <t>B. He and Raymond were great friends before the row.</t>
  </si>
  <si>
    <t>C. The Internet has made life a lot more complicated</t>
  </si>
  <si>
    <t>C. He and Raymond have never been great buddies.</t>
  </si>
  <si>
    <t>C. I have a variety of interests at school.</t>
  </si>
  <si>
    <t>C. Call the woman if the phone rings.</t>
  </si>
  <si>
    <t>C. He advised Mary to eat the sandwich.</t>
  </si>
  <si>
    <t>C. The woman is using sophisticated equipment.</t>
  </si>
  <si>
    <t>C. The new major is not really at fault.</t>
  </si>
  <si>
    <t>C. They were given little time to complete the assignment</t>
  </si>
  <si>
    <t>C. Chloe could retrieve the information.</t>
  </si>
  <si>
    <t>C. The police chanced upon the card.</t>
  </si>
  <si>
    <t>C. She thought taxes were on their way down.</t>
  </si>
  <si>
    <t>C. The restaurant shut down soon after they changed chefs.</t>
  </si>
  <si>
    <t>C. He believes that the peak has yet to come.</t>
  </si>
  <si>
    <t>C. The report said bodyguards were charged with the murder of the couple</t>
  </si>
  <si>
    <t>C. It is common among high achievers</t>
  </si>
  <si>
    <t>C. She was held captive for ten years</t>
  </si>
  <si>
    <t>C. Global warming will hinder exploitation of resources</t>
  </si>
  <si>
    <t>C. Work will soon start on a third tunnel</t>
  </si>
  <si>
    <t>C. Due to renovation it now offers a wide range of facilities</t>
  </si>
  <si>
    <t>C. Establishing residency was a requisite for getting a divorce</t>
  </si>
  <si>
    <t>C. Eight people were charged with a gang murder</t>
  </si>
  <si>
    <t>C. If the other man had ever been reported</t>
  </si>
  <si>
    <t>C. There are few good alternative energy sources</t>
  </si>
  <si>
    <t>C. The woman can think of several more dangerous professions.</t>
  </si>
  <si>
    <t>C. She failed a course on in adult education</t>
  </si>
  <si>
    <t>C. Flies are part and parcel of jam making</t>
  </si>
  <si>
    <t>C. Youth workers will help sweep the streets during the crackdown</t>
  </si>
  <si>
    <t>C. The reporter predicts a bright future for him</t>
  </si>
  <si>
    <t>C. They might be expelled from the ICC</t>
  </si>
  <si>
    <t>C. He is the only person whose telephone was bugged</t>
  </si>
  <si>
    <t>C. Right-wing activists are angry because Hamas refused to go to Washington</t>
  </si>
  <si>
    <t>C. It was used to attack Germany during WW II</t>
  </si>
  <si>
    <t>C. Close on 2 million people are estimated to be serious alcohol abusers</t>
  </si>
  <si>
    <t>C. He believes all of the foreign students remain in Britain after completing their studies</t>
  </si>
  <si>
    <t>C. Consumers mix drugs with poisonous substances</t>
  </si>
  <si>
    <t>C. There have never been theories about building playing spaces for kids</t>
  </si>
  <si>
    <t xml:space="preserve">D. It is a requirement for receiving welfare </t>
  </si>
  <si>
    <t>D. She has difficulty remembering what happened to her</t>
  </si>
  <si>
    <t>D. The region is rich in natural resources</t>
  </si>
  <si>
    <t>D. Engineers have been building an escape route for a year</t>
  </si>
  <si>
    <t>D. It is going to be housed elsewhere temporarily</t>
  </si>
  <si>
    <t>D. Divorce was easily available all over the United States</t>
  </si>
  <si>
    <t>D. Three got shorter prison sentences</t>
  </si>
  <si>
    <t>D. Rockwell got an architect to design the playground</t>
  </si>
  <si>
    <t xml:space="preserve">D. The active ingredient contained in the drugs is minimal </t>
  </si>
  <si>
    <t xml:space="preserve">D. He thinks foreign students should not be given visas </t>
  </si>
  <si>
    <t>D. People in the UK are well aware of  the extent of the problem</t>
  </si>
  <si>
    <t>D. It is  in a London war museum</t>
  </si>
  <si>
    <t>D. There were attacks at the meetings in Washington</t>
  </si>
  <si>
    <t>D. He has decided to take a newspaper to court</t>
  </si>
  <si>
    <t>D. The captain is still being questioned</t>
  </si>
  <si>
    <t>D. His reaction to his win was unusual</t>
  </si>
  <si>
    <t>D. Stealing among young offenders will be targeted</t>
  </si>
  <si>
    <t>D. Filling your trolley in the store, you think of food processing</t>
  </si>
  <si>
    <t>D. She was sentenced to immediate imprisonment</t>
  </si>
  <si>
    <t>D. The man believes that danger is compensated for by prestige.</t>
  </si>
  <si>
    <t>D. We need more time to find a solution.</t>
  </si>
  <si>
    <t>D. If the other man had lost anything</t>
  </si>
  <si>
    <t>D. He believes that the peak is decades away.</t>
  </si>
  <si>
    <t>D. They go to the restaurant further down the hill.</t>
  </si>
  <si>
    <t>D. They ought to have got the assignment under way earlier</t>
  </si>
  <si>
    <t xml:space="preserve">D. She was furious when she heard the news. </t>
  </si>
  <si>
    <t>D. The major is responsible for the problem.</t>
  </si>
  <si>
    <t>D. I think school is rather boring.</t>
  </si>
  <si>
    <t>D. He and Raymond never speak to each other now.</t>
  </si>
  <si>
    <t>D. Billy is still in bed.</t>
  </si>
  <si>
    <t xml:space="preserve">1.  </t>
  </si>
  <si>
    <t xml:space="preserve">2. </t>
  </si>
  <si>
    <t xml:space="preserve">3. </t>
  </si>
  <si>
    <t xml:space="preserve">4. </t>
  </si>
  <si>
    <t xml:space="preserve">5. </t>
  </si>
  <si>
    <t xml:space="preserve">6. </t>
  </si>
  <si>
    <t xml:space="preserve">7. </t>
  </si>
  <si>
    <t xml:space="preserve">8. </t>
  </si>
  <si>
    <t xml:space="preserve">9.  </t>
  </si>
  <si>
    <t>EXAMEN 4/MP3/Q-10 EXAMEN 4.mp3</t>
  </si>
  <si>
    <t>EXAMEN 4/MP3/Q-11 EXAMEN 4.mp3</t>
  </si>
  <si>
    <t>EXAMEN 4/MP3/Q-12 EXAMEN 4.mp3</t>
  </si>
  <si>
    <t>EXAMEN 4/MP3/Q-13 EXAMEN 4.mp3</t>
  </si>
  <si>
    <t>EXAMEN 4/MP3/Q-14 EXAMEN 4.mp3</t>
  </si>
  <si>
    <t>EXAMEN 4/MP3/Q-15 EXAMEN 4.mp3</t>
  </si>
  <si>
    <t>EXAMEN 4/MP3/Q-16 EXAMEN 4.mp3</t>
  </si>
  <si>
    <t>EXAMEN 4/MP3/Q-17 EXAMEN 4.mp3</t>
  </si>
  <si>
    <t>EXAMEN 4/MP3/Q-18 EXAMEN 4.mp3</t>
  </si>
  <si>
    <t>EXAMEN 4/MP3/Q-19 EXAMEN 4.mp3</t>
  </si>
  <si>
    <t>EXAMEN 4/MP3/Q-20 EXAMEN 4.mp3</t>
  </si>
  <si>
    <t>EXAMEN 4/MP3/Q-21 EXAMEN 4.mp3</t>
  </si>
  <si>
    <t>EXAMEN 4/MP3/Q-22 EXAMEN 4.mp3</t>
  </si>
  <si>
    <t>EXAMEN 4/MP3/Q-23 EXAMEN 4.mp3</t>
  </si>
  <si>
    <t>EXAMEN 4/MP3/Q-24 EXAMEN 4.mp3</t>
  </si>
  <si>
    <t>EXAMEN 4/MP3/Q-25 EXAMEN 4.mp3</t>
  </si>
  <si>
    <t>EXAMEN 4/MP3/Q-26 EXAMEN 4.mp3</t>
  </si>
  <si>
    <t>EXAMEN 4/MP3/Q-27 EXAMEN 4.mp3</t>
  </si>
  <si>
    <t>EXAMEN 4/MP3/Q-28 EXAMEN 4.mp3</t>
  </si>
  <si>
    <t>EXAMEN 4/MP3/Q-29 EXAMEN 4.mp3</t>
  </si>
  <si>
    <t>EXAMEN 4/MP3/Q-30 EXAMEN 4.mp3</t>
  </si>
  <si>
    <t>EXAMEN 4/MP3/Q-31 EXAMEN 4.mp3</t>
  </si>
  <si>
    <t>EXAMEN 4/MP3/Q-32 EXAMEN 4.mp3</t>
  </si>
  <si>
    <t>EXAMEN 4/MP3/Q-33 EXAMEN 4.mp3</t>
  </si>
  <si>
    <t>EXAMEN 4/MP3/Q-34 EXAMEN 4.mp3</t>
  </si>
  <si>
    <t>EXAMEN 4/MP3/Q-35 EXAMEN 4.mp3</t>
  </si>
  <si>
    <t>EXAMEN 4/MP3/Q-36 EXAMEN 4.mp3</t>
  </si>
  <si>
    <t>EXAMEN 4/MP3/Q-37 EXAMEN 4.mp3</t>
  </si>
  <si>
    <t>EXAMEN 4/MP3/Q-38 EXAMEN 4.mp3</t>
  </si>
  <si>
    <t>EXAMEN 4/MP3/Q-39 EXAMEN 4.mp3</t>
  </si>
  <si>
    <t>EXAMEN 4/MP3/Q-40 EXAMEN 4.mp3</t>
  </si>
  <si>
    <t>A. He believes the problem shouldn't have become a crisis.</t>
  </si>
  <si>
    <t>B. He believes the problem needn't be a crisis.</t>
  </si>
  <si>
    <t>B. Bill hasn't got a pet.</t>
  </si>
  <si>
    <t>C. Billy doesn't want to get up.</t>
  </si>
  <si>
    <t>D. We couldn't survive without internet in the past.</t>
  </si>
  <si>
    <t>C. If I were you, I'd bring your mother.</t>
  </si>
  <si>
    <t>D. I'd have called your mother if I were you.</t>
  </si>
  <si>
    <t>A. He and Raymond can't stand each other anymore.</t>
  </si>
  <si>
    <t>A. I wasn't interested in finding the school.</t>
  </si>
  <si>
    <t>A. Receive the woman's calls for her.</t>
  </si>
  <si>
    <t>D. Divert the woman's calls.</t>
  </si>
  <si>
    <t>A. The man's culinary skills are not as bad as he thinks.</t>
  </si>
  <si>
    <t xml:space="preserve">C. The man's cooking lacks taste. </t>
  </si>
  <si>
    <t>D. The man's culinary skills are outstanding.</t>
  </si>
  <si>
    <t>B. He didn't recommend that Mary eat the sandwich.</t>
  </si>
  <si>
    <t>D. The sandwich didn't cause the stomach complaint.</t>
  </si>
  <si>
    <t>B. The file didn't take as long as expected to download.</t>
  </si>
  <si>
    <t>D. The woman hasn't started downloading the file.</t>
  </si>
  <si>
    <t>C. She couldn't stop laughing upon hearing the news.</t>
  </si>
  <si>
    <t>A. He doesn't want Chloe to fret.</t>
  </si>
  <si>
    <t>B. He wouldn't have made such a mistake.</t>
  </si>
  <si>
    <t>D. He didn't think anyone could make such a mistake.</t>
  </si>
  <si>
    <t>D. The client couldn't have left the card.</t>
  </si>
  <si>
    <t>B. Tax cuts weren't an election promise.</t>
  </si>
  <si>
    <t>D. She knew the government wouldn't keep their word.</t>
  </si>
  <si>
    <t>A. A war journalist shouldn't always depend on the skill of the unit.</t>
  </si>
  <si>
    <t>D. Marrying outside one's caste is permitted in extended families</t>
  </si>
  <si>
    <t>EXAMEN 3/MP3/Q-01 EXAMEN 3.mp3</t>
  </si>
  <si>
    <t>EXAMEN 3/MP3/Q-02 EXAMEN 3.mp3</t>
  </si>
  <si>
    <t>EXAMEN 3/MP3/Q-03 EXAMEN 3.mp3</t>
  </si>
  <si>
    <t>EXAMEN 3/MP3/Q-04 EXAMEN 3.mp3</t>
  </si>
  <si>
    <t>EXAMEN 3/MP3/Q-05 EXAMEN 3.mp3</t>
  </si>
  <si>
    <t>EXAMEN 3/MP3/Q-06 EXAMEN 3.mp3</t>
  </si>
  <si>
    <t>EXAMEN 3/MP3/Q-07 EXAMEN 3.mp3</t>
  </si>
  <si>
    <t>EXAMEN 3/MP3/Q-08 EXAMEN 3.mp3</t>
  </si>
  <si>
    <t>EXAMEN 3/MP3/Q-09 EXAMEN 3.mp3</t>
  </si>
  <si>
    <t>EXAMEN 4/MP3/Q-01 EXAMEN 4.mp3</t>
  </si>
  <si>
    <t>EXAMEN 4/MP3/Q-02 EXAMEN 4.mp3</t>
  </si>
  <si>
    <t>EXAMEN 4/MP3/Q-03 EXAMEN 4.mp3</t>
  </si>
  <si>
    <t>EXAMEN 4/MP3/Q-04 EXAMEN 4.mp3</t>
  </si>
  <si>
    <t>EXAMEN 4/MP3/Q-05 EXAMEN 4.mp3</t>
  </si>
  <si>
    <t>EXAMEN 4/MP3/Q-06 EXAMEN 4.mp3</t>
  </si>
  <si>
    <t>EXAMEN 4/MP3/Q-07 EXAMEN 4.mp3</t>
  </si>
  <si>
    <t>EXAMEN 4/MP3/Q-08 EXAMEN 4.mp3</t>
  </si>
  <si>
    <t>EXAMEN 4/MP3/Q-09 EXAMEN 4.mp3</t>
  </si>
  <si>
    <t>A. The G8 meeting was productive</t>
  </si>
  <si>
    <t>A. The field may have been very dangerous</t>
  </si>
  <si>
    <t>A. The submarine stayed in deep water</t>
  </si>
  <si>
    <t>A. Civilian contractors are all cleared to enter the base</t>
  </si>
  <si>
    <t>A. The plan was to get some exercise</t>
  </si>
  <si>
    <t>A. We’d better not overfill the gas tank</t>
  </si>
  <si>
    <t>A. The mechanic has all his work orders completed</t>
  </si>
  <si>
    <t>A. The buildings need better windows and insulation to be energy efficient</t>
  </si>
  <si>
    <t>A. There was a report of a row at the press conference</t>
  </si>
  <si>
    <t>A. IBM has shut down</t>
  </si>
  <si>
    <t>A. The woman doubts that Jimmy speaks Italian</t>
  </si>
  <si>
    <t>A. He wasn’t interested in languages at university</t>
  </si>
  <si>
    <t>A. The troops have just landed</t>
  </si>
  <si>
    <t>A. The meeting did not take place</t>
  </si>
  <si>
    <t>A. She found the question easy</t>
  </si>
  <si>
    <t>A. Things are looking up</t>
  </si>
  <si>
    <t>A. They didn’t serve her when she called in</t>
  </si>
  <si>
    <t>A. The woman is suspicious of the deal</t>
  </si>
  <si>
    <t>A. Finish off the eggs</t>
  </si>
  <si>
    <t>A. She is worried the man could embarrass himself</t>
  </si>
  <si>
    <t>A. It was reconsidered</t>
  </si>
  <si>
    <t xml:space="preserve">A. Deficiencies attributed to  MI5 </t>
  </si>
  <si>
    <t>A. The insurance companies were not answering calls</t>
  </si>
  <si>
    <t>A. Easter Island is 1,200 miles from the Isle of Wight</t>
  </si>
  <si>
    <t>A. She shot her husband</t>
  </si>
  <si>
    <t>A. The agreement has taken four years to complete</t>
  </si>
  <si>
    <t>A. The parade is held every other year</t>
  </si>
  <si>
    <t>A. Previously having religious faith</t>
  </si>
  <si>
    <t>A. Younger generations mix across ethnic lines</t>
  </si>
  <si>
    <t>A. He will go to prison</t>
  </si>
  <si>
    <t>A. He is fond of construction</t>
  </si>
  <si>
    <t>A. Holland and Sweden have benefited from the financial crisis</t>
  </si>
  <si>
    <t>A. A film called ‘One day on Earth” will be made</t>
  </si>
  <si>
    <t>A. He and his father had a difficult relationship</t>
  </si>
  <si>
    <t>A. The miners will be rescued in 33 days</t>
  </si>
  <si>
    <t>A. It takes everyone eight months to find a job</t>
  </si>
  <si>
    <t>A. John Lennon was a womaniser</t>
  </si>
  <si>
    <t>A. Conflict resolution  through negotiation</t>
  </si>
  <si>
    <t xml:space="preserve">A. David Mittle presented an estimate for business lost </t>
  </si>
  <si>
    <t>A. Give money to those who deserve it</t>
  </si>
  <si>
    <t>B. The G8 meeting advanced in technical issues</t>
  </si>
  <si>
    <t>B. Troops were ordered into the field</t>
  </si>
  <si>
    <t>B. The submarine dove deeper to escape SONAR detection</t>
  </si>
  <si>
    <t>B. Civilian contractors must get permission to enter the base</t>
  </si>
  <si>
    <t>B. We didn’t have a plan to work out</t>
  </si>
  <si>
    <t>B. We are in danger of running out of gas</t>
  </si>
  <si>
    <t>B. The mechanic can leave work early because he's finished all his work</t>
  </si>
  <si>
    <t>B. The buildings are renovated and expensive</t>
  </si>
  <si>
    <t>B. The reporters got into a fight</t>
  </si>
  <si>
    <t>B. IBM purchased a company</t>
  </si>
  <si>
    <t>B. The woman spent a long time in Italy</t>
  </si>
  <si>
    <t>B. He was more interested in learning languages at high school</t>
  </si>
  <si>
    <t>B. The troops were delayed because they missed the train</t>
  </si>
  <si>
    <t>B. The negotiations were a success</t>
  </si>
  <si>
    <t>B. She couldn’t answer the question</t>
  </si>
  <si>
    <t>B. Things are hopeless</t>
  </si>
  <si>
    <t>B. She wasn’t impressed with the food</t>
  </si>
  <si>
    <t>B. The woman doesn’t know what the deal involves</t>
  </si>
  <si>
    <t>B. Pick the eggs up off the floor</t>
  </si>
  <si>
    <t>B. She is worried that they will take advantage of the man</t>
  </si>
  <si>
    <t>B. It was rejected</t>
  </si>
  <si>
    <t>B. The number of victims in the attack</t>
  </si>
  <si>
    <t>B. The price of health plans had rocketed</t>
  </si>
  <si>
    <t>B. The Polynesians were skilled voyagers</t>
  </si>
  <si>
    <t>B. She gave $250,000 to her stepson</t>
  </si>
  <si>
    <t>B. The Barin Sea has a lot of natural resources</t>
  </si>
  <si>
    <t>B. Mostly women and children attend the parade</t>
  </si>
  <si>
    <t>B. Its weight in gold coins</t>
  </si>
  <si>
    <t>B. There are three ethnic groups in Bosnia</t>
  </si>
  <si>
    <t>B. His managers also gambled</t>
  </si>
  <si>
    <t xml:space="preserve">B. He dislikes the new appearance of Georgia’s cities </t>
  </si>
  <si>
    <t>B. There is economic security in Europe</t>
  </si>
  <si>
    <t xml:space="preserve">B. Marathons will take place in Australia and Brazil </t>
  </si>
  <si>
    <t>B. This is the first award he has ever received</t>
  </si>
  <si>
    <t>B. Rescuers must ensure the operation is safe</t>
  </si>
  <si>
    <t>B. The private sector has now started to employ people</t>
  </si>
  <si>
    <t>B. Lennon was killed before the interviews were finished</t>
  </si>
  <si>
    <t>B. Their differences will never be settled</t>
  </si>
  <si>
    <t>B. Pub landlords  are objecting to the smoking restrictions</t>
  </si>
  <si>
    <t xml:space="preserve">B. Limit the amount of money paid </t>
  </si>
  <si>
    <t>C. According to G8 sources, the summit was a success</t>
  </si>
  <si>
    <t>C. There was an explosion in the field</t>
  </si>
  <si>
    <t>C. The submarine had to go to the surface of the ocean</t>
  </si>
  <si>
    <t>C. The base has been cleared of civilian contractors</t>
  </si>
  <si>
    <t>C. It's a pity the plan failed</t>
  </si>
  <si>
    <t>C. We should feel better now that the tank is full</t>
  </si>
  <si>
    <t>C. The mechanic is overwhelmed with repair jobs</t>
  </si>
  <si>
    <t>C. The new buildings are not going to be energy efficient</t>
  </si>
  <si>
    <t>C. The press conference broke up as soon as the reporters arrived</t>
  </si>
  <si>
    <t>C. Another company now owns IBM</t>
  </si>
  <si>
    <t>C. The woman is not surprised at Jimmy’s ability to speak Italian</t>
  </si>
  <si>
    <t>C. His main interest for languages came after leaving high school</t>
  </si>
  <si>
    <t>C. The train carrying the supplies broke down</t>
  </si>
  <si>
    <t>C. The deliberations were put on hold</t>
  </si>
  <si>
    <t>C. She couldn’t understand the question</t>
  </si>
  <si>
    <t>C. Things are uncertain</t>
  </si>
  <si>
    <t>C. The food was delicious</t>
  </si>
  <si>
    <t>C. The woman would like to accept the deal</t>
  </si>
  <si>
    <t>C. Buy some eggs</t>
  </si>
  <si>
    <t>C. She is worried the man could miss an opportunity</t>
  </si>
  <si>
    <t>C. It was curbed</t>
  </si>
  <si>
    <t>C. How the families of the victims helped</t>
  </si>
  <si>
    <t>C. People were complaining about the new insurance premiums</t>
  </si>
  <si>
    <t>C. Rapa Nui was too remote to inhabit</t>
  </si>
  <si>
    <t>C. She was the person who planned the crime</t>
  </si>
  <si>
    <t>C. The Russian President trusts Norway</t>
  </si>
  <si>
    <t>C. The bomb was in the spectator area</t>
  </si>
  <si>
    <t>C. Copper coins</t>
  </si>
  <si>
    <t>C. People forced to leave have returned</t>
  </si>
  <si>
    <t>C. He owes 26,000 euro to the bank</t>
  </si>
  <si>
    <t>C. He wants builders to get used to working in winter</t>
  </si>
  <si>
    <t>C. Extreme right parties are anti-immigrant</t>
  </si>
  <si>
    <t>C. There is a restriction on what can be recorded on video</t>
  </si>
  <si>
    <t>C. Being a writer, he became quite eccentric</t>
  </si>
  <si>
    <t>C. The miners are in bad condition after 66 days</t>
  </si>
  <si>
    <t>C. The over-50s take longer than most to be re-employed</t>
  </si>
  <si>
    <t>C. Sheff interviewed the couple over a period of three months</t>
  </si>
  <si>
    <t>C. Iran must take the first step, then the US will follow</t>
  </si>
  <si>
    <t xml:space="preserve">C. The MP is fighting a losing battle in the House of Commons </t>
  </si>
  <si>
    <t>C. Increase the average family’s benefits</t>
  </si>
  <si>
    <t>D. Little progress was made at the G8 meeting</t>
  </si>
  <si>
    <t>D. There was no possibility of explosives in the field</t>
  </si>
  <si>
    <t>D. The submarine avoided the surface due to a malfunction</t>
  </si>
  <si>
    <t>D. Civilian contractors don’t need authorization to enter the base</t>
  </si>
  <si>
    <t>D. A bad plan will never work out</t>
  </si>
  <si>
    <t>D. The gas tank is completely empty so we must fill it</t>
  </si>
  <si>
    <t>D. The mechanic is using many tools</t>
  </si>
  <si>
    <t>D. The building's energy bill will be very affordable</t>
  </si>
  <si>
    <t>D. The reporters boycotted the press conference</t>
  </si>
  <si>
    <t>D. The crash was IBM's fault</t>
  </si>
  <si>
    <t>D. The woman is impressed by Jimmy’s Italian</t>
  </si>
  <si>
    <t>D. He studied at a foreign university hence his soft spot for languages</t>
  </si>
  <si>
    <t>D. The troops were hindered by a problem</t>
  </si>
  <si>
    <t>D. Both sides are aiming to negotiate</t>
  </si>
  <si>
    <t>D. She answered the question correctly</t>
  </si>
  <si>
    <t>D. Now is the time to prosper</t>
  </si>
  <si>
    <t>D. She called in advance for service</t>
  </si>
  <si>
    <t>D. The woman would like more time to think about the deal</t>
  </si>
  <si>
    <t>D. Put the eggs in the fridge</t>
  </si>
  <si>
    <t>D. She thinks the man should think twice about the position</t>
  </si>
  <si>
    <t>D. It was burnt</t>
  </si>
  <si>
    <t>D. The inquests</t>
  </si>
  <si>
    <t xml:space="preserve">D. People were enquiring about health care plans </t>
  </si>
  <si>
    <t xml:space="preserve">D. Rapa Nui is near other inhabited islands </t>
  </si>
  <si>
    <t>D. She asked her lover to collect the insurance money</t>
  </si>
  <si>
    <t>D. NATO is demanding a share of the resources</t>
  </si>
  <si>
    <t>D. The Iranian media were prevented from attending the scene</t>
  </si>
  <si>
    <t>D. Accepting the value written on the note as true</t>
  </si>
  <si>
    <t>D. It is dangerous to travel there</t>
  </si>
  <si>
    <t>D. He got  a life sentence</t>
  </si>
  <si>
    <t>D. He wants to bring growth to remote regions</t>
  </si>
  <si>
    <t>D. There is more support for immigrant parties</t>
  </si>
  <si>
    <t>D. There are too many events scheduled</t>
  </si>
  <si>
    <t>D. In Latin America, he was not accepted in the 1950s</t>
  </si>
  <si>
    <t>D. The drill did not reach the miners</t>
  </si>
  <si>
    <t>D. David Sheff recorded conversations with the couple</t>
  </si>
  <si>
    <t>D. The international community is about to give up</t>
  </si>
  <si>
    <t>D. Pub landlords have no rights</t>
  </si>
  <si>
    <t>D. Cater to large families only</t>
  </si>
  <si>
    <t>It is hard, if not impossible, to think of another pop-manager-entrepreneur whose passing would leave as much of a void as Malcolm Mclaren’s. Most music management people are first and foremost hard-headed types with their eye always fixed upon the bottom line, and whose interest in their charges is in strict relation to their own percentage interest in the product.                      Mclaren, however, was never   solely interested in money. Indeed, it’s difficult to think of a single business in which he was involved which seemed like a good earner until he got involved. Try persuading your bank manager that bondage trousers and torn T –shirts can make money as haute couture, then imagine how much more difficult it must have been for Mclaren setting up the SEX shop with his then-partner Vivienne Westwood in the mid-seventies. By that time, he had already made his first foray into music management with The New York Dolls, the American glam-rock group whose already marginal appeal he compounded by outfitting them in red leather and having them play under a hammer-and –sickle logo.                                                                                                                                                             This strategy, of piling provocation upon provocation in the hope of fostering outrage, finally secured McLaren his seminal triumph when he created The Sex Pistols, a deliberately incompetent group wearing deliberately ugly clothes and singing deliberately offensive songs. As their records attest, they didn’t remain incompetent all that long, and while it’s arguable whether they would have been quite as sensational without a frontman as charismatic and gifted as John Lydon, it was McLaren’s canny ability to transform disaster into profit-“Cash From Chaos”, as his motto put it-which swiftly built the band into the great folk devil of their era. Timed to coincide with the Queen’s Silver Jubilee, their second single “God Save The Queen” sought to poison the festivities with its humiliating refrain of “No future!” To promote the record, McLaren organized a boat trip on the River Thames so the band could play outside the Houses of Parliament; during the ensuing police raid, he made sure he was arrested. Throughout the band’s brief life, and subsequently, McLaren employed tactics learnt during his time at various art colleges in the Sixties, when he became fascinated by the provocative sloganeering and political art events of the Situationist movement. Like them, he constantly tried to challenge conformity and confound the expectations which might pin him down, both as an artist and entrepreneur</t>
  </si>
  <si>
    <t>Targeting Israeli businesses via the threat of boycotts is usually the preserve of radical forces from abroad, but the latest sanctions storm to hit the country is very much an internal affair. Tzomet Sefarim, one of the nation’s largest booksellers, this week bowed to intense pressure from rightwing critics to stop selling The National Left, a political pamphlet which heavily criticizes the settler movement.                                                                                                                      According to a Tzomet Sefarim spokesman, the extraordinary decision to withdraw the book was taken despite the company being a “chain for all the people of Israel and having no political affiliation.” Instead, the company acted “because we received many complaints that the book hurts the feelings of some of our customers, so we decided to stop selling it.”                           That the authors are bitterly opposed to the settlement enterprise is indisputable: settlers are referred to as “messianic madmen” and their children branded “brainwashed zombies”; elsewhere, the settler movement is accused of being “an industry that produces nothing but apartheid and destroys the Israel that we knew and loved.”However, such language is far from unusual in the political cauldron that is modern-day Israel, and given the scathing abuse routinely levelled at the Israeli left by settler leaders, the campaign to ban the pamphlet  appears a hugely hypocritical endeavour.                                                                                                         In response to the chain’s decision, a raft of Israeli academics have called for a boycott of the company, describing Tzomet Sefarim’s behavior as a “serious threat to the foundations of Israeli democracy.” The protesters “urge anyone who holds democracy dear to go out and condemn the Tzomet Sefarim chain, and to apply pressure on it to return the book to its shelves. In addition, the chain’s management should be demanded to apologise and commit that it will not remove books from its shelves due to ideological political pressure in the future.”                                                                                                                                                             Shulamit  Aloni, the former  chairman of the leftwing Meretz party, says the incident proves that Israel has become an anti-democratic state where settlers wield undue influence at every level of society and government: “Tzomet Sefarim succumbed  to the pressure because everyone is afraid of the settlers. They are savages, racists and hate all those who do not support them.”</t>
  </si>
  <si>
    <t>In what is becoming the hippest environment meeting of the year, presidents, politicians, intellectuals, scientists and Hollywood stars will join more than 15,000 indigenous people and thousands of grass roots groups from more than 100 countries to debate climate change in one of the world’s poorest nations.                                                                                                                    The World people’s Conference on Climate Change and the Rights of Mother Earth which opens next week in the small Bolivian town of Cochabamba, will have no direct bearing on the UN climate talks being conducted by 192 governments. But Bolivian President Evo Morales says it will give a voice to the poorest people of the world and encourage governments to be far more ambitious following the failure of the Copenhagen summit.                                                       Morales will use the meeting to announce the world’s largest referendum, with up to 2 billion people being asked to vote on ways out of the climate crisis. Bolivia also wants to create a UN charter of rights and to draft an action plan to set up an international climate justice tribunal. “The only way to get climate negotiations back on track not just for Bolivia or other countries, but for all of life, biodiversity, our Mother Earth is to put civil society back into the process. The only thing that can save mankind from a climate tragedy is the exercise of global democracy,” said Bolivia’s United Nations Ambassador Pablo Solon in Bonn, at the end of the latest UN talks.                                                                                                                                                                       “There will be no secret discussions behind closed doors. The debate and the proposals will be led by communities on the frontlines of climate change and by organizations and individuals from civil society dedicated to tackling the climate crisis,” he said.                                                               More than 90 governments are sending delegations to Cochabamba, Bolivia’s third largest city. Also expected to attend are scientists such as James Hansen, James Cameron, the director of Avatar, the linguist Noam Chomsky, author Naomi Klein of Canada, anti-globalisation activist Josè Bovè of France and actors Danny Glover, Robert Redford and Susan Sarandon are expected.                                                                                                                                                          The meeting will coincide with celebrations of the Cochabamba “water war” of 2000 when a revolt against the privatization of water in the city acted as an inspiration for social movements across Latin America and indirectly to the election of Morales as Bolivia’s president.                                                                                                                                                                    “We hope that this unique format will help shift power back to the people, which is where it needs to be on this critical issue for all humanity. We don’t expect agreement on everything, but at least we can start to discuss openly and sincerely in a way that didn’t happen in Copenhagen,” said Solòn</t>
  </si>
  <si>
    <t>Last March, Tim Jackson put forward the idea of prosperity without growth in a report published by the United Kingdom’s Sustainable Development Commission and followed up with a book of the same name released last November. The book is a best seller (ranked 1,729 on Amazon) and in it he argues convincingly that we can still prosper without adhering to the encoded mantra of expansion and growth that permeates modern market economies.                           More recently, in January 2010, Andrew Simms and Victoria Johnson at the New Economics Foundation (NEF) published a more emphatic message in their report entitled Growth Isn’t Possible. They argue that we should abandon the notion of growth altogether. The premise is that we need a new economic model “that allows the human population as a whole to thrive without having to rely on ultimately impossible endless increases in consumption.”                                        In influential forums – like the G8 or G20, for instance - while it is acceptable and even desirable to use the word ‘sustainability’ in communiqués, it is most certainly taboo to equate ‘no economic growth’ to social good. However, such heresy nonetheless finds traction (if only in book sales), even when our world is suffering from the ills of economic recession.                              When addressing our environmental ills, the closest we ever seem to get is ‘decoupling’. This idea has been around for decades and essentially suggests that we can break the links between economic growth and nasty side effects like pollution (e.g., carbon dioxide).  Decoupling is done by producing things more efficiently –using less (and preferably renewable)  energy or using technology to capture the pollution. However, Jackson says that this relative decoupling is a myth – simply the acceptable face of sustainability that leaves our complex social and economic systems unchanged</t>
  </si>
  <si>
    <t>Better, Not Bigger.The notion that our progress (and happiness) equates to our consumption became very strongly embedded in economic policy not least because we can measure consumption, and although we know it’s imperfect at some level, it works. There is however, a whole array of proposals aimed at readdressing this.                                                                                                                     For example, the Redefining Progress approach is based on broadening our conception of affluence beyond Gross Domestic Product (GDP) to the Genuine Progress Indicator. The ‘capability approach’, articulated by India’s Nobel Prize winning economist Amartya Sen and others, has provided the basis for the Human Development Index and mainstream acceptance of wider measures of welfare.                                                                                                                           Some are advocating economic changes that address the key problems affecting the world’s resources and climate systems. Jackson, believes, as many have long warned, that we must recognize that exponential growth interacts with resources so that we may begin to adjust our economic activity in the face of scarcity and constraint.                                                                         “Prosperity consists in our ability to flourish as human beings –within the ecological limits of a finite planet,” states Jackson in the report. “The challenge for our society is to create the conditions under which this is possible. It is the most urgent task of our times.”                                    So, beyond concepts of green growth or sustainable growth there is also that of ‘no growth’. The latter is distinguished by the fact that it does not equate ‘development’ with economic expansion. The so-called ‘steady state economy’ would look very different than our current system. We may share jobs, which would mean less income but, if we must still believe that time is money, increasing our time capital would afford us the luxury of doing the things that money can’t, or would no longer be needed to, buy. The Center for the Advancement of the Steady State Economy has summarized a number of policies from leading thinkers in this area</t>
  </si>
  <si>
    <t>Just hours after returning to the United States on an overnight flight from Afghanistan Tuesday, General David Petraeus appeared at the Woodrow Wilson International Center for Scholars to talk about the U.S.  Central Command he heads and U.S. efforts in Iraq and Afghanistan, looking not the least bit jet lagged.                                                                                Petraeus is intelligent, well-spoken and polished, and his comments about the challenges facing the United States sounded more like those of a politician or diplomat than a general. He often speaks about his job in political terms and is keenly aware of the local political pressures, which have a huge impact on successful military outcomes.                                                                                    He talks about having “a constituency” in Iraq and Afghanistan of local residents who will “tolerate” the U.S. presence as long as they believe their future and those of their families will be improved by it. He also has a keen instinct and appreciation for the essential public relations aspects of his job and says the U.S. military should always “be first with the truth” when it comes to their actions abroad.                                                                                                       Petraeus has frequently been compared to warrior/president Dwight Eisenhower and has for years been mentioned as a potential presidential candidate. But the comparisons to Eisenhower may actually do the 57-year-old Petraeus a bit of a disservice.                                               Petraeus, a true warrior/scholar, graduated at the top of his class at West Point and has a Ph.D from Princeton, where the title of his dissertation was, “The American Military and the Lessons of Vietnam.” He has a reputation for courting not only his military and executive branch bosses but members of Congress and the media, who seem to largely be Petraeus fans.                                                            Republican Sen. Lindsey Graham told the “New York Times” last fall that Petraeus “understands the Congress better than any military commander I’ve ever met.” According to those who know him and have served with him, Petraeus is fiercely competitive, although he is smaller than one might expect at five feet nine inches tall, with a slight but athletic build</t>
  </si>
  <si>
    <t>Most of the antibiotics sold in the United States – 70 percent – go to the animals we eat, especially pigs and chickens. To speed up growth and to prevent the spread of disease in crowded conditions, growers put small amounts of antibiotics into animals’ daily feed. The result is nearly the same as if we were eating the antibiotics ourselves: an increase in antibiotic resistance in humans and the emergence of drug-resistant microbes.                                                             In a July letter to Congress, Dr.Thomas R. Frieden, the director of the Centers for Disease Control and Prevention warned that there is “a clear link between antibiotic use in animals and antibiotic resistance in humans.” Despite that warning, the regulatory agencies have been too slow and timid in their response.                                                                                                                        After more than a year of review, the Food and Drug Administration is preparing to issue an extremely modest set of guidelines, which merely recommend that agricultural producers use antibiotics only under veterinary supervision and only in cases of illness and emergency. We far prefer the approach taken by Representative Louise Slaughter, a Democrat of New York, who submitted a bill last year that would make those recommendations mandatory, while gradually phasing out the agricultural use of medically important antibiotics.                                              Livestock producers do not agree. Nor, apparently, does Agriculture Secretary Tom Vilsack. In a recent speech to cattlemen, he alluded to Ms. Slaughter’s bill and said, “Antibiotics need to be used judiciously, and we believe they already are.”Mr.Vilsack and the producers need to listen to Dr. Friedman. The F.D. A. needs to make its guidelines mandatory, and the entire Obama administration needs to get on board</t>
  </si>
  <si>
    <t>Ecuador’s government has declared a state of emergency after police launched a chaotic rebellion over austerity measures that cut their benefits. Incensed officers shoved President Rafael Correa around and pelted him with tear gas and water when he tried to speak at a police barracks in the capital. Correa, 47, was taken to hospital from the effects of the gas.                 The state of emergency puts the military in charge of public order, suspending civil liberties and allowing soldiers to carry out searches without a warrant.                                                                          Hundreds of officers involved in the insurrection took over police barracks in Quito, Guayaquil and other cities. They also set up roadblocks out of burning tires that cut off highway access to the capital. Scores of uniformed men overran the landing strip at Quito’s main airport, forcing flights to be cancelled.                                                                                                                                                     The protests rapidly spread to bases and barracks in three provinces, with witnesses reporting looting, compounding a political crisis that could prompt the president to dissolve parliament and rule by decree until elections. The foreign minister, Ricardo Patino, played down the severity of the protests. “This is not a popular mobilization, it is not a popular uprising, it is an uprising by the police, who are ill-informed,” he told TV network Telesur. The central bank chief, Diego Borja, called for calm.                                                                                                                          There were no immediate reports of casualties and the president showed no sign of backing down. “They are a bunch of ungrateful bandits. No one has supported the police as much as this government,” he told reporters. The protests were triggered by a law passed by congress yesterday on Wednesday that would end the practice of giving medals and bonuses with each promotion. It would also extend from five to seven years the usual period required for promotions. The law needs to be published before it takes effect.                                                              Correa is a U.S-trained economist who has tried to slim Ecuador’s bureaucracy. His own party, the Country Alliance, opposed the austerity measures, prompting his threat to dissolve congress.                                                                                                                                                             Correa, who has a Belgian wife, was elected in 2006 promising a “citizens’ revolution” to spread benefits of oil, gas and other revenues to the poor in Andean mountains, Amazon forests and Pacific coast slums. He defaulted on a $2.8bn debt, calling it illegitimate, and boosted spending on education and health. He was re-elected under the new constitution last year but since then public sector workers and indigenous groups, among others, have accused him of breaking promises</t>
  </si>
  <si>
    <t>On the eve of Brazil’s presidential election, a new Pew Research Centre poll shows that most Brazilians are feeling upbeat about their economy and pleased with Brazil’s role in world affairs. A quarter of those polled said Brazil is already one of the most powerful countries in the world and 53 percent said it eventually would be.                                                                                        “At a time when global publics are mostly glum about the way things are going in their countries, half of Brazilians say they are satisfied with national conditions, and 62 percent say their nation’s economy is in good shape,” the study said. Of the 22 national populations included in this year’s Pew Global Attitudes survey, only the Chinese were more positive about economic conditions and where their country is heading. In the United States, only 24 percent of those surveyed said the U.S. economy was good.                                                                                              “Now Brazilians are enjoying the fruits of economic success. Poverty has decreased and the economy is growing,” said Paolo Sotero, director of the Brazil Institute of the Woodrow Wilson Center. “People are satisfied.”                                                                                                                                   But that’s not to say they don’t worry about problems. Eighty-five percent and eighty-three percent, respectively, said that illegal drugs and crime are very serious problems in Brazil. Corrupt political leaders, social inequality and pollution were among the other top challenges that those surveyed identified. Blacks were more likely than whites and those of mixed race to view social inequality as a major challenge. Seventy-seven percent of blacks described it as such while only sixty-three percent of whites did.                                                                                                         Eight-in-ten Brazilians said President Luìz Inàcio Lula da Silva’s influence on the way things are going in Brazil is positive. Respondents overwhelmingly endorsed (81 percent) his Bolsa Familìa initiative, which gives cash incentives to poor families for keeping their children in school and getting them vaccinated.                                                                                                                                                     Even though Brazilians feel positively about the way their globe-trotting president is handling world affairs, many disagreed with him on the best approach to Iran and its nuclear weapons program. Eighty-five percent were opposed to Iran’s acquiring nuclear weapons and of those who were opposed sixty-five percent said they were willing to consider tougher sanctions to prevent Iran from developing such weapons. Lula has opposed additional international sanctions.                                                                                                                                                              Without taking the candidacy of Dilma Rousseff – the front runner in Sunday’s election – into consideration, seven in ten Brazilians said it would be a good thing for a woman to be elected president. But many, (66 percent) said that said that men still get more opportunities for high-paying jobs- even when women are qualified for the positions.                                                                           The poll, which was carried out in April and May, surveyed 1,000 Brazilians</t>
  </si>
  <si>
    <t>North Korea’s decision to hold party leadership elections next week is further evidence that 2010 is proving a watershed year in the affairs of the world’s most secretive dictatorship. Kim Jong-il, the long-serving and supposedly ailing chief panjandrum of Pyongyang, is not going to surrender power just yet. But for him, 2010 has become a year of living dangerously.                                   The “elections”, involving Workers’ party delegates from around the country, are more of a shakeup of the existing power structure than a genuine contest to renew the ageing oligarchy around Kim. Most regional analysts expect that Kim’s youngest son, Kim Jong-un, will be given a prominent civilian and perhaps also a military role, thereby lining him up for a third-generation dynastic succession, at the latest by 2012.                                                                                          The hazards for Kim inherent in this mooted transition are as numerous as they are opaque. If he is ill – he reportedly suffered a stroke in 2008 – any move to promote his son could be interpreted internally as a potentially terminal admission of weakness. Already there is speculation that his sister, Kim Kyong-hui, cast as a sort of oriental Lady Macbeth, is manoeuvring for power at the expense of her inexperienced nephew.                                                                            It’s equally possible that Kim has a problem with the million-man military, by far the country’s most powerful institution. If so, it wouldn’t be the first time. After taking power in 1994 on the death of his father, Kim is said to have faced an army mutiny and an attempt on his life. He learned then the importance of keeping the generals happy.                                                                                   His mishandling of the country’s impoverished economy, a disastrous attempt at currency reform, recent severe flooding, this year’s imposition of tougher international sanctions and the nuclear talks stand-off with the west are all additional factors contributing to the pressure on Kim – pressure that could culminate in an unpredictable showdown next week.                                              Yet it’s not all doom and gloom. Contradicting most precedents, this looming crunch moment appears, for now at least, to be producing a softer line from Pyongyang. The North recently called for a resumption of military talks with Seoul and a new round of nuclear negotiations. It released an American prisoner during a visit by former US president Jimmy Carter and agreed to recommence cross-border family reunions. It also accepted food aid from South Korea. Carter said he “received clear, strong signals” that the North wanted to end its international isolation and conclude a peace treaty with South Korea and the U.S. American policy makers also appear to be moving away from confrontation, not least because the Cheonan incident showed how easy it would be to get involved in a full-scale shooting war. U.S. secretary of state Hilary Clinton reportedly believes sanctions and military containment are not enough; Washington and its allies must find ways to re-engage with Pyongyang, she argued recently. Looked at this way, it’s conceivable that next week’s summit could mark a benign turning point rather than another fraught step towards the abyss – that Kim’s year of living dangerously may turn out to be a catalyst for North Korea’s prospective rehabilitation</t>
  </si>
  <si>
    <t>You read the news about that poor football player, right? The University of Pennsylvania lineman who killed himself? And the autopsy, which showed that his head had been rattled by all those blows over the years? And the fact that the damage may have caused depression and lack of impulse control, which may have resulted in his suicide?                                                                   Now, what do you do with this information?                                                                                                                      If history is any guide, we seem to veer between overreaction and under reaction - all while defining our own response as “moderate”. There is an inherent hypocrisy in our attempts to control our odds – putting the organic veggies (there is no actual data proving that organic foods increase longevity) in the trunk of our car (researchers tell us there is “evidence” but not “proof” that car emissions accelerate heart disease), then checking our email on our cell phone at the next red light (2,600 traffic deaths a year are caused by drivers using cell phones, according to a Harvard study).                                                                                                                                  And while we certainly make constant (mis)calculations in our adult lives, we seem all the more determined yet befuddled when it comes to the safety of our children. For instance, the five things most likely to cause injury to children up to age 18, according to the Centers for Disease Control and Prevention, are: car accidents, homicide (usually at the hands of someone they know), child abuse, suicide or drowning. And what are the five things that parents are most worried about (according to surveys by the Mayo Clinic)? Kidnapping, school snipers, terrorists, dangerous strangers and drugs.                                                                                                   “Parents are just bad at risk assessment,” said Christie Barnes, a mother of four and the author of “The Paranoid Parents Guide.” “We are constantly overestimating rare dangers while underestimating the common ones.”                                                                                                                 “The least safe thing you can do with your child, statistically, is drive them somewhere,” said Lenore Skenazy, author of “Free-Range Kids,” a manifesto preaching a return to the day when children were allowed to roam on their own. “Yet every time we put them in the car we don’t think, ‘Oh God, maybe I should take public transportation instead, because if something happened to my kid on the way to the orthodontist I could never forgive myself.’”                                  Perversely, our worry seems to be increasing at a time when actual risk is decreasing.  “Homicide is down, kidnapping is down, traffic deaths are down,” Ms. Barnes said. What is up, however, is measurement. It seems as if there’s a statistic for everything, and many of the numbers change from one study to the next. This means we are increasingly being asked to be expert in areas where even the experts aren’t certain.                                                                                  There is no question that children get hurt playing football. The sport accounts for 22 percent of all concussions among 8- to 19 –year –olds; 27 percent of football players ages 12 through 17 have had at least one concussion. That will not be news to any mother who has squinted through her fingers as her son is tackled on a Saturday afternoon. What will be news, though, is last week’s link between teenage football and chronic traumatic encephalopathy, which is what Boston University researchers found in the brain of Owen Thomas, 21, the Penn student who killed himself in April.                                                                                                                                                                  So far, there is only one case. Still, what is a parent to do? “Some people may look at this study and say, ‘That’s it, Johnny; you’re taking up chess,’” said Dr. Perl, who stressed that he was speaking as an experienced neuro-pathologist and not on behalf of the Department of Defense.                                                                                                                                                                “Right now I don’t know that it’s calculable, but it’s estimable,” Dr.Perl said, adding he wouldn’t venture to make an estimate. “And you can’t really make a recommendation based on one case. So it’s up to a young player’s parents to decide.”</t>
  </si>
  <si>
    <t>1. Malcolm Mclaren differed from most music managers in that;</t>
  </si>
  <si>
    <t>3. The thief responsible for stealing the letters is said to be</t>
  </si>
  <si>
    <t>7. The writer upholds the view that</t>
  </si>
  <si>
    <t>9. The film “Murder on Beacon Hill”</t>
  </si>
  <si>
    <t>11. The writer draws our attention to the fact that</t>
  </si>
  <si>
    <t>13. According to the article, the World people’s Conference on Climate Change is expected to</t>
  </si>
  <si>
    <t>15. The report from the New Economics Foundation argues that</t>
  </si>
  <si>
    <t>17. One of the reasons put forward in the article for the linking of progress with consumption is that</t>
  </si>
  <si>
    <t>19. According to the article, General Petraeus is mindful of the connection between</t>
  </si>
  <si>
    <t>21. According to the article, the regulatory agencies</t>
  </si>
  <si>
    <t>23. The police protests in Ecuador are said to have</t>
  </si>
  <si>
    <t>25. It could be said that the general attitude of Brazilians to their economy</t>
  </si>
  <si>
    <t>27. The article claims that the elections in North Korea next week could result in</t>
  </si>
  <si>
    <t>29. The article makes the point that the dangers that parents fear</t>
  </si>
  <si>
    <t xml:space="preserve">2. Throughout his career, Mclaren sought to; </t>
  </si>
  <si>
    <t>4. According to the article, Madagascar’s leader, Andry Rajoelina</t>
  </si>
  <si>
    <t>8. The woeful aspect of Zimbabwe’s education system that the writer points to is</t>
  </si>
  <si>
    <t>12. In summary, the writer makes the point that</t>
  </si>
  <si>
    <t>14. Bolivia’s United Nations Ambassador Pablo Solòn expresses that</t>
  </si>
  <si>
    <t>16. The idea of ‘decoupling’ suggests that</t>
  </si>
  <si>
    <t>18. One of the features of the ‘steady state economy’ would be</t>
  </si>
  <si>
    <t>20. For the most part, Petraeus and members of Congress appear to</t>
  </si>
  <si>
    <t>22. The Agriculture Secretary Tom Vilsack believes that</t>
  </si>
  <si>
    <t>24. The article claims that the president</t>
  </si>
  <si>
    <t>26. According to the article</t>
  </si>
  <si>
    <t>28. The writer suggests that President Kim Jong-il’s actions and decisions over the past year could</t>
  </si>
  <si>
    <t>30. In the book “Free-Range Kids”, the author</t>
  </si>
  <si>
    <t>a) He was concerned only with the revenue</t>
  </si>
  <si>
    <t>a) Afraid of heights</t>
  </si>
  <si>
    <t>a) The achievements of Zimbabwe have been completely overwhelmed by inflation and unemployment</t>
  </si>
  <si>
    <t>a) Was originally intended to be shown in cinemas</t>
  </si>
  <si>
    <t>a) There is a discrepancy between what is officially said and what is officially done regarding cycling</t>
  </si>
  <si>
    <t>a) Be a failure</t>
  </si>
  <si>
    <t>a) We need to find an alternative to consumption as we know it</t>
  </si>
  <si>
    <t>a) It is difficult to control consumption</t>
  </si>
  <si>
    <t>a) U. S political influences and successful military outcomes</t>
  </si>
  <si>
    <t>a) Have rapidly heeded the warning about the link between antibiotic use in animals and antibiotic resistance in humans</t>
  </si>
  <si>
    <t>a) Caused a political crisis</t>
  </si>
  <si>
    <t>a) Is more positive than the attitudes of other populations to their economies</t>
  </si>
  <si>
    <t>a) A complete change of the power structure in North Korea</t>
  </si>
  <si>
    <t>a) Reflect the real situation</t>
  </si>
  <si>
    <t>a) Live up to the expectations of the public</t>
  </si>
  <si>
    <t>a) Owned a nightclub</t>
  </si>
  <si>
    <t>a) That it is free</t>
  </si>
  <si>
    <t>a) In European cities, cultural heritage has played an important role as to whether or not cycling has become a popular form of transport</t>
  </si>
  <si>
    <t>a) The conference will consist of lengthy discussions</t>
  </si>
  <si>
    <t>a) We need to reduce economic growth in order to reduce the negative side effects such as pollution</t>
  </si>
  <si>
    <t>a) More free time</t>
  </si>
  <si>
    <t>a) Have a strained relationship</t>
  </si>
  <si>
    <t>a) The use of antibiotics in animals should be subject to stricter controls</t>
  </si>
  <si>
    <t>a) Was unnerved by the protests</t>
  </si>
  <si>
    <t>a) Many Brazilians support President Lula da Silva’s opposition to additional sanctions on Iran</t>
  </si>
  <si>
    <t>a) Contribute to a positive outcome</t>
  </si>
  <si>
    <t>a) Advocates children having more independence</t>
  </si>
  <si>
    <t>b) Most of his business ventures failed</t>
  </si>
  <si>
    <t>b) An opportunist</t>
  </si>
  <si>
    <t>b) The achievements of Zimbabwe are worthy of note</t>
  </si>
  <si>
    <t>b) Attitudes to cycling will influence the next election</t>
  </si>
  <si>
    <t>b) Influence the UN climate talks</t>
  </si>
  <si>
    <t>b) We must maintain our levels of consumption if we are to thrive</t>
  </si>
  <si>
    <t>b) Consumption habits are changing</t>
  </si>
  <si>
    <t>b) U.S. foreign policy and successful military outcomes</t>
  </si>
  <si>
    <t>b) Have ignored the warning about the link between antibiotic use in animals and antibiotic resistance in humans</t>
  </si>
  <si>
    <t>b) Ensured that the president will dissolve parliament</t>
  </si>
  <si>
    <t>b) Not as positive as the general attitude in the U.S</t>
  </si>
  <si>
    <t>b) Several of the current party delegates being replaced</t>
  </si>
  <si>
    <t>b) Coincide with increasing risks</t>
  </si>
  <si>
    <t>b) Join a political movement</t>
  </si>
  <si>
    <t>b) That it is necessary to study in the evenings</t>
  </si>
  <si>
    <t>b) A British politician has advocated that pro-cycling measures be taken in England</t>
  </si>
  <si>
    <t>b) Ordinary people must be able to influence issues regarding climate change</t>
  </si>
  <si>
    <t>b) It is possible to deal more adeptly with the negative side effects of economic growth</t>
  </si>
  <si>
    <t>b) More job responsibility</t>
  </si>
  <si>
    <t>b) Be on good terms</t>
  </si>
  <si>
    <t>b) The use of antibiotics in animals is already being carried out in a responsible manner</t>
  </si>
  <si>
    <t>b) Was demoralized by the protests</t>
  </si>
  <si>
    <t>b) Many Brazilians disagree with President Lula da Silva’s Bolsa Familìa initiative</t>
  </si>
  <si>
    <t>b) Provoke a confrontation with the U.S</t>
  </si>
  <si>
    <t>b) Encourages the use of public transport</t>
  </si>
  <si>
    <t>c) Avoid categorization</t>
  </si>
  <si>
    <t>c) Has eliminated corruption from Madagascar’s political arena</t>
  </si>
  <si>
    <t>c) That Zimbabwe is not reaping the rewards of an educated populace</t>
  </si>
  <si>
    <t>c) Cycling is now popular in the European cities in which steps have been taken to encourage it</t>
  </si>
  <si>
    <t>c) No agreements are expected to be reached</t>
  </si>
  <si>
    <t>c) It is not possible to deal with the negative side effects of economic growth</t>
  </si>
  <si>
    <t>c) Increased financial capital</t>
  </si>
  <si>
    <t>c) Misunderstand each other</t>
  </si>
  <si>
    <t>c) Ms. Slaughter’s bill should be implemented</t>
  </si>
  <si>
    <t>c) Did not give in to the protesters</t>
  </si>
  <si>
    <t>c) Many Brazilians are angry about President Lula da Silva’s frequent travelling</t>
  </si>
  <si>
    <t>c) Make it very difficult for Washington to re-engage with North Korea</t>
  </si>
  <si>
    <t>c) Points out that the increasing worry of parents is justified</t>
  </si>
  <si>
    <t>c) He was very conservative</t>
  </si>
  <si>
    <t>c) Looking for charcoal cooking stoves</t>
  </si>
  <si>
    <t>c) Mugabe’s rule has proved that Africans cannot rule themselves</t>
  </si>
  <si>
    <t>c) Involves the viewer</t>
  </si>
  <si>
    <t>c) An increasing number of cycling lanes are being put to use</t>
  </si>
  <si>
    <t>c) Be an ambitious undertaking</t>
  </si>
  <si>
    <t>c) Consumption is necessary in order to perpetuate growth</t>
  </si>
  <si>
    <t>c) Consumption is generally decreasing</t>
  </si>
  <si>
    <t>c) Political activity by residents in the area of operations and successful military outcomes</t>
  </si>
  <si>
    <t>c) Deny there is a link between antibiotic use in animals and antibiotic resistance in humans</t>
  </si>
  <si>
    <t>c) Added to a political crisis</t>
  </si>
  <si>
    <t>c) Corresponds with the general attitude around the world</t>
  </si>
  <si>
    <t>c) A change of responsibility for some of the current party delegates</t>
  </si>
  <si>
    <t>c) Are not always realistic</t>
  </si>
  <si>
    <t>d) We must resign ourselves to the idea of growth</t>
  </si>
  <si>
    <t>d) We can keep track of consumption</t>
  </si>
  <si>
    <t>d) Understanding the Congress and successful military outcomes</t>
  </si>
  <si>
    <t>d) Have not hurried to react to the warning about the link between antibiotic use in animals and antibiotic resistance in humans</t>
  </si>
  <si>
    <t>d) Received a lot of public support</t>
  </si>
  <si>
    <t>d) Shows a desire to emulate China</t>
  </si>
  <si>
    <t>d) The resignation of President Kim Jong-il</t>
  </si>
  <si>
    <t>d) Prove that young people and children need to be careful</t>
  </si>
  <si>
    <t>d) Perform in the Houses of Parliament</t>
  </si>
  <si>
    <t>d) Faces disunity</t>
  </si>
  <si>
    <t>d) That Zimbabweans were encouraged to use education as an escape from poverty</t>
  </si>
  <si>
    <t>d) Cycling has become universally popular in some European cities by chance</t>
  </si>
  <si>
    <t>d) World leaders need make firm decisions regarding climate change</t>
  </si>
  <si>
    <t>d) Resistance to economic growth will increase in the future</t>
  </si>
  <si>
    <t>d) More material luxuries</t>
  </si>
  <si>
    <t>d) Take advantage of each other</t>
  </si>
  <si>
    <t>d) The F.D. A. should enforce its guidelines</t>
  </si>
  <si>
    <t>d) Took the protests seriously</t>
  </si>
  <si>
    <t>d) Many Brazilians would support steps taken to prevent Iran’s obtaining nuclear weapons</t>
  </si>
  <si>
    <t>d) Cause the cancellation of the peace treaty with South Korea</t>
  </si>
  <si>
    <t>d) Discusses the dangers of driving</t>
  </si>
  <si>
    <t>d) Cycling and walking are correctly referred to together as “green” methods of transport</t>
  </si>
  <si>
    <t>d) Enable the impoverished to be heard</t>
  </si>
  <si>
    <t>d) He was concerned with more than just the remuneration</t>
  </si>
  <si>
    <t>d) An established entreprenuer</t>
  </si>
  <si>
    <t>d) The achievements of Zimbabwe are inconsequential</t>
  </si>
  <si>
    <t>11. What can be inferred from this conversation?</t>
  </si>
  <si>
    <t xml:space="preserve">12. What does the man mean? </t>
  </si>
  <si>
    <t xml:space="preserve">13. What does the woman mean? </t>
  </si>
  <si>
    <t xml:space="preserve">14. What does the woman mean? </t>
  </si>
  <si>
    <t>15. What does the woman mean?</t>
  </si>
  <si>
    <t xml:space="preserve">16. What does the woman mean? </t>
  </si>
  <si>
    <t xml:space="preserve">17. What does the woman mean? </t>
  </si>
  <si>
    <t xml:space="preserve">18. What did the woman mean? </t>
  </si>
  <si>
    <t xml:space="preserve">19. What will the man probably do? </t>
  </si>
  <si>
    <t>20. What does the woman mean?</t>
  </si>
  <si>
    <t>21. What happened to president Obama’s offer to Iran?</t>
  </si>
  <si>
    <t>22. What will be investigated?</t>
  </si>
  <si>
    <t>23. What caused the phone lines to be so busy?</t>
  </si>
  <si>
    <t>24. Which of the statements below is true according to what you have heard?</t>
  </si>
  <si>
    <t>25. What can be said about Teresa Lewis?</t>
  </si>
  <si>
    <t>26. Which of the following statements is correct?</t>
  </si>
  <si>
    <t>28. What does paper money depend on?</t>
  </si>
  <si>
    <t>29. What can be said about Bosnia?</t>
  </si>
  <si>
    <t>30. What can be said about Jerome Kerviel?</t>
  </si>
  <si>
    <t>31. What can be said about President Saakashvili?</t>
  </si>
  <si>
    <t>32. Which statement is correct according to the extract?</t>
  </si>
  <si>
    <t>33. Which statement is correct according to the extract?</t>
  </si>
  <si>
    <t>34. Which statement is true about Mario Vargas Llosa?</t>
  </si>
  <si>
    <t>35. Which statement is correct according to what you have heard?</t>
  </si>
  <si>
    <t>36. Choose the correct statement</t>
  </si>
  <si>
    <t>38. What did President Obama stress?</t>
  </si>
  <si>
    <t>40. What does the Government want to do?</t>
  </si>
  <si>
    <t>EXAMEN 5</t>
  </si>
  <si>
    <t>EXAMEN 5/MP3/Q-01 EXAMEN 5.mp3</t>
  </si>
  <si>
    <t>EXAMEN 5/MP3/Q-02 EXAMEN 5.mp3</t>
  </si>
  <si>
    <t>EXAMEN 5/MP3/Q-03 EXAMEN 5.mp3</t>
  </si>
  <si>
    <t>EXAMEN 5/MP3/Q-04 EXAMEN 5.mp3</t>
  </si>
  <si>
    <t>EXAMEN 5/MP3/Q-05 EXAMEN 5.mp3</t>
  </si>
  <si>
    <t>EXAMEN 5/MP3/Q-06 EXAMEN 5.mp3</t>
  </si>
  <si>
    <t>EXAMEN 5/MP3/Q-07 EXAMEN 5.mp3</t>
  </si>
  <si>
    <t>EXAMEN 5/MP3/Q-08 EXAMEN 5.mp3</t>
  </si>
  <si>
    <t>EXAMEN 5/MP3/Q-09 EXAMEN 5.mp3</t>
  </si>
  <si>
    <t>EXAMEN 5/MP3/Q-10 EXAMEN 5.mp3</t>
  </si>
  <si>
    <t>EXAMEN 5/MP3/Q-11 EXAMEN 5.mp3</t>
  </si>
  <si>
    <t>EXAMEN 5/MP3/Q-12 EXAMEN 5.mp3</t>
  </si>
  <si>
    <t>EXAMEN 5/MP3/Q-13 EXAMEN 5.mp3</t>
  </si>
  <si>
    <t>EXAMEN 5/MP3/Q-14 EXAMEN 5.mp3</t>
  </si>
  <si>
    <t>EXAMEN 5/MP3/Q-15 EXAMEN 5.mp3</t>
  </si>
  <si>
    <t>EXAMEN 5/MP3/Q-16 EXAMEN 5.mp3</t>
  </si>
  <si>
    <t>EXAMEN 5/MP3/Q-17 EXAMEN 5.mp3</t>
  </si>
  <si>
    <t>EXAMEN 5/MP3/Q-18 EXAMEN 5.mp3</t>
  </si>
  <si>
    <t>EXAMEN 5/MP3/Q-19 EXAMEN 5.mp3</t>
  </si>
  <si>
    <t>EXAMEN 5/MP3/Q-20 EXAMEN 5.mp3</t>
  </si>
  <si>
    <t>EXAMEN 5/MP3/Q-21 EXAMEN 5.mp3</t>
  </si>
  <si>
    <t>EXAMEN 5/MP3/Q-22 EXAMEN 5.mp3</t>
  </si>
  <si>
    <t>EXAMEN 5/MP3/Q-24 EXAMEN 5.mp3</t>
  </si>
  <si>
    <t>EXAMEN 5/MP3/Q-25 EXAMEN 5.mp3</t>
  </si>
  <si>
    <t>EXAMEN 5/MP3/Q-26 EXAMEN 5.mp3</t>
  </si>
  <si>
    <t>EXAMEN 5/MP3/Q-27 EXAMEN 5.mp3</t>
  </si>
  <si>
    <t>EXAMEN 5/MP3/Q-28 EXAMEN 5.mp3</t>
  </si>
  <si>
    <t>EXAMEN 5/MP3/Q-29 EXAMEN 5.mp3</t>
  </si>
  <si>
    <t>EXAMEN 5/MP3/Q-30 EXAMEN 5.mp3</t>
  </si>
  <si>
    <t>EXAMEN 5/MP3/Q-31 EXAMEN 5.mp3</t>
  </si>
  <si>
    <t>EXAMEN 5/MP3/Q-32 EXAMEN 5.mp3</t>
  </si>
  <si>
    <t>EXAMEN 5/MP3/Q-33 EXAMEN 5.mp3</t>
  </si>
  <si>
    <t>EXAMEN 5/MP3/Q-34 EXAMEN 5.mp3</t>
  </si>
  <si>
    <t>EXAMEN 5/MP3/Q-35 EXAMEN 5.mp3</t>
  </si>
  <si>
    <t>EXAMEN 5/MP3/Q-36 EXAMEN 5.mp3</t>
  </si>
  <si>
    <t>EXAMEN 5/MP3/Q-37 EXAMEN 5.mp3</t>
  </si>
  <si>
    <t>EXAMEN 5/MP3/Q-38 EXAMEN 5.mp3</t>
  </si>
  <si>
    <t>EXAMEN 5/MP3/Q-39 EXAMEN 5.mp3</t>
  </si>
  <si>
    <t>EXAMEN 5/MP3/Q-40 EXAMEN 5.mp3</t>
  </si>
  <si>
    <t>7. What is the woman asking?</t>
  </si>
  <si>
    <t>8. What does the woman mean?</t>
  </si>
  <si>
    <t>9. What does the man need to show the woman in order to exchange the oven?</t>
  </si>
  <si>
    <t>12. What will the woman probably do?</t>
  </si>
  <si>
    <t xml:space="preserve">14. What does the man mean? </t>
  </si>
  <si>
    <t>16. What does the woman mean?</t>
  </si>
  <si>
    <t>17. What does the woman mean?</t>
  </si>
  <si>
    <t xml:space="preserve">18. What can be inferred from the conversation? </t>
  </si>
  <si>
    <t>19. What has happened?</t>
  </si>
  <si>
    <r>
      <t>D. Finding</t>
    </r>
    <r>
      <rPr>
        <sz val="11"/>
        <color rgb="FF333333"/>
        <rFont val="Calibri"/>
        <family val="2"/>
        <scheme val="minor"/>
      </rPr>
      <t xml:space="preserve"> a job is easier now that the recession is over</t>
    </r>
  </si>
  <si>
    <t xml:space="preserve">A. Alan needs to buy tickets for the match. </t>
  </si>
  <si>
    <t xml:space="preserve">A. I have a Master's degree in Chinese cooking. </t>
  </si>
  <si>
    <t xml:space="preserve">A. The intelligence unit has not made progress lately. </t>
  </si>
  <si>
    <t xml:space="preserve">A. Gold is very expensive now. </t>
  </si>
  <si>
    <t>A. It’s not easy to meet people these days.</t>
  </si>
  <si>
    <t>A. We noticed that some of the classes were cancelled.</t>
  </si>
  <si>
    <t>A. How high are your goals for the people at the bay?</t>
  </si>
  <si>
    <t>A. The administration may not be telling the complete truth.</t>
  </si>
  <si>
    <t>A. Proof of purchase.</t>
  </si>
  <si>
    <t>A. He will not be spending the summer in Greece.</t>
  </si>
  <si>
    <t>A. She is from the same town as him.</t>
  </si>
  <si>
    <t>A. Call a technician.</t>
  </si>
  <si>
    <t xml:space="preserve">A. They are going to put the tent up together.                                                                              </t>
  </si>
  <si>
    <t xml:space="preserve">A. The father has a higher rank than his son.                                                                       </t>
  </si>
  <si>
    <t>A. The equipment was probably very expensive.</t>
  </si>
  <si>
    <t>A. Jack’s new job is a joke.</t>
  </si>
  <si>
    <t>A. She is losing too much weight.</t>
  </si>
  <si>
    <t>A. Tom made a mess of the speech.</t>
  </si>
  <si>
    <t xml:space="preserve">A. Both speakers have passed the test. </t>
  </si>
  <si>
    <t>B. Alan doesn ’ t want to take you to the match.</t>
  </si>
  <si>
    <t xml:space="preserve">B. I demonstrated Chinese cooking to students for five years. </t>
  </si>
  <si>
    <t xml:space="preserve">B. The intelligence unit is looking for allies. </t>
  </si>
  <si>
    <t xml:space="preserve">B. Gold is used in many rocket components. </t>
  </si>
  <si>
    <t>B. Rising inflation has frozen many people’s salaries.</t>
  </si>
  <si>
    <t xml:space="preserve">B. All classes must be paid whether you attend or not. </t>
  </si>
  <si>
    <t>B. How can you get people to do what you say?</t>
  </si>
  <si>
    <t>B. Some people are being accused of tax evasion.</t>
  </si>
  <si>
    <t>B. The guarantee.</t>
  </si>
  <si>
    <t>B. The weather is always fair in Greece.</t>
  </si>
  <si>
    <t>B. She goes home with him in his car.</t>
  </si>
  <si>
    <t>B. Turn up the brightness.</t>
  </si>
  <si>
    <t xml:space="preserve">B. They are going to create a tent.                                                                                      </t>
  </si>
  <si>
    <t xml:space="preserve">B. The son is more successful than his father.                                                                 </t>
  </si>
  <si>
    <t>B. Dan was very lucky to have such good skis.</t>
  </si>
  <si>
    <t>B. Jack isn’t making a lot of money in his new job.</t>
  </si>
  <si>
    <t>B. The economy doesn’t effect her.</t>
  </si>
  <si>
    <t>B. Tom made a terrific speech.</t>
  </si>
  <si>
    <t>B. The man believes he has failed the test.</t>
  </si>
  <si>
    <t>C. Alan often forgets things.</t>
  </si>
  <si>
    <t xml:space="preserve">C. I can't cook Chinese food very well. </t>
  </si>
  <si>
    <t xml:space="preserve">C. The intelligence unit has found some terrorists. </t>
  </si>
  <si>
    <t xml:space="preserve">C. Gold is very cheap now. </t>
  </si>
  <si>
    <t>C. People cannot afford to buy meat.</t>
  </si>
  <si>
    <t>C. If you cancel class in time, you will not have to pay.</t>
  </si>
  <si>
    <t>C. How are you planning to dispose of waste?</t>
  </si>
  <si>
    <t>C. The government is trying to prevent harassment.</t>
  </si>
  <si>
    <t>C. The original box.</t>
  </si>
  <si>
    <t xml:space="preserve">C. He has to work this summer. </t>
  </si>
  <si>
    <t>C. She has known him for a long time.</t>
  </si>
  <si>
    <t xml:space="preserve">C. Turn down the brightness. </t>
  </si>
  <si>
    <t xml:space="preserve">C. They are going to shift the tent.                                                                                           </t>
  </si>
  <si>
    <t xml:space="preserve">C. The father and son have followed a similar path.                                                                    </t>
  </si>
  <si>
    <t>C. Dan can afford to ski in Switzerland.</t>
  </si>
  <si>
    <t>C. Jack will receive a promotion at the end of the month.</t>
  </si>
  <si>
    <t>C. She has spent far too much money.</t>
  </si>
  <si>
    <t>C. Tom’s speech was well-received.</t>
  </si>
  <si>
    <t>C. The woman believes she has failed the test.</t>
  </si>
  <si>
    <t>D. You should not go with Alan to the match.</t>
  </si>
  <si>
    <t>D. I can cook great Chinese food.</t>
  </si>
  <si>
    <t>D. The intelligence unit will discover a cell soon.</t>
  </si>
  <si>
    <t>D. Gold is necessary for space engineering.</t>
  </si>
  <si>
    <t xml:space="preserve">D. It’s becoming harder for people to get by on their salary. </t>
  </si>
  <si>
    <t xml:space="preserve">D. Someone was overcharged for the classes.  </t>
  </si>
  <si>
    <t xml:space="preserve">D. What are you offering the people who work for you? </t>
  </si>
  <si>
    <t>D. The governing powers are seeking more information.</t>
  </si>
  <si>
    <t>D. The name of the person who sold it to him.</t>
  </si>
  <si>
    <t>D. He is working on a plan to spend the summer in Greece.</t>
  </si>
  <si>
    <t xml:space="preserve">D. She has some information for him. </t>
  </si>
  <si>
    <t xml:space="preserve">D. Turn off the computer. </t>
  </si>
  <si>
    <t>D. They can’t stay there for the night.</t>
  </si>
  <si>
    <t>D. The father and his son are different.</t>
  </si>
  <si>
    <t>D. Swiss skis are the best.</t>
  </si>
  <si>
    <t>D. Jack’s new job is a dream come true.</t>
  </si>
  <si>
    <t xml:space="preserve">D. She needs to be careful about spending money.  </t>
  </si>
  <si>
    <t>D. Tom’s speech had no beginning or end.</t>
  </si>
  <si>
    <t>D. The test was extremely difficult.</t>
  </si>
  <si>
    <t>D. The company are not planning to replace the project manager when she leaves</t>
  </si>
  <si>
    <t>D.  Are clever and entertaining at heart</t>
  </si>
  <si>
    <t>D. Voters are undecided about the issues in the election</t>
  </si>
  <si>
    <t>D. Evacuation is a regular occurrence in the Tower</t>
  </si>
  <si>
    <t>D. The expedition is similar to several others heading for Gaza</t>
  </si>
  <si>
    <t xml:space="preserve">D. There is a shortage of trainers among army personnel </t>
  </si>
  <si>
    <t>D. Obama’s variety of measures</t>
  </si>
  <si>
    <t>D. Countries in need have access to combination therapy</t>
  </si>
  <si>
    <t>D. They would like to convince others to make billions</t>
  </si>
  <si>
    <t>D. The passengers were all from New Zealand</t>
  </si>
  <si>
    <t>D. Citizens are worried about gun control</t>
  </si>
  <si>
    <t>D. There are only three banks operating in Afghanistan</t>
  </si>
  <si>
    <t>D. The speaker remembers the singer clearly  in the sixties</t>
  </si>
  <si>
    <t>D. The system is fairer in times of recession</t>
  </si>
  <si>
    <t xml:space="preserve">D. They  charge reasonable amounts for their services </t>
  </si>
  <si>
    <t xml:space="preserve">D. The UN wants  the referendum to take place as soon as possible   </t>
  </si>
  <si>
    <t>D. Obama is tense because of other problems he has</t>
  </si>
  <si>
    <t>D. A French worker was killed</t>
  </si>
  <si>
    <t>D. Give out food stamps if people lose weight</t>
  </si>
  <si>
    <t>D. They must make way for hydrology</t>
  </si>
  <si>
    <t>D. The BBC is investigating torture in Poland</t>
  </si>
  <si>
    <t>C. The project manager had a hard time fulfilling her responsibilities</t>
  </si>
  <si>
    <t>C. Convince women to send them money</t>
  </si>
  <si>
    <t>C. Politicians should act quickly</t>
  </si>
  <si>
    <t>C. There was a fire drill in the Eiffel Tower</t>
  </si>
  <si>
    <t>C. The Israeli authorities will not object to it docking in Gaza</t>
  </si>
  <si>
    <t>C. The exit strategy has failed</t>
  </si>
  <si>
    <t>C. Positive results from car companies</t>
  </si>
  <si>
    <t xml:space="preserve">C. Combination therapy is still not available to all </t>
  </si>
  <si>
    <t>C. They have no social conscience</t>
  </si>
  <si>
    <t>C. The crash occurred in New Zealand</t>
  </si>
  <si>
    <t>C. People feel the outlook for their children is grim</t>
  </si>
  <si>
    <t>C. People distrust face-to-face contact with banks</t>
  </si>
  <si>
    <t>C. The speaker’s memories of the Australia tour are vague</t>
  </si>
  <si>
    <t>C. Students will be partially subsidized by the government</t>
  </si>
  <si>
    <t>C. Most of them started in the undertaking business</t>
  </si>
  <si>
    <t>C. The referendum will avoid the division of the country</t>
  </si>
  <si>
    <t>C. The US killed three Pakistani soldiers</t>
  </si>
  <si>
    <t>C. British diplomats are attacked every six months</t>
  </si>
  <si>
    <t>C. Make people consume fewer sugary drinks</t>
  </si>
  <si>
    <t>C. They affect rainfall in far-away regions</t>
  </si>
  <si>
    <t>C. The War on Terror did not reach Europe</t>
  </si>
  <si>
    <t>B. The next project manager will have difficulty in maintaining the same standards</t>
  </si>
  <si>
    <t>B. Always pose as American army officers</t>
  </si>
  <si>
    <t>B.  The property market is improving</t>
  </si>
  <si>
    <t>B. French authorities fear a terrorist attack</t>
  </si>
  <si>
    <t>B. It is carrying people who object to the Israeli blockade</t>
  </si>
  <si>
    <t>B. The handover to Afghan troops will take place very soon</t>
  </si>
  <si>
    <t>B. How much was paid in bail-outs</t>
  </si>
  <si>
    <t>B. Combination therapy cures HIV patients</t>
  </si>
  <si>
    <t>B. They want to meet their counterpart in China</t>
  </si>
  <si>
    <t>B. The pilots are accused of manslaughter</t>
  </si>
  <si>
    <t>B. In 1994 presidents were more popular than now</t>
  </si>
  <si>
    <t>B. People have no confidence in the banking system</t>
  </si>
  <si>
    <t>B. Joan Sutherland was too big for the stage</t>
  </si>
  <si>
    <t>B. They will be forced to increase tuition fees</t>
  </si>
  <si>
    <t>B. Their sector has been reformed by the office of fair trading</t>
  </si>
  <si>
    <t>B. Sudan has suffered about ten years of civil war</t>
  </si>
  <si>
    <t>B. The Taliban wish to be reconciled with Pakistan</t>
  </si>
  <si>
    <t>B. A diplomat was seriously injured</t>
  </si>
  <si>
    <t>B. Prevent people from using food stamps to buy drinks</t>
  </si>
  <si>
    <t>B. Hydrology is slightly affected by them</t>
  </si>
  <si>
    <t>B. Poland practiced torture immediately before joining the EU</t>
  </si>
  <si>
    <t>A. The project manager will be sad to leave the company</t>
  </si>
  <si>
    <t>A. Are similar to their rivals</t>
  </si>
  <si>
    <t>A. The vote in Congress takes place in less than two months</t>
  </si>
  <si>
    <t>A. 1000 tourists had to get out quickly</t>
  </si>
  <si>
    <t>A. The boat is headed for Cyprus</t>
  </si>
  <si>
    <t>A. The head of NATO sent a message to Afghan officials</t>
  </si>
  <si>
    <t>A. The handling of the recession</t>
  </si>
  <si>
    <t>A. Access to HIV drugs is in line with objectives</t>
  </si>
  <si>
    <t>A. They have given billions of dollars to China</t>
  </si>
  <si>
    <t>A. Human error caused the crash</t>
  </si>
  <si>
    <t>A. People are tired of Bill Clinton</t>
  </si>
  <si>
    <t>A. Thirty three per cent of people have a bank account</t>
  </si>
  <si>
    <t>A. Joan Sutherland was sixty when she toured Australia</t>
  </si>
  <si>
    <t>A. They lost a billion pounds in two years</t>
  </si>
  <si>
    <t>A. They have been the target of criticism and complaints</t>
  </si>
  <si>
    <t>A. A referendum will take place when both sides have marked their territory</t>
  </si>
  <si>
    <t>A. The US  have launched attacks on Pakistani soldiers</t>
  </si>
  <si>
    <t>A. A grenade hit a convoy of British soldiers</t>
  </si>
  <si>
    <t>A. Prevent poor people from entering bars</t>
  </si>
  <si>
    <t>A. They will soon disappear</t>
  </si>
  <si>
    <t>A. The CIA uncovered a secret network of prisons</t>
  </si>
  <si>
    <t>22. Which statement is correct?</t>
  </si>
  <si>
    <t>23. Which statement is correct?</t>
  </si>
  <si>
    <t>25. Which statement is true?</t>
  </si>
  <si>
    <t>26. The outcome of the elections will be determined by</t>
  </si>
  <si>
    <t>27. Which statement is correct according to the annual report?</t>
  </si>
  <si>
    <t>28. What can be said about Bill Gates and Warren Buffet?</t>
  </si>
  <si>
    <t>29. Which statement is correct?</t>
  </si>
  <si>
    <t>30. The speaker says that …</t>
  </si>
  <si>
    <t>31. What can be said about Afghanistan?</t>
  </si>
  <si>
    <t>32. What impression do we get from the extract?</t>
  </si>
  <si>
    <t>33. Which statement is correct about universities in England?</t>
  </si>
  <si>
    <t>34. Which statement is true about the insolvency professionals?</t>
  </si>
  <si>
    <t>35. Which statement is correct according to the report?</t>
  </si>
  <si>
    <t xml:space="preserve">36. Which statement is correct? </t>
  </si>
  <si>
    <t>37. Which statement is true according to the report?</t>
  </si>
  <si>
    <t>38. What does Michael  Bloomberg want to do?</t>
  </si>
  <si>
    <t>40. Which of the following statements is true?</t>
  </si>
  <si>
    <t>39. What can be said about rainforests?</t>
  </si>
  <si>
    <t>LAGUNA PEREZ, JAVIER</t>
  </si>
  <si>
    <t>21. Nigerian gangsters…</t>
  </si>
  <si>
    <t>24. What can be said about The Irene?</t>
  </si>
  <si>
    <t>EXAMEN 5/MP3/Q-23 EXAMEN 5.mp3</t>
  </si>
  <si>
    <t xml:space="preserve">Liam Fox made a good first impression at the Ministry of Defence. The department has been subjected to upheaval and uncertainty thanks to a revolving door of ministers. Dr Fox said he intended to stay for five years as Secretary of State. He also earned kudos from the staff by avoiding cheap jibes about his Labour predecessors.                                                                                         
 Now comes the hard part. Dr. Fox will have to deal with a Strategic Defence Review with the three service chiefs fiercely competing for their share of a reduced cake. The fudge with the Liberal Democrats in the pre-nuptial agreement for the coalition government over Trident will have to be addressed. But, as Dr. Fox said on taking office, the priority is Afghanistan.                         
 The new Defence Secretary takes over at a time when the role of British troops in Helmand is going through fundamental changes, the main one being that they will be reporting from 1 June to Major General Richard Mills of the US Marine Corps, instead of Major General Nick Carter of the British Army.                                                                                                                                           There will, undoubtedly, be criticism of the passing of command after all the sacrifices that have been made in Helmand. But the reality on the ground is that the Americans will be taking the lead in large-scale missions in the future as they did recently in Marjah. Under the circumstances, it is unsurprising that they should want to be in overall charge.                                                                  
British troops will focus on protecting populated areas where reconstruction is taking place. This was the strategy of General Sir David Richards, the British officer then commanding NATO forces in Afghanistan, which was undermined when UK forces were sent to fight the Taliban in outlying areas such as Sangin and Musa Qala, triggering the insurgency still flaming across the province.                                                                                                                                                           The transfer of command is a done deal, although it has yet to be officially confirmed. The next part of the plan of General Stanley McChrystal, the head of NATO’s Afghan force, is not. He wants British forces to move from Helmand to Kandahar to replace the outgoing Canadians. Washington has even offered to underwrite a sizeable part of the substantial costs. The previous government and the head of the military, Air Chief Marshal Sir Jock Stirrup, were all adamantly opposed to the Kandahar move. General Richards, now head of the Army, and a number of senior officers would like a feasibility study to be carried out before any decision is made. The Kandahar option would be a bold move for the new government and may assuage some of the rancor with the Americans over the hasty withdrawal, against their wishes, from Basra. The chances of Dr. Fox’s Liberal Democrat partners agreeing to this, with many of the party membership intrinsically opposed to the war itself, appear to be pretty slim
</t>
  </si>
  <si>
    <t xml:space="preserve">It has been a quiet few weeks in the offices of Britain’s biggest union, Unite, while its abrasive political director, Charlie Whelan, as been away helping with Labour’s election campaign. But that was a lull that could not last. Unite must now decide whether or how to deploy its financial muscle in the Labour  Party  leadership election. It also has a leadership election of its own looming and, for the second time in five months, it has been told by a High Court that it does not know how to hold a strike ballot without breaching the law.  It has caused some bemusement that a union so closely tied to the Labour Party should want to hold a strike that will provoke so much outrage among air travelers. Twenty days’ disruption by British Airways cabin crews – which could still happen despite the union’s setbacks in court – will make the name of Unite so notorious that it could threaten to be the kiss of death to whichever Labour leadership candidate the union endorses. By the same token, last December’s planned strike, which would have meant misery for anyone planning to fly away for Christmas, could have done untold damage to Labour’s election prospects, had it not been barred by a High Court. And yet Unite is Labour’s biggest financial backer. 
The key to this apparent contradiction is that Unite is so large and fragmented that a more apt name for it would be Disunite. It is not a monolith but an amalgam of unions brought together in a two-headed monster run by competing general secretaries, Tony Woodley and Derek Simpson.                                                                      One of its many components is the British Airlines Stewards and Stewardesses Association. (Bassa), to which 90 per cent of BA’s cabin crew belong and whose members have twice voted overwhelmingly to strike because of their long running dispute with British Airways.
 “The Bassa tail is wagging the Unite dog,” BA’s chief executive, Willie Walsh complained in yesterday’s Times. He added: “I urge Tony Woodley and Derek Simpson to assert their authority.”                                                               That assumes that the general secretaries have an authority to assert. Bassa is a self-contained unit within the conglomeration, with its own history and culture. BA’s cabin crews see Unite as an outside body paid to give professional back up to Bassa’s shop stewards, and since that advice had led to two unfavourable court judgements, some are wondering whether they are getting their money’s worth.                                                                                                                              But for many of Unite’s full time officials, what really matters right now is not the BA dispute, nor the future of the Labour Party, but who will be their new general secretary when Mr. Woodley, 62 and Mr. Simpson, 65 retire and their posts are combined. The election is due this year.                                                                    With this election looming, there will not be much spare energy inside Unite to devote to the Labour leadership but it is assumed that Charlie Whelan will be intent on delivering victory for Ed Balls, who was Gordon Brown’s economic adviser when Mr. Whelan was Brown’s personal spin doctor, and is expected to announce his candidacy for the Labour leadership today.
It is sometimes assumed that Unite has a vast block vote to hand to its favoured candidate. This is not true. Union members vote individually, by post, and the support of a union boss does not automatically deliver any votes. In the 2007 deputy leadership, Unite backed Jon Cruddas, who came third. Even so, Unite’s support guarantees that its chosen candidate will be able to fight a well-funded campaign, and that hundreds and thousands of Unite members will receive communications from their union in his support
</t>
  </si>
  <si>
    <t xml:space="preserve">Voters in Britain’s second most hotly contested election this year will begin casting their votes later this week, with Oxford University hoping to consign to history the controversy and ill-feeling engendered by its last, aborted search for a Professor of Poetry.                                                
Although the position carries a meager stipend of 6,901 pounds, the prospect of joining the ranks of previous incumbents such as WH Auden, Robert Graves and Seamus Heaney has attracted a field of 11 candidates.
 The early favorite to win the five-year post is the eminent poet and critic Geoffrey Hill, who has the support of top Oxford academics and a suitably long and well-regarded canon of work behind him. But there could be the odd surprise along the way – not least in the form of biographer and journalist Roger Lewis, whose seasonal Suicide Notes is regarded as one of the funniest books of last year.                                                                                                                              Whoever wins will be hoping that his or her success draws a line under the unsavoury fallout caused by the selection process last year, which saw the leading candidate- Nobel Laureate Derek Walcott – dramatically pull out of the contest after he became the victim of an anonymous smear campaign which resurrected allegations of sexual misconduct against him. The eventual winner was Ruth Padel, a distant relative of Charles Darwin and the first woman to hold the professorship. But she was forced to resign after just a week in the job, despite vehemently denying any involvement in the attempts to discredit Mr. Walcott.
Since then, the position has remained empty while Oxford University set about overhauling the rules of engagement for the contest in an attempt to increase turnout from a recent average of just 500 voters.                                                                                                                                           The main innovation this year has been the addition of an online ballot system, which it is hoped will allow far greater numbers of the estimated 200,000 members of Convocation- a body which includes all matriculated Oxford students who have had their degree formally conferred, as well as current or retired members of the university’s Congregation or parliament- to have their say. Dr. Seamus Perry, deputy chair of the English Faculty board, which hosts the chair, described the candidate field as “large and extremely diverse” and said that many more nominations had been received than usual.                                                                     “The new voting procedures were designed to involve more people in the election of the Professor, because we recognize that while poetry matters to academics, it matters a lot more to many people who aren’t academics too,” he said.
</t>
  </si>
  <si>
    <t xml:space="preserve">Cesc Fabregas’ birth certificate says he is 23 but everyone in football knows it is a gross understatement.  Few better than Fabregas, it is now clear. No one’s time is infinite, of course, but the sense of this must be especially acute when you are so young and accomplished and you see so clearly the dispiriting fact that the years are slipping through your fingers like so many grains of sand.                                                                           Fabregas’ competitive maturity is so great, and his understanding that football can take away gifts as quickly as it gives them so profound, his Arsenal manager, Arsène Wenger, must know that he is now facing more than the restlessness of a recalcitrant young superstar. Fabregas is a superstar all right, someone in the bracket of Messi, Ronaldo and Rooney, but he is also besieged by the conviction that unlike those brilliant and equally precocious rivals he has waited too long for the fulfillment of brilliant talent.                                                                                             
Messi, Ronaldo and Rooney all know what it is to stockpile the satisfaction that comes with winning big trophies. They have all embraced some of the greatest prizes football offers, European, domestic league and cup titles. By comparison – and this is the problem that Wenger will not be able to talk away – he has just a couple of scraps. He won an FA Cup winners’ medal in a most forgettable match against Manchester United five years ago and his only other visit to a peak of the game was not with Arsenal but Spain in the 2008 European Championship, a tournament in which he featured sporadically as a substitute and from which he was withdrawn before the climax of the final game.                                                                             These have been poor pickings for maybe the most purely creative player in European football who now appears to see the future in going back to his beloved home town of Barcelona and the playing situation for which he has increasingly pined: the chance to play with a team capable of winning all the prizes. It is hard to imagine that the breaking point in his yearning did not come when he watched as Arsenal, albeit an injury-weakened one, were finally engulfed at Nou Camp last month.                                                                                                                 Wenger may feel the grief of a mentor contemplating the defection of his most prized protégé as he fights to keep Fabregas. He may imagine a waft of treachery but given his intelligence, the brilliant understanding of life and football he so often displays when not plunging down the vortex of a harsh defeat, he will also understand that not all contracts are composed of paper and ink.                                                                                                                                                     Some are born of an implicit understanding that one man’s dream – in Wenger’s case the building of a great team entirely on his own terms – can turn out to be another’s crushing disappointment. This surely will be the unshakeable reality when the master meets the virtuoso pupil and fights to keep the talent which in recent years has become utterly central to the club’s hopes of returning to the front rank of English and European football.
</t>
  </si>
  <si>
    <t xml:space="preserve">President Obama’s handling of the gulf oil spill has been disappointing. I say that not because I endorse the dishonest conservative critique that the gulf oil spill is somehow Obama’s Katrina and that he is displaying the same kind of incompetence that George W. Bush did after that hurricane. To the contrary, Obama’s team has done a good job coordinating the cleanup so far. The president has been on top of it from the start.                                                                                              
No, the gulf oil spill is not Obama’s Katrina. It’s his 9/11 – and it is disappointing to see him making the same mistake George W. Bush made with his 9/11. Sept. 11, 2001, was one of those rare seismic events that create the possibility to energize the country to do something really important and lasting that is too hard to do in normal times.                                                                                  
President Bush’s greatest failure was not Iraq, Afghanistan or Katrina. It was his failure of imagination after 9/11 to mobilize the country to get behind a really big initiative for nation-building in America. I suggested a $1-a-gallon “Patriot Tax” on gasoline that could have simultaneously reduced our deficit, funded basic science research, diminished our dependence on oil imported from the very countries whose citizens carried out 9/11, strengthened the dollar, stimulated energy efficiency and renewable power and slowed climate change. It was the Texas oilman’s Nixon-to China moment- and Bush blew it.                                                                Sadly, President Obama seems intent on squandering his environmental 9/11 with a Bush-level failure of imagination. So far, the Obama policy is: “Think small and carry a big stick.” He is rightly hammering the oil company executives. But he is offering no big strategy to end our oil addiction. Senators John Kerry and Joe Lieberman have unveiled their new energy bill, which the president has endorsed but only in a very tepid way. Why tepid? Because Kerry-Lieberman embraces vitally important fees on carbon emissions that the White House is afraid will be exploited by Republicans in the midterm elections. The G.O.P., they fear, will scream carbon “tax” at every Democrat who would support this bill, and Obama, having already asked Democrats to make a hard vote on health care, feels he can’t ask them for another.                                    
 I don’t buy it. In the wake of this historic oil spill, the right policy – a bill to help end our addiction to oil- is also the right politics. The people are ahead of their politicians. So is the U.S. military. There are many conservatives who would embrace a carbon tax or gasoline tax if it was offset by a cut in payroll taxes or corporate taxes, so we could foster new jobs and clean air at the same time. If Republicans label Democrats “gas taxers” then Democrats should label them “Conservatives for OPEC” or “Friends of BP.” Shill, baby, shill.                                                   
Obama is not just our super- disaster- coordinator. “He is our leader,” noted Tim Shriver, the chairman of Special Olympics. “And being a leader means telling the rest of us what’s our job, what do we need to do to make this a transformative moment.”
</t>
  </si>
  <si>
    <t xml:space="preserve">The resolution, circulated late on Tuesday, takes aim at Iran’s financial institutions, including those supporting the Islamic Revolutionary Guards Corps, which runs much of the nuclear program. It would also require countries to inspect ships or aircraft coming into or out of Iran if there are suspicions they are carrying banned materials.                                                                                            
Like the three resolutions that preceded it, it is probably not tough enough to change minds in Tehran. But the fact that Russia and China – Iran’s longtime enablers – have signed on is likely to make some players in Iran’s embattled government nervous. (We know we can’t wait to hear what changed Beijing’s mind.)                                                                                                              
Since 2006, Tehran has defied repeated demands from the Security Council to curb its nuclear program. It continues to churn out more nuclear fuel, block international inspectors from visiting suspect nuclear sites and refuses to answer questions about possible research into weapons designs.                                                                                                                                                      The 11th-hour agreement announced this week with the leaders of Brazil and Turkey was much like one reached with the big powers last fall. Iran would transfer about 2,640 pounds of its low-enriched uranium to Turkey within one month and receive- within one year- fuel rods for use in a medical research reactor.                                                                                                                          
The original deal was intended to measurably delay Iran’s progress toward a nuclear weapon while opening the door to serious negotiations. The current deal leaves Iran with too much fuel, puts no brakes on enrichment at a higher rate, lets Tehran take back the fuel stored in Turkey when it wants and makes no commitment to talks. Brazil and Turkey should join the other major players and vote for the Security Council resolution. Even before that, they should go back to Tehran and press the mullahs to make a credible compromise and begin serious negotiations.
</t>
  </si>
  <si>
    <t xml:space="preserve">At this point, Microsoft must have developed its own seminar for employees called something like Apologizing With Optimism: How to Persuade People to Give You Another Try.                                       
It seems like one product after another – Windows 7, Windows Phone 7, Bing and now a revamped Hotmail, due this summer – arrive with Microsoft admitting it could have done more with previous versions of its software, while promising people that things really are better this time around – honest. In fact, things are so good with Microsoft’s latest X that you’ll be willing to dump your beloved Y.                                                                                                                                              According to comScore and Microsoft’s estimates, Hotmail ranks as the top Web e-mail service worldwide with more than 360 million people using it. Yahoo trails with just north of 200 million people and Google follows with fewer than 200 million.                                                                                        
Of course, Hotmail suffers in the United States from a bit of a “perception problem,” as the Microsoft vice president Chris Jones put it. People perceive that Hotmail is plagued by spam, has underwhelming storage, is missing a lot of features and is basically yesteryear’s e-mail service.                                                                                                                                                                       The promise of a greater future – one which will have us all siphoning e-mail out of AOL, Yahoo, and Gmail accounts – revolves around Microsoft’s realization of “how different e-mail is these days,” Mr. Jones said.                                                                                                                              
Gone are those dark ages when you just swapped messages with co-workers and college chums. Everyone has e-mail and that means a flood of photos, documents, status updates, spam and shopping messages pouring into your personal inbox.                                                                
This summer, Microsoft will roll out a retooled Hotmail that filters messages into four buckets –mail from people you know, mail from social networks, personal business and spam. So, with a quick glance, you’ll be able to gauge which messages are most important to you – likely those from people you know – and act on them first. You can also click a button to hide unwanted stuff.                                                                                                                                                     Microsoft will add some new tools for viewing bulkier content like photos and documents as well. For one, it will let you flip through e-mailed photos in a slide show within Hotmail rather than forcing you to travel off to another Web site or choose whether to save or view photos.                            
A father of young children, Mr. Jones monitors school e-mail lists to try and get a sense of what services average folk use for their personal messages these days. This anecdotal research has him convinced that people have varied tastes in the services and that there’s plenty of room for Hotmail to grow, particularly if it can pluck people away from a vulnerable AOL or cable company accounts.                                                                                                                                       The rather clear overall message was that Microsoft is hip and with it when it comes to e-mail, not overrun by spam, and a provider of large inboxes and a place where social networks commingle with online document storage in some sort of blissfully productive and yet playful consumer/worker paradise.                                                                                                                                   
Or something like that.  
</t>
  </si>
  <si>
    <t xml:space="preserve">This year’s festival has been low on Hollywood stars, and the market feels flat. The weather is chill and the lineup spotty, and yet none of this matters – because God is coming to town. Jean-Luc Godard! Inside the Palais, the delegates recite his name like an incantation. Who cares if he is old and frail (79 last birthday?) So what if he says his latest work – Film Socialism – will be his last? If anyone is guaranteed to raise Cannes to the rafters, it is the revolutionary firebrand behind Breathless, Weekend and Contempt.                                                                             There are still some at this festival who can recall the heady days of May 1968, when Cannes was galvanized by the uprisings in Paris. They will tell you how Godard was at the vanguard of a gang of nine film-makers who stormed the festival hall and brought the event to a juddering halt. These directors came to rally support for the strikers and the students. The audience, however, thought they had come to burn the cinema down and proceeded to break for the exit. Cannes 68 was officially cancelled the following morning.                                                                Cannes 2010 is just a few days old. The man himself has yet to arrive but that’s OK, because a glance through the program suggests that the spirit of 1968 is alive and well. The lineup includes pointed political films from France, Italy, Africa and China, amid the usual crop of Hollywood blockbusters and B-movie rip-offs. It has become a Cannes tradition to balance its ticket, to offset the celebrity glitz with the sort of films that kick up a storm and clamour for action. The Rolls Royce cruise down the Croisette while the newspaper vendors cry “Libèration!” on the steps of the Palais.                                                                                                             The festival, in fact, sparked a diplomatic incident before it even began, courtesy of a film by Italian director and comedian Sabina Guzzanti. Draquila: Italy Trembles,is a grand, tub-thumping polemic in the style of Michael Moore, who won the Palme d’Or here in 2004 for Fahrenheit 9/11. Where Moore tackled Bush, Guzzanti targets Silvio Berlusconi, and his handling of the 2009 Aquila earthquake. She makes the case that he used the resulting crisis to crack down on civil liberties, forcing survivors into militarized tent cities while he embarked on a lucrative development project. Inevitably, her film has outraged the Italian government, prompting culture minister Sandro Bondi to boycott the festival. Draquila, he claims, is “propaganda that offends the truth of the entire Italian population”. </t>
  </si>
  <si>
    <t xml:space="preserve">Happily, there is no Amèlie in this year’s lineup. Instead, the big French picture looks set to be Hors la Loi (Outside the Law), a Palme d’Or contender that screens here on Friday. This is by the writer-director Rachid Bouchareb, his sequel to the acclaimed Days of Glory (2006). That film shamed the French government into restoring pensions for Algerian soldiers who fought for France in the Second World War; his new film examines the plight of Algerian refugees in Paris, including the notorious 1961 “massacre” after a pro-Front de Liberation Nationale demonstration. Government ministers have already lined up to lambast it as “an insult to France” and a tale that “falsifies history”. A rightwing protest is planned for the premiere.                          
 In the meantime, there is Lucy Walker’s anti-nuclear broadside, Countdown to Zero, and a plethora of films addressing the current financial meltdown. These run the gamut from Oliver Stone’s slick Wall Street sequel through crusading documentaries such as Cleveland vs Wall Street. Then there is the exhaustive and bizarrely gripping Inside Job. Director Charles Ferguson makes his debut with No End in Sight, which spotlighted the US occupation of Iraq; with Inside Job, he identifies a different kind of crime scene, buttonholing the culprits in their palatial boardrooms and forcing them to confess.                                                                                Waiting for Godard.                                                                                                                                             
On Monday morning, the sun comes out, and the crowds gather for Godard. It’s the moment we’ve been waiting for. Afterwards, there will be a press conference, but first comes the film; the master’s crowning political statement. We sit in the dark and watch it unfold, on a cruise ship tootling between Algiers and Egypt, Palestine and Odessa. From time to time, the singer Patti Smith takes to lugging her guitar around the ship’s deck and through the cabins. “Knife and art,” she tells us. “War.”                                                                                                                                 What is one to make of it all? You might argue that Godard intends his ship as a metaphor for western capital, sailing blithely through choppy global waters, but it’s hard to say. If this is the word of God, he needs to speak more clearly.                                                                                                           
Film Socialism wraps up with one last cue card. “No Comment”, it says, and this turns out to be prophetic. We rush to the press conference, but there is no press conference. Godard has bailed; his final act of mischief. Later he will release a statement in which he insists: “I will go until death for this festival, but I will not take a step more.” His non-appearance, he explains, is down to “problems of a Greek type.” No one seems quite sure what this means: is he expressing support for the Greek people, or could he not afford his fare?                                           
Outside the press area, the mood is one of insurrection. The hacks are outraged, the organizers reportedly incensed, and for a moment it’s like May 68 all over again. Then the mood dissipates, as swiftly as it sparked, and we file off down the stairs in search of something new. Godard has gone, but a fresh generation of film-makers has stepped in to pick up the baton.
</t>
  </si>
  <si>
    <t xml:space="preserve">The Paris commune, it is not. Not will anything resembling the basilica of the Sacrè Coeur be built one day over the bodies of the fallen redshirts at the Ratchaprasong intersection of Bangkok. If anything celebrates the return of order in Thailand, it will be another shopping mall. But such is liberal democracy’s antipathy to, or lingering fear of, revolution that its governing elites assume people have grown out of them, that the concept of political revolt is no longer in their DNA. Thailand’s slow-burning political crisis may teach them otherwise.                               The longer this crisis continues, and the harsher the methods used to contain it, the harder it becomes to characterize solely as a colour-coded clash between two mutually exclusive tribes, the urban and rural poor against an establishment elite of royalists, bureaucrats and military generals.                                                                                                                                                           The longer it goes on, the more the fate of 5,000 people, many of them women and children, in their city centre encampment, develops its own dynamic. They are moving out of the shadow of their backer, the ousted oligarch and former premier Thaksin Shinawatra. He is a convenient figure to blame, but the truth is that the protest is beyond his control. After the deaths of another 29 people, all of them civilians, in the last four days of clashes, the mood on both sides of the bamboo and tyre barricades has hardened. One thing is clear: even if Thailand’s military-backed government succeeds in wiping this unseemly blot of open dissent from Bangkok’s city centre, the country’s political order will never be the same. After five years, Thailand’s constitutional order, already dislocated by the prospect of its first royal succession in six decades, is facing a crisis of legitimacy that is nationwide.                                       Thailand is not Burma or China, and a bloodbath would do more than just paralyze south-east Asia’s second-largest economy and decimate its tourism. The Thai government cannot shoot its way back to political order and then pretend to hold elections as if nothing had happened. But the signs last night were ominous. Both sides were preparing for a fight to the finish. The government offered safe passage for the protesters to leave, but most vowed to stay to the end. We have seen this film before and it never ends well.  </t>
  </si>
  <si>
    <t xml:space="preserve">It was going to be the largest single charitable donation in Panama’s history: more than $50 million for poor children. Wilson Lucom, a US tycoon, left most of his estate to a foundation to help the neediest people in the country where he lived until his death in 2006, aged 88.                                    
Now, four years later, after a bitter legal battle, the fortune is going to one of Panama’s most powerful dynasties – including the ambassador to Britain – and the children have been left without a cent.                                                                                                                                                                  Panama’s supreme court declared Lucom’s will void in August, it has emerged, giving the entire estate to his widow, Hilda, the ailing, octogenarian matriarch of the Arias family, which has extensive media, property and financial interests. Her five children from a previous marriage – scions of a family which boasts former presidents as well as ministers and diplomats –are expected to inherit the money after she dies. Critics have accused the tycoon’s widow of greed and questioned the integrity of Panama’s judicial system.                                                                     
“That money could have helped a lot of children. If that family keeps it God will not forgive them,” said Hector Avila, head of a children’s charity. “In this country political and economic forces weigh more than justice.”                                                                                                                                 
The ruling was a triumph for the widow and her family after a bitter fight involving more than 20 legal firms, Interpol alerts and criminal charges against the lawyer representing the would-be charitable foundation. Both sides have continued trading accusations of corruption, smears and dirty tricks.                                                                                                                                                           Lucom was an unlikely champion of poor children. The son of a Pennsylvania gas station attendant, he was a diplomat before marrying an automobile heiress in 1954.They settled in Florida, where he backed conservative causes and helped found the group Accuracy in Media. In 1982, a year after his wife’s death, Lucom married Hilda Piza de Arias, the former wife of Gilberto Arias, a Panamanian politician, and in the 1990s they moved to Panama. Lucom, who never had children of his own, continued propagating radical beliefs, such as nuclear strikes to deter terrorism.                                                                                                                                                         The widow launched a legal battle against Richard Lehman, Lucom’s longtime lawyer and trustee of the would-be foundation. Lehman was charged with 15 criminal charges including negligent homicide in Lucom’s death, forgery, extortion and perfidy. He and a colleague were placed on an Interpol list. Lehman, who is based in Florida, said it was a smear campaign. “It is amazing what they did to me.”                                                                                                                            Several courts upheld the will as reflecting Lucom’s last wishes but Panama’s Supreme Court declared it void last month, arguing that Lucom’s reference to his “beloved wife” showed he really wanted her to inherit the estate, not poor children. Critics – including a former US ambassador – have in the past accused Panama’s justice system of favouring the rich and powerful.                                                                                                                                                                   “It’s a joke. They stole that money, it’s that simple,” said Lehman. “I’m sad and disgusted. Kids are starving and a few individuals have walked away with everything.”
</t>
  </si>
  <si>
    <t>The Palestinian leadership confirmed yesterday that it would not return to direct peace negotiations with the Israelis without an extension to the now-expired freeze on settlement construction, amid determined but increasingly frustrated efforts by the Americans to keep the talks alive. The executive committee of the Palestinian Liberation Organization met in Ramallah to consider its position following the end of the moratorium last weekend. Palestinian negotiators have said repeatedly that they would not stay at the negotiating table unless the freeze were extended, and that Israel must choose between settlements and peace. “The leadership confirms that the resumption of talks requires tangible steps, the first of them a freeze on settlements,” said Yasser Abed Rabbo, a senior PLO official, speaking after the meeting. “The Palestinian leadership holds Israel responsible for obstructing the negotiations.” Nabil Abu Rdainah, a spokesman for the Palestinian president, Mahmoud Abbas, said efforts had reached “a dead end”. “There will be no negotiations in the shadow of continued settlement,” Abu Rdainah said. “All the while Israel is not convinced that the political process be based on international law and justice, matters will remain in a state of paralysis for a long time.”                                                                                                                                                                        Abbas is unlikely to make a definitive statement on whether the Palestinians will formally withdraw from the talks until a meeting of the Arab League in the coming week. Originally scheduled for tomorrow, the meeting has already been moved to Wednesday and may be postponed again until Friday to give US negotiators more time to try to broker a deal. Prospects for a compromise on the issue of settlement building appear to be receding. The Israeli government is reported to have rejected a US proposal last week, under which the Americans offered a raft of guarantees – including increased military aid for Israel – in exchange for a 60-day extension.                                                                                                               Washington’s Middle East envoy, George Mitchell, and the EU’s foreign policy chief, Catherine Ashton, were both in Jerusalem and Ramallah last week in the attempt to bring the two sides closer together, without any apparent movement in positions.</t>
  </si>
  <si>
    <t>What does a defense authorization bill have to do with allowing undocumented young people to earn legal status in the United States? Many Republicans are asking that question. They point to another measure they also view as controversial: lifting the “don’t ask, don’t tell” military policy for gay recruits, also an amendment to the defense budget legislation. The Dream Act, which Senate Majority Leader Harry Reid has promised to include as part of the Defense Department’s authorization, has enjoyed bipartisan support for years, but never gained traction because of promises that it would be rolled into a major immigration reform. In 2007, a divided Senate pulled back its support for comprehensive immigration, and Mr. Reid dropped it.                                                                                                                                                    Now that the Democratic senator from Nevada faces a tough re-election battle in a state with a growing immigrant population he has promised to get a vote yea or nay as early as Tuesday. Predictably, Republicans are crying foul, and several Democrats from Southern or Midwestern states are also on the fence, worried that even the common sense approach of the Dream Act will quash their re-election chances back home. What a sad state of affairs. Stuck between the opportunism of election-year politics and the promise of the Dream Act are young people looking for senators to make the tough decisions.                                                                                               This one should be an easy call for senators: It would encourage about 65,000 undocumented students who graduate annually nationwide to go to college or join the military, which has been scrambling for recruits as the war on terror prolongs. It offers a path to legal status for young people who have been in the United States at least five years, have stayed out of trouble, are graduating high school and plan to go to college or serve in the military for at least two years. These young people did not cross a border illegally of their own volition. They were innocent bystanders. They are now expected to pay for their parents’ actions of entering or staying illegally in the United States.                                                                                                                            Most of these children have never returned to the country where they were born. They have assimilated into American society, becoming top students right here in South Florida like the Gomez brothers, whose parents were deported to Colombia. Given a chance, these are America’s future business people, scientists, doctors, nurses, teachers, generals. They would be paying into Social Security, too. As retired Gen. Colin Powell noted on Sunday on ‘Meet the Press’, “Without immigrants, America would be like Europe or Japan with an ageing population and no young people coming in to take care of it.”                                                                                                           As many as 800,000 young people could qualify for the Dream Act. It’s not only the moral thing to do – it’s in America’s economic interest to welcome them.</t>
  </si>
  <si>
    <t xml:space="preserve">Koro is used by 800 to 1,200 people in a remote area. The language had gone undetected by outsiders because its speakers shared cultural similarities with the speakers of Aka, a key language in the region. The previously unknown language has been uncovered in the far reaches of northeastern India, researchers reported Tuesday.                                                                                       
Koro, a tongue brand-new to the scientific world that is spoken by just 800 to 1,200 people, could soon face extinction as younger speakers abandon it for more widely used languages such as Hindi or English. Koro is unlike any language in the various branches of the Tibeto-Burman family, a collection of 400 related languages used by peoples across Asia, according to the two National Geographic fellows who announced the discovery. The findings will be published in the journal ‘Indian Linguistics’.                                                                                                                 The researchers, linguists K.David Harrison of Swarthmore College in Pennsylvania and Gregory D.S. Anderson, director of the Living Tongues Institute for Endangered Languages in Salem, Ore., said they are not sure yet how old Koro is or how it developed. But they believe it could yield a wealth of knowledge about the way humans develop and use language.                                             
The speakers of Koro had remained invisible to outside observers because their bright red garments, the rice beer they made and other details of their lives seemed no different from that of the speakers of Aka, the socially dominant language in the region, Harrison said. “There’s a sort of cultural invisibility; they’re culturally identical in what they wear, what they eat, the houses they live in…. They just happen to have a different word for everything,” Harrison said. Koro also blends in because its speakers frequently marry Aka speakers (who number 4,000 to 6,000) and people who use another tongue, Miji (who number 6,000 to 8,000). And because the villages had been largely cut off from the outside world for so long, the languages in the region remain poorly studied.                                                                                      The linguists say there are still many mysteries they hope to unravel, such as why the speakers  don’t seem to notice how vastly different their languages are, and how the Koro speakers, who seem to blend in with Aka speakers in every other way, have managed to preserve their distinct language for so long. The answers, said the linguists, are probably related to the community’s relative isolation from the rest of the world.                                                                            
Now globalization is ending that isolation, and it may end Koro’s existence, too. In many families, the parents speak Koro while the children speak Hindi, the politically dominant language in India. Few Koro speakers are younger than 20.                                                                          
The endangerment of languages such as Koro threatens more than a loss to history, anthropology and human cognitive studies, Harrison said. Speakers in remote regions that contain rich ecological diversity hold knowledge as yet untapped by science.                                              
“They’ve learned to live sustainably in harsh environments. The knowledge they have about the medicinal use of plants is uniquely encoded in a way that cannot be translated,” he said. 
</t>
  </si>
  <si>
    <t xml:space="preserve">1. What has been the cause of the turmoil in the Ministry of Defence? </t>
  </si>
  <si>
    <t xml:space="preserve">3. The explanation for the inconsistency in the liaison between Labour and Unite appears to be; </t>
  </si>
  <si>
    <t>5. In keeping with the writer’s description, the most appropriate adjective for the landscape of Belle-Ile would be</t>
  </si>
  <si>
    <t xml:space="preserve">7. The writer makes the comment that; </t>
  </si>
  <si>
    <t>9. It appears that the problem that Fabregas is facing is that;</t>
  </si>
  <si>
    <t>11. In the writer’s opinion, both Obama and Bush have been disappointing in their response to disaster as;</t>
  </si>
  <si>
    <t xml:space="preserve">13. The writer raises the point that what is most liable to make Iran uneasy is; </t>
  </si>
  <si>
    <t xml:space="preserve">15. According to Chris Jones, the Microsoft vice president, Hotmail is seen by many Americans as; </t>
  </si>
  <si>
    <t xml:space="preserve">17. The writer gives the impression that among those attending the Cannes Film Festival, Jean-Luc Godard is; </t>
  </si>
  <si>
    <t xml:space="preserve">19. Previous Cannes Film Festivals have ; </t>
  </si>
  <si>
    <t xml:space="preserve">21. The writer advocates that; </t>
  </si>
  <si>
    <t xml:space="preserve">23. The article claims that; </t>
  </si>
  <si>
    <t xml:space="preserve">25. The Palestinian negotiators would be prepared to continue talks with the Israelis if; </t>
  </si>
  <si>
    <t xml:space="preserve">27. The article states that; </t>
  </si>
  <si>
    <t xml:space="preserve">29. The researchers are interested in Koro because; </t>
  </si>
  <si>
    <t>2. The writer suggests that a possible result of moving British forces to Kandahar would be;</t>
  </si>
  <si>
    <t xml:space="preserve">4. In regard to the election of the Labour leadership, the writer claims that; </t>
  </si>
  <si>
    <t xml:space="preserve">6. The writer took pleasure in visualizing Sarah Bernhardt </t>
  </si>
  <si>
    <t>8. The upgraded voting procedures allow</t>
  </si>
  <si>
    <t>10. The writer offers the suggestion that should Fabregas leave the team, Wenger will react with;</t>
  </si>
  <si>
    <t xml:space="preserve">12. The writer asserts that most conservatives; </t>
  </si>
  <si>
    <t>14. The arrangement between Iran, Brazil and Turkey appears to;</t>
  </si>
  <si>
    <t>16.  In the upcoming version of Hotmail, messages will be ;</t>
  </si>
  <si>
    <t xml:space="preserve">18. From the article, we can deduce that Cannes thrives on; </t>
  </si>
  <si>
    <t xml:space="preserve">20. We could say that Godard’s latest film leaves the writer feeling; </t>
  </si>
  <si>
    <t xml:space="preserve">22. The article draws our attention to the fact that; </t>
  </si>
  <si>
    <t xml:space="preserve">24. Panama’s Supreme Court made its decision based on; </t>
  </si>
  <si>
    <t xml:space="preserve">26. The article suggests that in conclusion;  </t>
  </si>
  <si>
    <t xml:space="preserve">28. The majority of the children of illegal immigrants; </t>
  </si>
  <si>
    <t xml:space="preserve">30. It could be said that one of the remarkable features of Koro is; </t>
  </si>
  <si>
    <t>a) A high turnover of ministers.</t>
  </si>
  <si>
    <t>a) That Labour never supports the strikes organised by Unite.</t>
  </si>
  <si>
    <t>a) Striking.</t>
  </si>
  <si>
    <t>a) Oxford University is planning to cash in on the controversy surrounding the last attempt to elect a Professor of Poetry.</t>
  </si>
  <si>
    <t>a) He hasn’t had the opportunity to utilize his talent to the full.</t>
  </si>
  <si>
    <t>a) They haven’t considered the bigger picture.</t>
  </si>
  <si>
    <t>a) Unified pressure by the major powers.</t>
  </si>
  <si>
    <t>a) Very user friendly.</t>
  </si>
  <si>
    <t>a) Revered as much for his previous exploits as for his films.</t>
  </si>
  <si>
    <t>a) Caused the French Government to try to ban the festival.</t>
  </si>
  <si>
    <t>a) The recent political situation in Thailand could have confounded the Thai governing elite.</t>
  </si>
  <si>
    <t>a) Lucom’s decision to leave his fortune to poor children has been heavily criticized.</t>
  </si>
  <si>
    <t>a) The freeze on settlement construction was lifted.</t>
  </si>
  <si>
    <t>a) The Republicans behaved as expected.</t>
  </si>
  <si>
    <t>a) It is very old.</t>
  </si>
  <si>
    <t>a) That it would win the new government popularity.</t>
  </si>
  <si>
    <t>a) It is a current priority for Unite.</t>
  </si>
  <si>
    <t>a) In a court session.</t>
  </si>
  <si>
    <t>a) The general public to participate in the voting.</t>
  </si>
  <si>
    <t>a) A lack of understanding.</t>
  </si>
  <si>
    <t>a) Are opposed to gasoline or carbon taxes.</t>
  </si>
  <si>
    <t>a) Reassure western leaders.</t>
  </si>
  <si>
    <t>a) Securely protected from viruses.</t>
  </si>
  <si>
    <t>a) Glitz and glamour.</t>
  </si>
  <si>
    <t>a) Baffled.</t>
  </si>
  <si>
    <t>a) Pockets of dissent are rapidly appearing all over Thailand.</t>
  </si>
  <si>
    <t>a) A phrase used in the writing of the will.</t>
  </si>
  <si>
    <t>a) It seems very likely that an agreement will be reached regarding settlement construction</t>
  </si>
  <si>
    <t>a) Yearn for the country in which they were born.</t>
  </si>
  <si>
    <t>a) It has survived intact despite its speakers mixing with speakers of other languages.</t>
  </si>
  <si>
    <t>b) A high number of ministers on revolving shifts.</t>
  </si>
  <si>
    <t>b) That it is due to the divisions within and size of Unite.</t>
  </si>
  <si>
    <t>b) Tranquil.</t>
  </si>
  <si>
    <t>b) Oxford University prefers to put the controversy surrounding the last attempt to elect a Professor of Poetry behind it</t>
  </si>
  <si>
    <t>b) His ambitions outweigh his ability.</t>
  </si>
  <si>
    <t>b) Neither have reacted immediately when disaster has struck.</t>
  </si>
  <si>
    <t>b) Problems in its financial institutions.</t>
  </si>
  <si>
    <t>b) Having excessive storage.</t>
  </si>
  <si>
    <t>b) Thought to have been responsible for the burning down of the cinema at a previous Cannes Film Festival.</t>
  </si>
  <si>
    <t>b) Swayed the actions of the French Government.</t>
  </si>
  <si>
    <t>b) There is a marked comparison between the historical uprising in Paris and the recent uprising in Thailand.</t>
  </si>
  <si>
    <t>b) Lucom’s widow has received public support.</t>
  </si>
  <si>
    <t>b) The Israelis chose settlement over peace.</t>
  </si>
  <si>
    <t>b) In general, the Republicans support the Dream Act.</t>
  </si>
  <si>
    <t>b) It could help us to understand the relationship between humans and language.</t>
  </si>
  <si>
    <t>b) That it would encourage the Americans to withdraw.</t>
  </si>
  <si>
    <t>b) The candidate backed by Unite is almost certain to achieve victory.</t>
  </si>
  <si>
    <t>b) Painting</t>
  </si>
  <si>
    <t>b) Undergraduates to participate in the voting.</t>
  </si>
  <si>
    <t>b) Bitterness after feelings of betrayal.</t>
  </si>
  <si>
    <t>b) Would welcome gasoline or carbon taxes provided other taxes were reduced.</t>
  </si>
  <si>
    <t>b) Give Iran leeway.</t>
  </si>
  <si>
    <t>b) Categorized.</t>
  </si>
  <si>
    <t>b) The presence of famous people.</t>
  </si>
  <si>
    <t>b) Enraged.</t>
  </si>
  <si>
    <t>b) The majority of the protesters have accepted the government’s offer of a safe passage to leave.</t>
  </si>
  <si>
    <t>b) Knowledge of Lucom’s past.</t>
  </si>
  <si>
    <t>b) It seems unlikely that any new settlements will be built.</t>
  </si>
  <si>
    <t>b) Don’t adapt well to American life.</t>
  </si>
  <si>
    <t>b) It has gradually blended with the Aka language over a long period of time.</t>
  </si>
  <si>
    <t>c) An absence of a Secretary of State.</t>
  </si>
  <si>
    <t>c) That the two general secretaries are not competent.</t>
  </si>
  <si>
    <t>c) Manicured.</t>
  </si>
  <si>
    <t>c) Oxford University will give up searching for a Professor of Poetry</t>
  </si>
  <si>
    <t>c) His birth certificate is inaccurate.</t>
  </si>
  <si>
    <t>c) They have failed to claim any responsibility for the occurrence of disaster.</t>
  </si>
  <si>
    <t>c) The change in the stance of Russia.</t>
  </si>
  <si>
    <t>c) Free of spam.</t>
  </si>
  <si>
    <t>c) Not expected to arrive at the festival.</t>
  </si>
  <si>
    <t>c) Caused the French Government to change film censorship laws.</t>
  </si>
  <si>
    <t>c) It will be impossible to contain the recent uprising in Thailand.</t>
  </si>
  <si>
    <t>c) Lucom’s will cannot be contested.</t>
  </si>
  <si>
    <t>c) The suspension on settlement construction was prolonged.</t>
  </si>
  <si>
    <t>c) The Republicans behaved contrary to expectation.</t>
  </si>
  <si>
    <t>c) Its speakers are very different culturally to the speakers of other languages in the region.</t>
  </si>
  <si>
    <t>c) That it would make amends with the Americans regarding a thorny issue.</t>
  </si>
  <si>
    <t>c) The candidate backed by Unite will not lack financial support.</t>
  </si>
  <si>
    <t>c) Reciting her lines.</t>
  </si>
  <si>
    <t>c) Graduates to participate in the voting.</t>
  </si>
  <si>
    <t>c) Insight.</t>
  </si>
  <si>
    <t>c) Are refusing to pay corporate taxes.</t>
  </si>
  <si>
    <t>c) Prevent Iran from develping nuclear weapons.</t>
  </si>
  <si>
    <t>c) Automatically deleted if they are spam.</t>
  </si>
  <si>
    <t>c) Controversy.</t>
  </si>
  <si>
    <t>c) Wistful.</t>
  </si>
  <si>
    <t>c) The uprising in Thailand will have far-reaching political consequences.</t>
  </si>
  <si>
    <t>c) The request of a former US ambassador.</t>
  </si>
  <si>
    <t>c) The Israeli government has shown interest in the US proposal of increased military aid.</t>
  </si>
  <si>
    <t>c) Are participating in American life in a productive manner.</t>
  </si>
  <si>
    <t>c) Its speakers have always lived in isolation from speakers of other languages.</t>
  </si>
  <si>
    <t>d) That it would unite the politicians involved in a common agreement.</t>
  </si>
  <si>
    <t>d) The union boss will tell the members who to vote for.</t>
  </si>
  <si>
    <t>d) Chatting with friends.</t>
  </si>
  <si>
    <t xml:space="preserve">d) A narrower selection of people in general to participate in the voting.  </t>
  </si>
  <si>
    <t>d)  Feelings of hopelessness.</t>
  </si>
  <si>
    <t>d) Don’t believe that politics can provide the solution to dependency on oil.</t>
  </si>
  <si>
    <t>d) Ensure that Iran will commit to talks.</t>
  </si>
  <si>
    <t>d) Separated from photos.</t>
  </si>
  <si>
    <t>d) Showing political films only.</t>
  </si>
  <si>
    <t>d) c) Enthralled.</t>
  </si>
  <si>
    <t>d) c) Thailand’s constitutional order is impossible to disrupt.</t>
  </si>
  <si>
    <t xml:space="preserve">d) c) Concern over Lucom’s own children. </t>
  </si>
  <si>
    <t>d) It seems that the possibility of an agreement being reached is diminishing.</t>
  </si>
  <si>
    <t>d) Are putting a strain on the American economy.</t>
  </si>
  <si>
    <t xml:space="preserve">d) That it will remain unaffected by globalization. </t>
  </si>
  <si>
    <t xml:space="preserve">d) Jokes about former Labour ministers. </t>
  </si>
  <si>
    <t xml:space="preserve">d) That Unite has the power to overrule decisions made by the High Court. </t>
  </si>
  <si>
    <t>d) Tropical.</t>
  </si>
  <si>
    <t>d) Oxford University will increase the salary of the future Professor of Poetry.</t>
  </si>
  <si>
    <t>d) He cannot match the ability of either Messi, Ronaldo or Rooney.</t>
  </si>
  <si>
    <t>d) They have thought only of the far-reaching effects of their decisions.</t>
  </si>
  <si>
    <t xml:space="preserve">d) The opposition of China to the sanctions.  </t>
  </si>
  <si>
    <t>d) Outdated.</t>
  </si>
  <si>
    <t>d) Losing credibility among film-makers.</t>
  </si>
  <si>
    <t>d) Always inspired right-wing protests.</t>
  </si>
  <si>
    <t>d) The recent uprising in Thailand is solely a conflict between the poor and the establishment.</t>
  </si>
  <si>
    <t>d) Misgivings about Panama’s judicial system have been expressed.</t>
  </si>
  <si>
    <t xml:space="preserve">d) Existing settlements were destroyed. </t>
  </si>
  <si>
    <t>d) Most of the supporters of the Dream Act are from the Southern or Midwestern states.</t>
  </si>
  <si>
    <t>d) Younger speakers appear to be taking an interest in it.</t>
  </si>
  <si>
    <t xml:space="preserve">An hour after first setting foot on Belle-Ile-en-Mer in August in 1894, Sarah Bernhardt had bought an abandoned fort on the cliff top at la Pointe des Poulins. It was the start of a love affair that lasted 30 years. “I love Belle-Ile,” the actress told the London Telegraph in 1904. “For its solitude, its silence, its wildness, its fisherfolk, its transparent grey-green sea, its sky, now blue, now black….for the dreams, the ideals, and the beauty I find there.” 
Stepping off the ferry after the 45-minute crossing from Quiberon, itself dangling from the southern side of Brittany, I could see the draw: pastel houses with contrasting shutters, a pretty little port with visitors lunching in their moored launches, seafood restaurants and small shops selling Breton biscuits, local goats’ cheese and beautifully packaged tinned tuna. Warmed by the Gulf Stream, Belle-Ile has a sunnier disposition than mainland Brittany, only 15km away. The 5,000 inhabitants and 50,000 summer visitors have 58 beaches to enjoy and 100km of coastal paths to explore.  But the island is not all sweetness and light. The brutal beauty of the north-west coast is savage and inspiring. Rocky plateaux drop sharply into deep ravines, barnacles grip the sides of rock pools, sea-spray fountains up the cliffs. As red-billed choughs wheel overhead, the sea and the wind carve rocks into jagged needles. This is the scenery that Claude Monet painted in the 1800’s, a local Bellilois holding down his canvas to prevent the wind plucking it from his easel and hurling it into the sea. The island is a well-kept secret by the French: I’ve made several trips to Brittany but Belle-Ile has never been on my radar. This first visit was prompted by the recommendation of a friend from north-east France, and it proved to be a revelation.                                                                                                                Most of the ferries dock in Le Palais, the main town. A short walk through its back streets took me to L’Acadian hotel. Recently renovated, the guesthouse is in a secluded spot and yet close to the restaurants and nightlife. That evening I dined on freshly caught tuna at Le Goèland, a restaurant specializing in chargrilled fish, with a terrace overlooking the harbour. The local cuisine has much in common with the mainland: delicate lacy crêpes, moules frites and the traditional Far Breton - a dense, raisin-filled flan resembling a custard tart.                                                    
 Before I sailed back to the mainland, I spent a couple of hours exploring Sarah Bernhardt’s old haunts. The “Villa Lysiane”, named after her granddaughter, and the “Villa des Cinq Parties du Monde” were built for her entourage, which she called her “menagerie”. These stoned buildings have since opened as exhibition rooms, and an audio guide led me through Bernhardt’s extraordinary career: from humble beginnings through roles as Joan of Arc, Cleopatra, Phèdre and even Hamlet, to being awarded the Lègion d’honneur.                                              
 Back outside, I followed a path through the gorse down to the imposing, square, pinkish-grey stone fort that was Bernhardt’s former home. As I entered the cool interior, I took advantage of the peace and quiet to picture her holding court among her friends, working on a new sculpture or reading quietly on her chaise longue. Her love affair with Belle- Ile is one that many visitors will share.
</t>
  </si>
  <si>
    <t>EXAMEN 1/MP3/Q-01 EXAMEN 1.mp3</t>
  </si>
  <si>
    <t>EXAMEN 1/MP3/Q-02 EXAMEN 1.mp3</t>
  </si>
  <si>
    <t>EXAMEN 1/MP3/Q-03 EXAMEN 1.mp3</t>
  </si>
  <si>
    <t>EXAMEN 1/MP3/Q-04 EXAMEN 1.mp3</t>
  </si>
  <si>
    <t>EXAMEN 1/MP3/Q-05 EXAMEN 1.mp3</t>
  </si>
  <si>
    <t>EXAMEN 1/MP3/Q-06 EXAMEN 1.mp3</t>
  </si>
  <si>
    <t>EXAMEN 1/MP3/Q-07 EXAMEN 1.mp3</t>
  </si>
  <si>
    <t>EXAMEN 1/MP3/Q-08 EXAMEN 1.mp3</t>
  </si>
  <si>
    <t>EXAMEN 1/MP3/Q-09 EXAMEN 1.mp3</t>
  </si>
  <si>
    <t>EXAMEN 2/MP3/Q-01 EXAMEN 2.mp3</t>
  </si>
  <si>
    <t>EXAMEN 2/MP3/Q-02 EXAMEN 2.mp3</t>
  </si>
  <si>
    <t>EXAMEN 2/MP3/Q-03 EXAMEN 2.mp3</t>
  </si>
  <si>
    <t>EXAMEN 2/MP3/Q-04 EXAMEN 2.mp3</t>
  </si>
  <si>
    <t>EXAMEN 2/MP3/Q-05 EXAMEN 2.mp3</t>
  </si>
  <si>
    <t>EXAMEN 2/MP3/Q-06 EXAMEN 2.mp3</t>
  </si>
  <si>
    <t>EXAMEN 2/MP3/Q-07 EXAMEN 2.mp3</t>
  </si>
  <si>
    <t>EXAMEN 2/MP3/Q-08 EXAMEN 2.mp3</t>
  </si>
  <si>
    <t>EXAMEN 2/MP3/Q-09 EXAMEN 2.mp3</t>
  </si>
  <si>
    <t>A. I was looking for him when he found me</t>
  </si>
  <si>
    <t>B. I was looking for him for ages until I found him</t>
  </si>
  <si>
    <t>C. It will take a long time to find him</t>
  </si>
  <si>
    <t>D. I will look for him until I find him</t>
  </si>
  <si>
    <t>EXAMEN 6</t>
  </si>
  <si>
    <t>Politics are back but for the moment at least economics is on hold. The new parliament is functioning but the massive shift in economic policy that is about to occur is not yet upon us. We have to wait for the emergency budget on 22 June for that. Meanwhile, there will be an unnatural calm, a phony war, before the inevitable blitz is unleashed upon us. We know this will be unpleasant for we can see the outline of what will happen. But we cannot hope to see the detail, partly because none of us yet have the figures, and partly because it is hard to go from the general to the particular. We know that x billions have to come out of public spending and/or be added to taxation. But we cannot quite think through what this might mean.                                                                                                                                                           Even the structure of the debate has yet to take shape. We are still hearing the political language of the past. It is “seeking efficiencies”, or “preserving investment”, or “protecting from cuts”. It is language built up over a couple of generations during which, with a few brief interruptions, government revenues would rise reasonably steadily. The Government was in the position of an employee in a steady job, knowing he or she would get regular increases in the monthly salary even allowing for inflation. So the decisions were about apportioning that salary in a sensible way. There were little tweaks in the language with, for example, New Labour substituting the word “investment” for “spending”, and there were accounting changes such as getting private finance to pay for capital projects. But privatization apart, the key assumptions behind policy were unchanged.                                                                                                        All that will be swept away in the life of this Parliament. It could well turn out to be the first full-term parliament since the Second World War where government spending in its final year is lower in real terms than during its initial year. We have had hints of the difficulties ahead from George Osborne’s references to Greece. We have had the nice joke of the outgoing Chief Secretary leaving a note for his predecessor saying that there was no money left. We have had, just yesterday, the revelation that senior civil servants formally protested at government spending decisions in its final months of office as they feared these would not offer value for money. But even ahead of that we had the creation of the Office for Budget Responsibility, intended to give an independent check on the validity of Treasury forecasts.                                          So what will happen? Well, just as we will stumble towards new institutional arrangements to control our deficit, our politicians will stumble towards a new language to explain the changed nature of government. If the amount you can spend is going down, not up, you have to explain what governments can and cannot do. You have of course to be more open about the numbers but that is the easy bit. You could, I suppose heap some blame on your predecessors, but that does not really help. No, you have to explain why the proposition underlying Western politics since the Second World War –that governments can go on providing more services without significantly higher taxes – is wrong. That game is over. Demography and debts have ended it forever.</t>
  </si>
  <si>
    <t xml:space="preserve">Prior to the new parliament, decisions about spending focused on; </t>
  </si>
  <si>
    <t xml:space="preserve"> The writer concludes that; </t>
  </si>
  <si>
    <t xml:space="preserve">Beneath the subarctic forests of western Canada, deep under the peat bogs and herds of wild caribou, lies the tarry rock that is one of America’s top sources of imported oil.                                    There is no chance of a rig blowout here, or a deepwater oil spill like the one from the BP well that is now fouling the Gulf of Mexico. But the oil extracted from Canada’s oil sands poses other environmental challenges, like toxic sludge ponds, greenhouse gas emissions and the destruction of boreal forests.                                                                                                                                      In addition, critics warn that American regulators have waived a longstanding safety standard for the pipelines that deliver the synthetic crude oil from Canada to refineries in the United States and have not required any specific emergency plans to deal with a spill, which even regulators acknowledge is a possibility.                                                                                                               Oil sands are now getting more scrutiny as the Obama administration reviews a Canadian company’s request to build a new 2,000-mile underground pipeline that would run from Alberta to the Texas Gulf Coast and would significantly increase America’s access to the oil. In making the decision, due this fall, federal officials are weighing the environmental concerns against the need to secure a reliable supply of oil to help satisfy the nation’s insatiable thirst. The gulf accident adds yet another layer of complexity. Regulators and Congress are weighing new limits on drilling off the coastline after the Deepwater Horizon catastrophe, increasing the pressure to rely more heavily on Canada’s oil sands. At the same time, political consciousness of the risks has grown.                                                                                                                                  Canadian oil sands are expected to become America’s top source of imported oil this year, surpassing conventional Canadian oil imports and roughly equaling the combined imports from Saudi Arabia and Kuwait, according to IHS Cambridge Energy Research Associates, a consulting firm.                                                                                                                                                                         From a supply standpoint, there is much to recommend oil sands, also known as tar sands. Canada has 178 billion barrels of proven oil reserves, virtually all in oil sands. Only Saudi Arabia has more proven oil reserves.                                                                                                                                      In a world in which so many oil-producing nations are far away, unstable or hostile to the United States, Canadian oil sands hold great political appeal.                                                                          “It is undeniable that having a large supply of crude oil available by pipeline from a friendly neighbour is extremely valuable to the energy security of the United States,”said David L. Goldwyn, coordinator for international energy affairs at the State Department. The department is scheduled to decide this year whether to approve Keystone XL. </t>
  </si>
  <si>
    <t xml:space="preserve">It could be said that the extraction of oil from the oil-sands; </t>
  </si>
  <si>
    <t xml:space="preserve">One of the arguments that the writer puts forward in favour of the oil-sands is; </t>
  </si>
  <si>
    <t>The complaint says that from July 2007 to September 2009, the doctor, Anthony Galea, illegally distributed human growth hormone and the unapproved drug Actovegin to various athletes. It says that Galea also made false statements to federal authorities.                                                The complaint does not name the N.F.L. players but said that Galea’s clients included unidentified athletes from Major League Baseball and the PGA Tour.                                                            Galea has said Tiger Woods and Alex Rodriguez were among his patients, and he has maintained that he never provided performance-enhancing drugs to them or any other athlete. Galea has said he treated Woods with a blood-spinning therapy to help his recovery from hip surgery that took place in March 2009.                                                                                                 Woods has acknowledged being treated by Galea but has denied using performance-enhancing drugs. Rodriguez has told investigators for Major League Baseball that Galea treated him but that he did not use banned substances.                                                                                                    However, Galea’s assistant, who is cooperating with federal authorities, created a potentially troublesome issue for Rodriguez in her statements to the authorities, according to a person briefed on the investigation.                                                                                                                     According to that person, the assistant said that Galea injected Rodriguez with a cocktail of drugs on at least one occasion, although its ingredients were not known. In the complaint, the assistant says that Galea treated a number of athletes with a cocktail that included H.G.H., which is banned as a performance-enhancing drug by football, baseball and golf. But nothing in the complaint specifically links that assertion to Rodriguez.                                                                                The person spoke on the condition of anonymity so as not to jeopardize access to sensitive information.                                                                                                                                                                      The assistant, Mary Anne Catalano, told the authorities that she and Galea were headed to Washington to treat a Redskins player last September when she was stopped at the United States – Canada border with H.G.H. and Actovegin, prompting investigations in both countries. Calvin Barry, Catalano’s Canadian lawyer, declined comment on what his client told federal authorities and said she was likely to plead guilty and not serve prison time. A lawyer for Galea, Brian H. Greenspan, called the complaint disappointing in a statement released Tuesday night.                                                                                                                                                                         “It is regrettable that Dr. Galea, a world-renowned and respected sports medicine physician, now faces these further charges,” Greenspan said. “However, as this matter is now before the court, it is not proper to comment further.”</t>
  </si>
  <si>
    <t xml:space="preserve">Galea has upheld that; </t>
  </si>
  <si>
    <t>The person briefed on the investigation has asserted that;</t>
  </si>
  <si>
    <t>There we sat, five paddlers in three canoes on the Colorado River in northern Arizona, simply observing. The setting sun washed the 1,500-foot canyon walls in hues of coral; cotton-puff clouds dotted the pink-tinged sky. The still surface of the river so perfectly mirrored the cliffs and sky that it was hard, at a glance, to know where the river ended and the cliffs began. Except for a few ducks dallying on the shoreline, we were alone. Though in some ways this 15-mile stretch of river with its sandy beaches, rich archaeological history and unspoiled scenery is a dead ringer for parts of the Grand Canyon farther downriver, there are some key differences – most notably that it’s about 200 miles shorter than the Grand Canyon trip, requires no special permits and is significantly more tranquil, with none of the boat-tossing rapids that can occur downriver. So while a trip down the Colorado through the Grand Canyon takes at least a week to float (more in a boat with no engine), requires a permit that can take years to win and includes some fierce rapids, this leg only takes a day or two and is perfect for beginner boaters.                                                                                                                                                    Yet sandwiched between Lake Powell and the Grand Canyon – two of the Southwest’s most popular destinations – this stretch of flat water is often forgotten by kayakers, rafters and canoeists. And it’s almost laughably easy to get to. Instead of heading downstream from Lee’s Ferry, where most river trips through the Grand Canyon begin, you go upstream instead. And while avid boaters might want to paddle themselves upriver, it’s far easier to get a lift to the Glen Canyon Dam, then paddle downstream with the current.                                                                        Kayak Powell, an outfitter based in nearby Page, Ariz., recently made it even easier to organize a trip. Its new shop, Adventure Center,rents canoes, kayaks and accouterments, like paddles, life jackets and waterproof sacks to keep clothes dry. Last year Kayak Powell also started arranging boat shuttles upriver with a local fishing guide or with Colorado River Discovery, a small sightseeing company.</t>
  </si>
  <si>
    <t xml:space="preserve">The two trips on the Colorado River are almost identical in regards to; </t>
  </si>
  <si>
    <t xml:space="preserve">The type of boaters most likely to paddle themselves upriver could be described as; </t>
  </si>
  <si>
    <t>On an unseasonably balmy fall weekend, fall weekend, four friends and I decided to test the waters. We picked up our boats from Kayak Powell, tied them to the roof of our truck, then drove to Lee’s Ferry, where the extent of our indulgent packing became embarrassingly clear as we transferred bundles of firewood, coolers filled with food and beer, folding chairs, books, flashlights and a handful of yoga mats from the truck onto two mint-green pontoon rafts.                                 A chipper college student named Rory Glover captained the boat I was on, and as we motored upstream and farther from civilization, the red walls of the canyon grew taller and steeper as if we were entering a kingdom of giants. Jagged sedan-sized boulders lay partway down grassy hillsides, multihued canyons twisted up from the river, and empty beaches beckoned from the banks. We passed an antique road built along a steep bank that was used by ferry passengers over 100 years ago when this was the only place westbound pioneers and traders could cross the river for 700 miles.                                                                                                                                                       After what seemed like a dozen hairpin bends in the river, the Glen Canyon Dam appeared suddenly like a misplaced skyscraper. An imposing 710-foot-tall work of concrete, it is 300 feet wide at its base and stretches even wider as it spans two cliffs. Though the dam has sparked controversy in the past and has drastically changed the natural flow of the river, it does offer new perks for river runners, ensuring year-round flows and filtering the water from the bottom of Lake Powell before pouring it into the river below. That translates to water so clear that trout are visible 15 feet below the surface and to water temperatures that are as bone-chilling as the Atlantic, even in the height of summer when the outside temperature often tops 100.   After MS. Glover dropped us on a sandy beach just below the dam, and the drone of her motor waned in the distance, we set off downstream. The current was strong enough to whisk us along without much hard work, allowing the scenery to distract us.                                                             Four miles and about 90 minutes later, we arrived at Ferry Swale, one of six sandy campsites, each with a composting toilet, maintained by the Park Service. With all of our many imported comforts, this was five-star camping. After setting up our tents and cooking dinner, there was blissfully little to do but watch hundreds of stars glimmer into view as night fell. Later the moon arrived, bathing the cliffs in a surreal silvery glow.</t>
  </si>
  <si>
    <t xml:space="preserve">The writer implies that the travelers; </t>
  </si>
  <si>
    <t xml:space="preserve"> We get the impression that the downstream trip was; </t>
  </si>
  <si>
    <t xml:space="preserve">As the occasional shot continues to ring over the Yellow Sea, recriminations are traded between North and South Korea. The relatives of the 46 sailors killed in March when the Cheonan warship sank in disputed circumstances still mourn. In Pyongyang, rumours of Kim Jong-il’s poor health abound, and the Democratic People’s Republic of Korea takes ever-increasing measures to ward off the instability of a succession in leadership.                                                  This might seem like an unlikely backdrop to a friendly game of football, but next month North and South Korea move the theatre of conflict from the disputed western sea border to South Africa, where they will compete alongside 30 other countries for the biggest prize in football. The chances of a direct north-versus-south clash at the World Cup are slim, since both teams are drawn in separate groups –which may be for the best. When the teams met in the qualifying stages for South Africa 2010, Fifa ordered North Korea to move the game from Pyongyang to Shanghai after they refused to play the South Korean national anthem before the match.                                                                                                                                                                        But despite all this, there is a sense that North Korea’s first appearance at a World Cup since 1966 could actually go some way towards healing rifts with the international community, not least the south.                                                                                                                                                     “North Koreans are very nationalistic,” says Glyn Ford, a former MEP and author of North Korea on the Brink. “But if they can’t support North Korea they’ll support South Korea. They’d prefer South Korea to win against anyone else, unless they’re playing them. They’re cheering for Koreans.”                                                                                                                                                              This mutual support is a step in the direction of cultural assimilation, something viewed as key in the long-term future of relations between North and South Korea. At last week’s World Korea Forum in Brussels, the consensus on a long-term reunification plan was to encourage increased engagement and gradual integration, rather than pounce on the North’s weakness during a period of regime transition.                                                                                                      Endorsing a cultural exchange on the football pitch is a clear sign that North Korea appreciates the potential value the sport has in improving the image of the country globally. Although few expect the DPRK to progress in South Africa from the aptly named “group of death” featuring Brazil, Portugal and Côte d’Ivoire, if the team can cast themselves as the plucky underdogs and perhaps even take a point from one of the pre-tournament favourites, it could go a long way to associating North Korea with something other than nuclear armament and a despotic regime.                                                                                                                                                                        A little naïve, perhaps – especially as doubts remain over whether North Koreans will even be able to watch their country’s matches on television. But at a time where tensions are threatening to reach levels not seen since the 1950’s, a successful World Cup for both North and South Korea could go some way to creating a little unity on this torn peninsula.  </t>
  </si>
  <si>
    <t xml:space="preserve">The writer suggest that; </t>
  </si>
  <si>
    <t xml:space="preserve">Although not one of the World Cup favourites, it would be in the North Korean team’s favour to be seen as; </t>
  </si>
  <si>
    <t xml:space="preserve">There are a number of potential reactions to the recent news that the constituency of Brighton Pavilion has elected Britain’s first ever Green MP, in  the shape of party leader Caroline Lucas. If you voted for her, you’re entitled to feel a little smug about making political history. For others, news of her election will undermine the view of Brighton as a kind of British equivalent of San Fransisco: a bohemian city with a massive gay population and a penchant for alternative free-thinking. While for Londoners, the news was presumably greeted with little more than a shrug.                                                                                                                                                                  Brighton is, after all, the perennially irksome, unofficial British capital of what the late rock critic Steven Wells once memorably described as “crusty-wusty, hippy-dippy, twat-hatted, ning-nang-nongers.” Of course it elected someone like Lucas – who was recently photographed at home, standing, alas, before a shelf laden with self-help books called things like Awaken the Giant Within.                                                                                                                                In fairness, her victory was more complicated and hard-fought than that suggests. Brighton Pavilion is a diverse constituency. It includes Hanover, otherwise known as “museli mountain”- home to a lot of students and commuters who junked London for something a little more Soil Association Certified –and the North Laines, the town’s bohemian hub, where The Body Shop opened it first branch and where today you can find a shop called Bell Book and Candle, which has the local market in rune and casting stones pretty much sewn up. But it also includes Brighton’s biggest council estate, Hollingbury. The seat was solid Tory until 1997 and a four-way marginal this time.                                                                                                                                              The campaign was not conducted in the atmosphere of zen-like calm one might expect to find in Bell Book and Candle’s “float space”. Opponents attempted to depict Lucas not as a whimsical tree-hugger but a ruthless career politician. There was a bit of smearing –persons unknown added Lucas’s name to the anti-gay, anti –abortion Westminster Declaration-while the outgoing Labour MP could have been no less gracious in defeat had he stood behind Lucas flicking V signs and making faces. </t>
  </si>
  <si>
    <t xml:space="preserve">The writer believes that Londoners would have been; </t>
  </si>
  <si>
    <t xml:space="preserve">The Bell Book and Candle shop appears to; </t>
  </si>
  <si>
    <t xml:space="preserve">In preparation for this article, I decided to canvass some opinions on the city from fellow residents, via Twitter. There were a wide variety of reponses as to what made Brighton great – popular choices included the brilliant vegetarian restaurant Terre A Terre; Coffee@33, the spartan Trafalgar Street café where the barristas pore over every mocha like men conducting an experiment of potentially world-changing importance; the fact that “the pubs are open until 1am and it feels safe for a woman to walk home alone afterwards” – but the word that came up most regularly, was tolerance. That sounds a bit pious, and if there’s one thing Brighton residents aren’t, it’s pious: a priest from an evangelical church who fetched up here last year delcared it “the most godless city in Britain”, which, according to a poll in the local paper, 93% of residents thought was a compliment. But I know what they mean.
Peter James, crime writer.
For a crime writer, Brighton has absolutely everything. The city always had a dirty weekends sort of reputation, and then in the 1840’s it became a haven for criminals from London. And nowadays, several police officers have told me, it’s one of the favourite places for top criminals to live in the UK. You’ve got two seaports on either side, you’ve got Shoreham airport with no customs post,you’ve got masses of unguarded coastline and a quick train to London; in other words –a fast exit. Then you’ve got a massive recreational drug market with two universities, a big gay population and arty middle-class residents. One of Brighton’s distinctions –although the local tourist office doesn’t talk about it – is that it’s the drug-injecting death capital of the UK, and has been for nine years (we lost the title to Liverpool of a year or so, but we’ve got it back now).                                                                                                                                                                        I do think that having a criminal undertow,a dark edge, makes a city exciting. I was standing on a pier a couple of days ago, looking along the seafront, and I thought to myself: “That is one of the most stunning views on the planet.” You’re not looking at a dead town, a washed-up, has-been seaside resort, you’re looking at sadness, great beauty, a really vibrant place. One of the buzziest cities in the world. 
</t>
  </si>
  <si>
    <t xml:space="preserve">After conducting research, the writer discovered that Brighton residents are generally; </t>
  </si>
  <si>
    <t xml:space="preserve">From the description given by Peter James, we could assume that he; </t>
  </si>
  <si>
    <t>It was Milan Kundera who warned young lovers to beware how they behaved in their first nights together. For the pattern they established in those initial hours would govern them ever after. The Czech novelist advised the beau, intoxicated with romance, to hesitate before bringing his belle breakfast in bed: every morning thereafter that he provided no such treat would count as disappointment. Without even realizing it, the lovers were drafting the “unwritten conventions” of their future relationship. Apparently filled with the spontaneity of love and desire, a newly joined man and woman were instead “like the most hard-nosed of lawyers” drawing up “the fine print” of the contract between them.                                                                           Such a warning would seem to apply most naturally to David Cameron and Nick Clegg, already widely likened to a couple joined in civil, if not matrimonial, harmony. In fact, though, Kundera’s advice speaks to both sides of the political aisle, to Labour as much as the Conservatives and Lib Dems. All need to tread carefully through this immediate, post election period, whether they are heady with victory or dazed by defeat. Decisions they take now, when everything appears so fluid and malleable, could harden and congeal. Haunting them for years to come.                                                                                                                                                                     So what do the early signals tell us about how the new coalition government will work? They might suggest an arrangement that might not be quite the balanced partnership on display in the sunkissed Downing Street garden last week. Note the estimate that some 90% of government spending will be firmly in Conservative hands: the Lib Dems have been left to run departments with footling budgets. Note, too, how those initial rumours that St Vince would get to overturn the moneychangers’ tables were rapidly corrected: banking reform is to be under George Osborne. The juniority of the Lib Dems was potently expressed when the new house of Commons gathered yesterday:  the Tories spoke, so did Labour, with a question in what used  to be the Nick Clegg slot taken by the Scots Nats. The Lib Dems sat in enforced silence.                                                                                                                                                                      That’s not to say they will have no meaningful role. They will. They have won the right to share the blamefor the coming cuts, dipping their hands in all that spilled blood. More than that, Lib Dem David Laws has, as chief secretary to the Treasury, been cast as the public face of the cuts, a role the millionaire ex-banker seems oddly eager to takeon. As the first flush of their new intimacy fades, Clegg might wonder if he’s signed a deal that gives him the worst of both worlds: not much power but a hell of a lot of responsibilty . For Cameron, it’s a win-win. He gets some pleasant Lib Dem window dressing, buffing up his image as a new, kinder, gentler Tory – and ensures that when the public gets angry, it won’t be the conservatives alone who are in their sights. Nice work.</t>
  </si>
  <si>
    <t xml:space="preserve">The purpose of the analogy given by the writer is to illustrate that; </t>
  </si>
  <si>
    <t xml:space="preserve">Which of the following is not listed in the article as enabling one to be exempt from the draft; </t>
  </si>
  <si>
    <t xml:space="preserve">The writer admits to feeling shame for men who; </t>
  </si>
  <si>
    <r>
      <t>The troubled manhood of so many American men who didn’t go to Vietnam when they could have – the strange guilt they seem to feel when they confront Vietnam veterans. Strange: there were some cheaters and liars, but all that most of them did was exercise their legal rights, in the manner of Richard Blumenthal, Connecticut attorney general and Democratic Senate candidate - five deferments, then a safe stateside slot in the Marine reserves.                                                                                                                                 They had a right to avoid the draft with academic deferments, occupational deferments and medical deferments obtained from doctors noted for their artistry in taking X-rays of dangerous deformities.  They were entitled to get married and sire a child that could bring them a 3-A hardship deferment. Couldn’t these men argue that they had a moral obligation not to fight in an immoral, pointless war? Wasn’t it true that “winners go to Harvard, losers go to Vietnam,” as the wisecrack had it?                                                                                                                           The case can be made that these men – often upscale and educated, the sort of people who are supposed to lead this country -  acted legally and even honorably in using their  social status and intelligence to stay out of Vietnam.  But the stains and doubts linger.                                                    Of course, Blumenthal didn’t get in trouble for confessing he had ducked Vietnam but for lying that he hadn’t, for saying that he’d served there. What demon haunts him and others like him? What inconsolable regret provoked these desperate lies?                                                                                                           As a marine (and a Vietnam veteran of no distinction whatsoever) I’ve run into men who told me they’d been in the Marines, too. Always happy to meet a fellow Marine, I’d ask what unit they served in. “Oh, I was in….the 173</t>
    </r>
    <r>
      <rPr>
        <vertAlign val="superscript"/>
        <sz val="11"/>
        <color theme="1"/>
        <rFont val="Calibri"/>
        <family val="2"/>
        <scheme val="minor"/>
      </rPr>
      <t>rd</t>
    </r>
    <r>
      <rPr>
        <sz val="11"/>
        <color theme="1"/>
        <rFont val="Calibri"/>
        <family val="2"/>
        <scheme val="minor"/>
      </rPr>
      <t>....”Except there is no 173</t>
    </r>
    <r>
      <rPr>
        <vertAlign val="superscript"/>
        <sz val="11"/>
        <color theme="1"/>
        <rFont val="Calibri"/>
        <family val="2"/>
        <scheme val="minor"/>
      </rPr>
      <t>rd</t>
    </r>
    <r>
      <rPr>
        <sz val="11"/>
        <color theme="1"/>
        <rFont val="Calibri"/>
        <family val="2"/>
        <scheme val="minor"/>
      </rPr>
      <t xml:space="preserve"> in the Marine Corps. I’ve felt embarrassed for them and wondered how empty their lives were that they’d tell such a lie. Jim Lehrer, PBS anchorman and former Marine, wrote a pungent little novel, “The Phony Marine,” about this quirk in the male ego.                                                                                                             Once I listened to a former war-zone correspondent who was eager to demonstrate that his time under fire was the same as a soldier’s. He said: “I’d get up in the morning and face the decision of whether I should head out where it was really dangerous.” But soldiers don’t get to decide. They don’t have choices. That’s part of the hell of war.                                                                                        The fact is that regardless of whether a war was moral, justified, won or meaningful, having served in one – particularly in combat – confers prestige. Harvard and Yale and social connections are nice, but at 3 o´clock in the morning you find yourself outranked by high school dropouts whose names are on the wall of the Vietnam Memorial. Not in the eyes of the world, but in your own eyes.                                                                                                                                   What a withering stare it must be for some men, that they’ll shame themselves far worse than they were shamed before, by telling a lie. </t>
    </r>
  </si>
  <si>
    <t xml:space="preserve">Commuters faced travel misery today when a strike by London Underground workers caused chaos in the capital and sparked calls for changes to employment laws. Members of the Rail, Maritime and Transport (RMT) union and the Transport Salaried Staffs Association (TSSA) mounted picket lines outside Tube stations as they continued with a 24-hour strike in protest at plans to axe mainly ticket office jobs.                                                                                                                The walkout, which will continue until 7pm tonight, led to three of London’s 11 Tube lines being closed altogether while services on other lines were disrupted. Transport for London said three quarters of Tube stations were open, including main centres such as Euston, Waterloo and Paddington, and claimed that more services were running than during a previous strike last month.                                                                                                                                                                   Howard Collins, chief operating officer of London Underground, said: “We are doing everything to run as many Tube services as possible and, although Londoners will doubtless face some disruption getting to work, 75% of stations are open and 30% of Tube trains are running. The paralysis of London predicted by the leadership of two unions has failed to materialize.                                                “It is incredible that the two union leaderships have pursued this action when they have been given cast-iron assurances that the staffing changes we are making come with no compulsory redundancies or loss of earnings, that every station that currently has a ticket office will retain one, and that every station will remain staffed at all times. They should now see sense, and call off this pointless strike.”                                                                                                                                       Union leaders contested TFL’s claims, saying that the strike had caused widespread disruption and led to the suspension or part-suspension of services on all lines. Meanwhile London’s Mayor Boris Johnson will today tell the Conservative Party Conference in Birmingham that the laws on strikes should be changed so that at least 50% of union members would have to vote in a ballot before action was allowed.                                                                                                                  Writing in “The Daily Telegraph”, Mr. Johnson accused the trade unions, with Labour support, or pursuing a “nightmarish return to the politics of the 1980’s” with “wave after wave of debilitating strikes”. He has accused the unions of mounting a “political attack” on the coalition Government. </t>
  </si>
  <si>
    <t xml:space="preserve">The strike was called in response to; </t>
  </si>
  <si>
    <t xml:space="preserve">Transport For London and the union leaders disagree over;  </t>
  </si>
  <si>
    <t>The financially strapped Greek government, after narrowly dodging a humiliating bankruptcy, in recent months has seen its efforts to sell state-owned assets draw big-money interest from China and other countries looking for bargains.                                                                                                 Plans by China, which has huge commitments at the port of Piraeus, include greater investments in the Greek shipping industry. Libyan officials have pledged cooperation in areas as diverse as pharmaceuticals and renewable energy, and Qatar officials late last month signed a memorandum showing interest in investing as much as $5 billion in real estate and other sectors. When Chinese Premier Wen Jiabao visited Greece last weekend, he spoke reassuringly of helping restore economic stability to the country, a message appreciated by Greek officials. “These are important global players and they are willing to bet against the risk of Greece going into default by spotting emerging opportunities here,” said Charalambos Pamboukis, Greece’s minister of state responsible for attracting overseas funds. “Their vote of confidence (in Greece) is bound to instill confidence in other traditional investors.”                                                            Well into the throes of its worst recession in 16 years, the government in Athens was forced to secure a $146-billion bailout package from the European Union and International Monetary Fund this year, promising a rash of reforms in return, plus a string of cost-cutting measures intended to slash the country’s budget deficit from 13.6% of its gross domestic product to under 3% by the end of 2012. The austerity measures, which include cuts in pay for certain workers and reduced services, have been met with some protests.                                                            Ten months into the year, however, net revenue is growing at a rate of only 3.3% compared with a targeted 13.7% leaving state coffers cash-starved, the recession swelling and officials aggressively wooing foreign money to spur growth.                                                                                          The government overtures included Prime Minister George Papandreou meeting with Libyan leader Moammar Kadafi in a Bedouin tent to persuade him to invest in Greece’s broken economy. Sheik Hamad ibn Khalifa al Thani, the emir of Qatar, after being courted for months and enticed by generous government incentives, agreed in late September to consider sinking billions of dollars into projects in Greece.</t>
  </si>
  <si>
    <t xml:space="preserve">Charalambos Pamboukis seems to believe that; </t>
  </si>
  <si>
    <t xml:space="preserve">Greek officials have been approaching  investors outside of Europe because;  </t>
  </si>
  <si>
    <t>Sydney Cindi used to hang around banks, knife concealed, his concentration on the one thing he wanted: money. When someone withdrew a fat wad of notes, he’d follow and mug him. That was in the late 1980’s, before he was caught, served four years in prison and then, unlike many convicts, turned his life around. Now the one time armed robber sits in the sun on Vilakasi Street, Soweto’s most famous tourist precinct, not far from Nelson Mandela’s old house, selling papier- mache sculptures to passersby.                                                                                           Cindi, 47, fashions colorful township figures: women carrying bowls on their heads, kneading bread, sweeping or slapping their hymn books, singing in church – and men playing soccer, or guzzling bottles of rum with a foot in plaster from a drunken accident.                                                      Cindi learned to sculpt in jail. Few come out of South Africa’s thuggish, gang-dominated prisons as better men, he said. But he learned a lot about himself inside: how to like people a little more, how to live with himself, how to inspire others to follow him. “That’s where I got my concentration from. That’s where I got my peace of mind.”                                                                                  Cindi worked as a driver before being laid off when he was about 24 years old. Jobless, he envied criminals.                                                                                                                                                           Cindi was an armed robber for several years before being caught. He saw money as a kind of medicine that could fix any problem. It’s not that he hated his victims. He just needed to terrify them, so he wore the fiercest face he could.                                                                                                    When finally apprehended, he was sent to Groenpunt Prison, a world of gangs, theft and assault, conspiracies, fear and boredom. Steering clear of the gangs was the toughest part of being inside. “Everything I did with my own mind, not to be ruled by someone else. I never fell in with prison gangs.”                                                                                                                                He noticed other prisoners collecting slivers of soap. Curious, he watched them mix the soap with paper and water to mold tiny figures.                                                                                                              A lecturer from the nearby Vaal Triangle Technikon, a technical college now called the Vaal University of Technology, started a weekly clay sculpture class at the prison using clay donated by a nearby farm.                                                                                                                                                       When Cindi sculpted, he felt as though he were no longer behind bars. “When doing every piece of sculpture in prison, I never felt as if there were living people around me. I felt as if I was on my own planet.”</t>
  </si>
  <si>
    <t xml:space="preserve"> Sydney Cindi claims that his personal transformation from convict to artist : </t>
  </si>
  <si>
    <t>When Sydney Cindi was practicing his art in jail;</t>
  </si>
  <si>
    <t>He will be chaperoned to and from lectures by his father, and cannot enter bars to drink with his fellow students. It might not resemble normal student life, but Arran Fernandez is not a typical undergraduate. He is, in fact, the youngest student to grace the quadrangles of Cambridge University for 237 years, since the future prime minister, William Pitt the Younger, matriculated in 1773 at the age of 14.                                                                                                                       Like Pitt, Arran has never been to school and was educated at home. The 15-year-old started at Fitzwilliam College yesterday and will attend his first math lecture tomorrow. While he intends to join the bird-watching society and go punting on the River Cam as a pleasurable distraction from his studies, his youthful predecessor survived his time at university by downing a bottle of port a day – prescribed by his doctor to help him cope with crippling gout.             From the start of his third year Cambridge, Pitt, then 16, would make regular trips to London to listen to debates in Parliament. Historians have claimed he was consciously preparing himself for a life in government with studies that included political philosophy, classics, mathematics, chemistry, trigonometry and history.                                                                                                       Arran, however, will study only math. His “Mathematical tripos”, the official name of his degree, dates back to 1750 and includes Sir Isaac Newton and Stephen Hawking among its former alumni. The course is widely considered by mathematicians to be one of the most difficult in the world. “We generally admit between six and eight mathematics undergraduates each year,” the college said. “There are about 10 to 12 hours of university lectures a week. In addition, there are supervisions (with tutors) in college about twice a week, normally in groups of two. We place greater stress than most colleges on the opportunity this system of teaching gives for building up personal links with the students and answering their mathematical questions individually.”                                                                                                                                           Arran made history when he gained the highest grade in a GCSE foundation math paper at the age of five. Two years later, he got an A grade in the full math GCSE. In order to make it to Cambridge this year, Arran was required to pass A-level physics. He duly attained an A grade, adding this to the two As in math and further math he had already received. The college also told him to sit three GCSEs in subjects unrelated to math or physics, in order to broaden his knowledge. The university says it is trying to treat Arran like any other undergraduate – and few would argue that he doesn’t deserve his place.</t>
  </si>
  <si>
    <t xml:space="preserve">Arran Fernandez and William Pitt the Younger are alike in that they; </t>
  </si>
  <si>
    <t xml:space="preserve">Cambridge University claims that; </t>
  </si>
  <si>
    <t>With Burma due to hold its first elections in 20 years, many commentators are already saying the vote will be neither free nor fair. A quarter of seats in the new parliament will go to the army, and many candidates in parties set up by the military, the strongest and best-funded, have recently given up their uniforms in order to stand.                                                                                  The high cost of fielding candidates and tough new laws means many elected seats will be fought by no real opposition. But opinion among Burmese exiles, commentators, international politicians, historians and academics is split over whether the 7 November ballot should be condemned as undemocratic or welcomed as an opportunity for change.                                  Thant Myint-U, a Burmese historian and author, supports the United Nations and foreign governments who push for improved human rights, but he suggests they need to be more realistic about how much political change can happen in the next few years.                                                    “I think what might be much more possible would be some changes in economic policies which might end up benefiting ordinary people,” he said. “We have tried for 20 years through this front door of political change and one could argue we have gotten not very far. With sanctions and the withdrawal of Western companies, the West has more or less dealt itself out of the game.”                                                                                                                                                                                                                                                                                                                                       “If this door of some sort of economic change is even half open it’s worth trying, again not to devalue or give up on ideas of democratic change, but because it may be easier to fight for some kind of economic change,” said Thant Myint-U.                                                                                     Aung San Suu Kyi, the pro-democracy icon who has spent most of the past 20 years under house arrest, is due to be released on 13 November. She has taken her NLD out of the political protest on ideological grounds, and Aung Naing Oo is among those asking what her position will be if she is released.                                                                                                                                                     “I don’t see her playing a formal political role, but a very important role outside of the constitution,” he said. “She is a very rare kind of politician – untainted - and in a country like Burma with the worst corruption in the world we need someone to look up to. Politics is very dirty.”</t>
  </si>
  <si>
    <t xml:space="preserve">Thant Myint-U advocates that; </t>
  </si>
  <si>
    <t xml:space="preserve">Aung Naing Oo believes that Aung San Suu Kyi; </t>
  </si>
  <si>
    <t>a) Hoarding of funds.</t>
  </si>
  <si>
    <t>a) Is guaranteed to be free of risk.</t>
  </si>
  <si>
    <t>a) He previously provided performance –enhancing drugs to prominent sportsmen.</t>
  </si>
  <si>
    <t>a) Length.</t>
  </si>
  <si>
    <t>a) Have an appropriate supply of provisions.</t>
  </si>
  <si>
    <t>a) North and South Korea will clash in more ways than one at the World Cup.</t>
  </si>
  <si>
    <t>a) Surprised about the election of Caroline Lucas.</t>
  </si>
  <si>
    <t>a) Overtly religious.</t>
  </si>
  <si>
    <t>a) Decisions need to be made firmly right from the beginning.</t>
  </si>
  <si>
    <t>a) Professional obligations.</t>
  </si>
  <si>
    <t>a) Increased working hours in the ticket offices.</t>
  </si>
  <si>
    <t>a) China’s and Libya’s interest in Greece will bring back previous investors.</t>
  </si>
  <si>
    <t>a) Is not likely to last.</t>
  </si>
  <si>
    <t>a) Both specialize in mathematics.</t>
  </si>
  <si>
    <t>a) Foreign governments should make more effort to help achieve democratic change in Burma.</t>
  </si>
  <si>
    <t>a) It is a mistake to raise taxes.</t>
  </si>
  <si>
    <t>a) That Canada has the largest quantity of oil reserves.</t>
  </si>
  <si>
    <t>a) The accounts given by Galea’s assistant could become irksome for Rodriguez.</t>
  </si>
  <si>
    <t>a) Experienced.</t>
  </si>
  <si>
    <t>a) Arduous.</t>
  </si>
  <si>
    <t>a) Undaunted.</t>
  </si>
  <si>
    <t>a) Have a large stake in the sale of rune and casting stones.</t>
  </si>
  <si>
    <t>a) Enjoys living among criminals.</t>
  </si>
  <si>
    <t>a) The conservatives are angry about carrying most of the responsibility in the new government.</t>
  </si>
  <si>
    <t>a) Lied in order to avoid serving in Vietnam.</t>
  </si>
  <si>
    <t>a) The number of union members that should be required to vote before taking action.</t>
  </si>
  <si>
    <t>a) The European Union failed to provide a bailout package.</t>
  </si>
  <si>
    <t>a) He enjoyed the company of others.</t>
  </si>
  <si>
    <t>a) It permitted Arran to be examined only for his knowledge of math.</t>
  </si>
  <si>
    <t>a) Could play an important role in Burma’s political future.</t>
  </si>
  <si>
    <t>b) Investing of funds.</t>
  </si>
  <si>
    <t>b) Poses more of a threat to the environment than the extraction of deepwater oil.</t>
  </si>
  <si>
    <t>b) He performed hip surgery on Tiger Woods.</t>
  </si>
  <si>
    <t>b) Landscape.</t>
  </si>
  <si>
    <t>b) Decided to leave the bundles of firewood behind.</t>
  </si>
  <si>
    <t>b) North Koreans will refuse to support the South Korean team at the World Cup.</t>
  </si>
  <si>
    <t>b) Shocked about the election of Caroline Lucas.</t>
  </si>
  <si>
    <t>b) Urbane and refined.</t>
  </si>
  <si>
    <t>b) Decisions should be made with caution.</t>
  </si>
  <si>
    <t>b) Academic responsibilities.</t>
  </si>
  <si>
    <t>b) Threats to cut train drivers’ jobs.</t>
  </si>
  <si>
    <t>b) It will be impossible to win back traditional investors.</t>
  </si>
  <si>
    <t>b) Has inspired many similar experiences in other prisoners.</t>
  </si>
  <si>
    <t>b) Enjoy similar leisure activities.</t>
  </si>
  <si>
    <t>b) At this point it is better to concentrate on economic rather than democratic changes.</t>
  </si>
  <si>
    <t>b) If the Government is to continue providing services, the raising of taxes is inevitable.</t>
  </si>
  <si>
    <t xml:space="preserve">b) Canada has an amicable relationship with the U.S.A. </t>
  </si>
  <si>
    <t>b) Galea’s assistant denied that Rodriguez was dosed with a mixture of drugs.</t>
  </si>
  <si>
    <t>b) Brave.</t>
  </si>
  <si>
    <t>b) Straightforward.</t>
  </si>
  <si>
    <t>b) Pugnacious.</t>
  </si>
  <si>
    <t>b) Sell rune and casting stones in the local market.</t>
  </si>
  <si>
    <t>b) Believes that having a high crime rate makes a city more interesting.</t>
  </si>
  <si>
    <t>b) The Lib Dems will have too much power and not enough responsibility.</t>
  </si>
  <si>
    <t>b) Falsely claim to have served in Vietnam.</t>
  </si>
  <si>
    <t>b) The immediate effects of the strike.</t>
  </si>
  <si>
    <t>b) They want to avoid more workers’ protests.</t>
  </si>
  <si>
    <t>b) He thought about escaping from jail.</t>
  </si>
  <si>
    <t>b) Arran will be given a special place at the institution.</t>
  </si>
  <si>
    <t>b) Is influenced by the political corruption in Burma.</t>
  </si>
  <si>
    <t>c) Does not require that safety procedures be applied.</t>
  </si>
  <si>
    <t>c) He provided a remedial treatment to a prominent sportsman.</t>
  </si>
  <si>
    <t>c) Ferocity of the rapids.</t>
  </si>
  <si>
    <t>c) Decided to transport their luggage by truck.</t>
  </si>
  <si>
    <t>c) The presence of North Korea at the World Cup will contribute to the ending of its estrangement from the rest of the world.</t>
  </si>
  <si>
    <t>c) Enraged about the election of Caroline Lucas.</t>
  </si>
  <si>
    <t>c) Well-educated.</t>
  </si>
  <si>
    <t>c) Decisions are best made when everything appears flexible.</t>
  </si>
  <si>
    <t>c) Artistic abilities.</t>
  </si>
  <si>
    <t>c) Threats to cut ticket sellers’ jobs.</t>
  </si>
  <si>
    <t>c) China’s interest in Greece will be short-lived.</t>
  </si>
  <si>
    <t>c) Is unusual given the state of South Africa’s prisons.</t>
  </si>
  <si>
    <t>c) Suffer from a chronic malady.</t>
  </si>
  <si>
    <t>c) The Western sanctions and withdrawal of companies seem to be having a beneficial effect.</t>
  </si>
  <si>
    <t>c) Distribution of funds.</t>
  </si>
  <si>
    <t>c) It is necessary that previous governments be held to account for current financial problems.</t>
  </si>
  <si>
    <t>c) Most of the middle- eastern countries are well-disposed towards the U.S. A.</t>
  </si>
  <si>
    <t>c) Galea’s assistant administered the mixture of drugs to Rodriguez.</t>
  </si>
  <si>
    <t>c) Lazy.</t>
  </si>
  <si>
    <t>c) Grueling.</t>
  </si>
  <si>
    <t>c) Zealous.</t>
  </si>
  <si>
    <t>c) Sew rune and casting stones for the local market.</t>
  </si>
  <si>
    <t xml:space="preserve">c) Revels in the many guises of Brighton. </t>
  </si>
  <si>
    <t>c) Clegg has come off worse than Cameron.</t>
  </si>
  <si>
    <t>c) Have not had the prestige of a Harvard or Yale education.</t>
  </si>
  <si>
    <t>c) The possibility of returning to the politics of the 1980’s</t>
  </si>
  <si>
    <t>c) The cost –cutting plan didn’t yield the expected results.</t>
  </si>
  <si>
    <t>c) He worked in a room alone.</t>
  </si>
  <si>
    <t>c) Arran will face the same requirements as the other students.</t>
  </si>
  <si>
    <t>c) Will have an important position but not necessarily in government.</t>
  </si>
  <si>
    <t>d) Reducing taxes.</t>
  </si>
  <si>
    <t>d) Is subject to different types of hazards than the extraction of deepwater oil.</t>
  </si>
  <si>
    <t>d) Tiger Woods refused to use performance-enhancing drugs.</t>
  </si>
  <si>
    <t>d) Difficulty in obtaining a permit.</t>
  </si>
  <si>
    <t>d) Are overloaded with gear.</t>
  </si>
  <si>
    <t>d) Fifa is going to order games involving North Korea to be played in Shanghai.</t>
  </si>
  <si>
    <t>d) Nonchalant about the election of Caroline Lucas.</t>
  </si>
  <si>
    <t>d) Unbigoted.</t>
  </si>
  <si>
    <t>d) Decisions made now will be easy to change later on.</t>
  </si>
  <si>
    <t>d) Medical problems.</t>
  </si>
  <si>
    <t>d) A change in the employment law.</t>
  </si>
  <si>
    <t>d) Greece will have to depend on Libya to restore its shipping industry.</t>
  </si>
  <si>
    <t>d) Contributed to the shortening of his jail sentence.</t>
  </si>
  <si>
    <t>d) Were both tutored at home.</t>
  </si>
  <si>
    <t xml:space="preserve">d) Democratic change would be impossible to achieve in Burma. </t>
  </si>
  <si>
    <t>d) Canada will deny the U.S. A. access to the oil by pipeline.</t>
  </si>
  <si>
    <t>d) Galea’s assistant does not wish to be identified.</t>
  </si>
  <si>
    <t>d) Keen.</t>
  </si>
  <si>
    <t>d) Strenuous.</t>
  </si>
  <si>
    <t>d) Enervated.</t>
  </si>
  <si>
    <t>d) Have replaced the first branch of the Body Shop.</t>
  </si>
  <si>
    <t>d) Considers Brighton an ex-seaside resort.</t>
  </si>
  <si>
    <t xml:space="preserve">d) Being part of a coalition government could be disadvantageous to the Tories. </t>
  </si>
  <si>
    <t>d) Dropped out of high school to serve in Vietnam.</t>
  </si>
  <si>
    <t>d) The motive for the strike.</t>
  </si>
  <si>
    <t>d) They wish to improve Greece’s relationship with Libya.</t>
  </si>
  <si>
    <t xml:space="preserve">d) He retreated into his own mental world. </t>
  </si>
  <si>
    <t>d) Arran will be required to do extra exams at the end of his course.</t>
  </si>
  <si>
    <t>d) Would not survive as a role model in Burma’s future.</t>
  </si>
  <si>
    <t>d) Demography will cease to influence government spending.</t>
  </si>
  <si>
    <t>C. Over 50% of bottled water comes from reprocessing</t>
  </si>
  <si>
    <t>C. His marriage to his first cousin affected his health</t>
  </si>
  <si>
    <t>D. They have just celebrated their 50Pth wedding anniversary</t>
  </si>
  <si>
    <t>CTE</t>
  </si>
  <si>
    <t xml:space="preserve">ANTONIO GARCIA GARCIA                 </t>
  </si>
  <si>
    <t>CAP</t>
  </si>
  <si>
    <t xml:space="preserve">MANUEL GIMENEZ URIZ                   </t>
  </si>
  <si>
    <t xml:space="preserve">BONIFACIO DE LA VIUDA LOZANO  </t>
  </si>
  <si>
    <t xml:space="preserve">ANGEL CARRICONDO MOGUEL               </t>
  </si>
  <si>
    <t xml:space="preserve">RAUL MARTIN HERRERA                   </t>
  </si>
  <si>
    <t xml:space="preserve">ANGEL SANCHEZ ALVAREZ         </t>
  </si>
  <si>
    <t xml:space="preserve">SERGIO GARCIA RUIZ            </t>
  </si>
  <si>
    <t xml:space="preserve">JUAN PABLO RODRIGUEZ SANTANA  </t>
  </si>
  <si>
    <t xml:space="preserve">MIGUEL ANGEL SANCHO HERRANZ   </t>
  </si>
  <si>
    <t xml:space="preserve">FERNANDO REDONDO PEREZ        </t>
  </si>
  <si>
    <t xml:space="preserve">RAUL SANCHEZ HARO                     </t>
  </si>
  <si>
    <t xml:space="preserve">JUAN CIDONCHA DOMINGUEZ               </t>
  </si>
  <si>
    <t xml:space="preserve">ANGEL MANUEL BORAO BASTARDO           </t>
  </si>
  <si>
    <t>SANTIAGO VEGA ÁLVAREZ</t>
  </si>
  <si>
    <t xml:space="preserve">MIGUEL BARANDA ALVAREZ                </t>
  </si>
  <si>
    <t xml:space="preserve">FRANCISCO BASTARRECHE GRAVALOS  </t>
  </si>
  <si>
    <t xml:space="preserve">MAXIMO LACASTA CAMPO                  </t>
  </si>
  <si>
    <t xml:space="preserve">FERNANDO MANZANARES SANCHEZ-HORNEROS  </t>
  </si>
  <si>
    <t xml:space="preserve">VICTOR LOPEZ ANTOLIN          </t>
  </si>
  <si>
    <t xml:space="preserve">FERNANDO GUILLERMO SANCHEZ ARRIBAS </t>
  </si>
  <si>
    <t xml:space="preserve"> </t>
  </si>
  <si>
    <t>MERINO TORO, LA BEGO</t>
  </si>
  <si>
    <t>TCOL. D. ANTONIO PIÑA SANCHEZ</t>
  </si>
  <si>
    <t xml:space="preserve">In Denmark or Jordan, it would be the population covered by the national census. In China, six million is the number of people needed just to carry it out. The world’s most populous nation embarked on its once-a-decade exercise today, described by state media as “the biggest social mobilization of peacetime”.                                                                                                                                       Over the next 10 days, an army of registrars will interview 400m households from the frosty northern province of Heilongjiang to semi-tropical southern Hainan. The survey will cover wealthy professionals in coastal cities such as Shanghai and impoverished herders in the mountains of Tibet in the west.                                                                                                                                  This is a landmark year, the first time the census will count people according to their actual location rather than their household registration or “hukou” usually their hometown. That reflects the increasing number of migrants in China; around 210 million last year, according to an estimate by Beijing’s Renmin University.                                                                                                                    It will cost around 700m yuan (65 m pounds) to tally China’s 1.3 billion citizens. But the government believes the survey is necessary to assess the pace of urbanization and the needs of its population, helping it to plan for the future and tailor welfare and other services.                           China’s vice-premier Li Keqiang urged people to co-operate in a televised appearance last week, explaining it would make statistics more accurate and promising that personal details will remain confidential.                                                                                                                                                   Xing Zhihong, deputy director of Beijing’s population census, told ‘China Daily’ that the information would be destroyed once population statistics had been compiled and released.              Chinese media reported that census-takers are fighting against suspicion, with doors being slammed in their faces. Some householders may be trying to hide unregistered children lest they are fined for breaching the “one child” birth control policies; others fear the registrars could be criminals casing their property or seeking personal details to defraud them.                                             ‘The Beijing News’ said census-takers can ask police for help if residents repeatedly refuse to answer questions. In many places, officials are distributing small gifts such as shopping bags to those who complete the forms.                                                                                                                        China’s last census in 2000 tallied the population at just under 1.3 billion, with 64% of those living in the countryside. </t>
  </si>
  <si>
    <t xml:space="preserve">The census in China this year could be considered a milestone as; </t>
  </si>
  <si>
    <t>People will be counted according to where they were born.</t>
  </si>
  <si>
    <t>People will be counted according to where they usually live.</t>
  </si>
  <si>
    <t>People will be counted according to where they currently are.</t>
  </si>
  <si>
    <t>People will be counted according to where they are registered.</t>
  </si>
  <si>
    <t xml:space="preserve">The article gives the impression that the Chinese population are; </t>
  </si>
  <si>
    <t>Wary of the census-takers.</t>
  </si>
  <si>
    <t>Supporting the census-takers.</t>
  </si>
  <si>
    <t>Refusing to participate in the census.</t>
  </si>
  <si>
    <t>Bribing the census-takers.</t>
  </si>
  <si>
    <t>EXAMEN DE DIC/2010</t>
  </si>
  <si>
    <t>EXAMEN 101</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</si>
  <si>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</si>
  <si>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</si>
  <si>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</si>
  <si>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</si>
  <si>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</si>
  <si>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</si>
  <si>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</si>
  <si>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</si>
  <si>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</si>
  <si>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</si>
  <si>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</si>
  <si>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</si>
  <si>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</si>
  <si>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</si>
  <si>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</si>
  <si>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</si>
  <si>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</si>
  <si>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</si>
  <si>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</si>
  <si>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</si>
  <si>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</si>
  <si>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</si>
  <si>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</si>
  <si>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</si>
  <si>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</si>
  <si>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</si>
  <si>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</si>
  <si>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</si>
  <si>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EXAMEN 101/MP3/Q-01 EXAMEN 101.mp3</t>
  </si>
  <si>
    <t>EXAMEN 101/MP3/Q-02 EXAMEN 101.mp3</t>
  </si>
  <si>
    <t>EXAMEN 101/MP3/Q-03 EXAMEN 101.mp3</t>
  </si>
  <si>
    <t>EXAMEN 101/MP3/Q-04 EXAMEN 101.mp3</t>
  </si>
  <si>
    <t>EXAMEN 101/MP3/Q-05 EXAMEN 101.mp3</t>
  </si>
  <si>
    <t>EXAMEN 101/MP3/Q-06 EXAMEN 101.mp3</t>
  </si>
  <si>
    <t>EXAMEN 101/MP3/Q-07 EXAMEN 101.mp3</t>
  </si>
  <si>
    <t>EXAMEN 101/MP3/Q-08 EXAMEN 101.mp3</t>
  </si>
  <si>
    <t>EXAMEN 101/MP3/Q-09 EXAMEN 101.mp3</t>
  </si>
  <si>
    <t>EXAMEN 101/MP3/Q-10 EXAMEN 101.mp3</t>
  </si>
  <si>
    <t>EXAMEN 101/MP3/Q-11 EXAMEN 101.mp3</t>
  </si>
  <si>
    <t>EXAMEN 101/MP3/Q-12 EXAMEN 101.mp3</t>
  </si>
  <si>
    <t>EXAMEN 101/MP3/Q-13 EXAMEN 101.mp3</t>
  </si>
  <si>
    <t>EXAMEN 101/MP3/Q-14 EXAMEN 101.mp3</t>
  </si>
  <si>
    <t>EXAMEN 101/MP3/Q-15 EXAMEN 101.mp3</t>
  </si>
  <si>
    <t>EXAMEN 101/MP3/Q-16 EXAMEN 101.mp3</t>
  </si>
  <si>
    <t>EXAMEN 101/MP3/Q-17 EXAMEN 101.mp3</t>
  </si>
  <si>
    <t>EXAMEN 101/MP3/Q-18 EXAMEN 101.mp3</t>
  </si>
  <si>
    <t>EXAMEN 101/MP3/Q-19 EXAMEN 101.mp3</t>
  </si>
  <si>
    <t>EXAMEN 101/MP3/Q-20 EXAMEN 101.mp3</t>
  </si>
  <si>
    <t>EXAMEN 101/MP3/Q-21 EXAMEN 101.mp3</t>
  </si>
  <si>
    <t>EXAMEN 101/MP3/Q-22 EXAMEN 101.mp3</t>
  </si>
  <si>
    <t>EXAMEN 101/MP3/Q-23 EXAMEN 101.mp3</t>
  </si>
  <si>
    <t>EXAMEN 101/MP3/Q-25 EXAMEN 101.mp3</t>
  </si>
  <si>
    <t>EXAMEN 101/MP3/Q-26 EXAMEN 101.mp3</t>
  </si>
  <si>
    <t>EXAMEN 101/MP3/Q-27 EXAMEN 101.mp3</t>
  </si>
  <si>
    <t>EXAMEN 101/MP3/Q-28 EXAMEN 101.mp3</t>
  </si>
  <si>
    <t>EXAMEN 101/MP3/Q-29 EXAMEN 101.mp3</t>
  </si>
  <si>
    <t>EXAMEN 101/MP3/Q-30 EXAMEN 101.mp3</t>
  </si>
  <si>
    <t>EXAMEN 101/MP3/Q-31 EXAMEN 101.mp3</t>
  </si>
  <si>
    <t>EXAMEN 101/MP3/Q-32 EXAMEN 101.mp3</t>
  </si>
  <si>
    <t>EXAMEN 101/MP3/Q-33 EXAMEN 101.mp3</t>
  </si>
  <si>
    <t>EXAMEN 101/MP3/Q-34 EXAMEN 101.mp3</t>
  </si>
  <si>
    <t>EXAMEN 101/MP3/Q-35 EXAMEN 101.mp3</t>
  </si>
  <si>
    <t>EXAMEN 101/MP3/Q-36 EXAMEN 101.mp3</t>
  </si>
  <si>
    <t>EXAMEN 101/MP3/Q-37 EXAMEN 101.mp3</t>
  </si>
  <si>
    <t>EXAMEN 101/MP3/Q-38 EXAMEN 101.mp3</t>
  </si>
  <si>
    <t>EXAMEN 101/MP3/Q-39 EXAMEN 101.mp3</t>
  </si>
  <si>
    <t>EXAMEN 101/MP3/Q-40 EXAMEN 101.mp3</t>
  </si>
  <si>
    <t>EXAMEN 101/MP3/Q-24 EXAMEN 101.mp3</t>
  </si>
  <si>
    <t>EXAMEN 102</t>
  </si>
  <si>
    <t>EXAMEN 102/MP3/Q1.mp3</t>
  </si>
  <si>
    <t>EXAMEN 102/MP3/Q2.mp3</t>
  </si>
  <si>
    <t>EXAMEN 102/MP3/Q3.mp3</t>
  </si>
  <si>
    <t>EXAMEN 102/MP3/Q4.mp3</t>
  </si>
  <si>
    <t>EXAMEN 102/MP3/Q5.mp3</t>
  </si>
  <si>
    <t>EXAMEN 102/MP3/Q6.mp3</t>
  </si>
  <si>
    <t>EXAMEN 102/MP3/Q7.mp3</t>
  </si>
  <si>
    <t>EXAMEN 102/MP3/Q8.mp3</t>
  </si>
  <si>
    <t>EXAMEN 102/MP3/Q9.mp3</t>
  </si>
  <si>
    <t>EXAMEN 102/MP3/Q10.mp3</t>
  </si>
  <si>
    <t>EXAMEN 102/MP3/Q11.mp3</t>
  </si>
  <si>
    <t>EXAMEN 102/MP3/Q12.mp3</t>
  </si>
  <si>
    <t>EXAMEN 102/MP3/Q13.mp3</t>
  </si>
  <si>
    <t>EXAMEN 102/MP3/Q14.mp3</t>
  </si>
  <si>
    <t>EXAMEN 102/MP3/Q15.mp3</t>
  </si>
  <si>
    <t>EXAMEN 102/MP3/Q16.mp3</t>
  </si>
  <si>
    <t>EXAMEN 102/MP3/Q17.mp3</t>
  </si>
  <si>
    <t>EXAMEN 102/MP3/Q18.mp3</t>
  </si>
  <si>
    <t>EXAMEN 102/MP3/Q19.mp3</t>
  </si>
  <si>
    <t>EXAMEN 102/MP3/Q20.mp3</t>
  </si>
  <si>
    <t>EXAMEN 102/MP3/Q21.mp3</t>
  </si>
  <si>
    <t>EXAMEN 102/MP3/Q22.mp3</t>
  </si>
  <si>
    <t>EXAMEN 102/MP3/Q23.mp3</t>
  </si>
  <si>
    <t>EXAMEN 102/MP3/Q24.mp3</t>
  </si>
  <si>
    <t>EXAMEN 102/MP3/Q25.mp3</t>
  </si>
  <si>
    <t>EXAMEN 102/MP3/Q26.mp3</t>
  </si>
  <si>
    <t>EXAMEN 102/MP3/Q27.mp3</t>
  </si>
  <si>
    <t>EXAMEN 102/MP3/Q28.mp3</t>
  </si>
  <si>
    <t>EXAMEN 102/MP3/Q29.mp3</t>
  </si>
  <si>
    <t>EXAMEN 102/MP3/Q30.mp3</t>
  </si>
  <si>
    <t>EXAMEN 102/MP3/Q31.mp3</t>
  </si>
  <si>
    <t>EXAMEN 102/MP3/Q32.mp3</t>
  </si>
  <si>
    <t>EXAMEN 102/MP3/Q33.mp3</t>
  </si>
  <si>
    <t>EXAMEN 102/MP3/Q35.mp3</t>
  </si>
  <si>
    <t>EXAMEN 102/MP3/Q36.mp3</t>
  </si>
  <si>
    <t>EXAMEN 102/MP3/Q39.mp3</t>
  </si>
  <si>
    <t>EXAMEN 102/MP3/Q40.mp3</t>
  </si>
  <si>
    <t>EXAMEN 102/MP3/Q34.mp3</t>
  </si>
  <si>
    <t>EXAMEN 102/MP3/Q37.mp3</t>
  </si>
  <si>
    <t>EXAMEN 102/MP3/Q38.mp3</t>
  </si>
  <si>
    <t>CAP TOVAR HERNÁNDEZ, GERARDO</t>
  </si>
  <si>
    <t>09279594</t>
  </si>
  <si>
    <t>TCOL. D. ANGEL FERNANDEZ TUR</t>
  </si>
  <si>
    <t>45068182</t>
  </si>
  <si>
    <t>EXAMEN 103</t>
  </si>
  <si>
    <t>EXAMEN 103/MP3/Q1.mp3</t>
  </si>
  <si>
    <t>EXAMEN 103/MP3/Q2.mp3</t>
  </si>
  <si>
    <t>EXAMEN 103/MP3/Q3.mp3</t>
  </si>
  <si>
    <t>EXAMEN 103/MP3/Q4.mp3</t>
  </si>
  <si>
    <t>EXAMEN 103/MP3/Q5.mp3</t>
  </si>
  <si>
    <t>EXAMEN 103/MP3/Q6.mp3</t>
  </si>
  <si>
    <t>EXAMEN 103/MP3/Q7.mp3</t>
  </si>
  <si>
    <t>EXAMEN 103/MP3/Q8.mp3</t>
  </si>
  <si>
    <t>EXAMEN 103/MP3/Q9.mp3</t>
  </si>
  <si>
    <t>EXAMEN 103/MP3/Q10.mp3</t>
  </si>
  <si>
    <t>EXAMEN 103/MP3/Q11.mp3</t>
  </si>
  <si>
    <t>EXAMEN 103/MP3/Q12.mp3</t>
  </si>
  <si>
    <t>EXAMEN 103/MP3/Q13.mp3</t>
  </si>
  <si>
    <t>EXAMEN 103/MP3/Q14.mp3</t>
  </si>
  <si>
    <t>EXAMEN 103/MP3/Q15.mp3</t>
  </si>
  <si>
    <t>EXAMEN 103/MP3/Q16.mp3</t>
  </si>
  <si>
    <t>EXAMEN 103/MP3/Q17.mp3</t>
  </si>
  <si>
    <t>EXAMEN 103/MP3/Q18.mp3</t>
  </si>
  <si>
    <t>EXAMEN 103/MP3/Q19.mp3</t>
  </si>
  <si>
    <t>EXAMEN 103/MP3/Q20.mp3</t>
  </si>
  <si>
    <t>EXAMEN 103/MP3/Q21.mp3</t>
  </si>
  <si>
    <t>EXAMEN 103/MP3/Q22.mp3</t>
  </si>
  <si>
    <t>EXAMEN 103/MP3/Q23.mp3</t>
  </si>
  <si>
    <t>EXAMEN 103/MP3/Q24.mp3</t>
  </si>
  <si>
    <t>EXAMEN 103/MP3/Q25.mp3</t>
  </si>
  <si>
    <t>EXAMEN 103/MP3/Q26.mp3</t>
  </si>
  <si>
    <t>EXAMEN 103/MP3/Q27.mp3</t>
  </si>
  <si>
    <t>EXAMEN 103/MP3/Q28.mp3</t>
  </si>
  <si>
    <t>EXAMEN 103/MP3/Q29.mp3</t>
  </si>
  <si>
    <t>EXAMEN 103/MP3/Q30.mp3</t>
  </si>
  <si>
    <t>EXAMEN 103/MP3/Q31.mp3</t>
  </si>
  <si>
    <t>EXAMEN 103/MP3/Q32.mp3</t>
  </si>
  <si>
    <t>EXAMEN 103/MP3/Q33.mp3</t>
  </si>
  <si>
    <t>EXAMEN 103/MP3/Q34.mp3</t>
  </si>
  <si>
    <t>EXAMEN 103/MP3/Q35.mp3</t>
  </si>
  <si>
    <t>EXAMEN 103/MP3/Q36.mp3</t>
  </si>
  <si>
    <t>EXAMEN 103/MP3/Q37.mp3</t>
  </si>
  <si>
    <t>EXAMEN 103/MP3/Q38.mp3</t>
  </si>
  <si>
    <t>EXAMEN 103/MP3/Q39.mp3</t>
  </si>
  <si>
    <t>EXAMEN 103/MP3/Q40.mp3</t>
  </si>
  <si>
    <t>EXAMEN OCT-REG/2011</t>
  </si>
  <si>
    <t>EXAMEN REG MAY/2011</t>
  </si>
  <si>
    <t>EXAMEN DE MARZO/2011</t>
  </si>
  <si>
    <t>CAP. D. EDUARDO DEL PRADO GÓMEZ</t>
  </si>
  <si>
    <t>CAP. D. PEDRO BARRIO SANTAMARÍA</t>
  </si>
  <si>
    <t>CAP. D. LUIS HERRERO PÉREZ</t>
  </si>
  <si>
    <t>CAP. D. FERNANDO CARRICONDO BLAZQUEZ</t>
  </si>
  <si>
    <t>CAP. D. JOSÉ MARÍA PÉREZ FRAU</t>
  </si>
  <si>
    <t>52089828</t>
  </si>
  <si>
    <t>53106763</t>
  </si>
  <si>
    <t>50855681</t>
  </si>
  <si>
    <t>44283283</t>
  </si>
  <si>
    <t>43008670</t>
  </si>
  <si>
    <t>CTE. D. LUIS MANUEL ARIAS LOSTE</t>
  </si>
  <si>
    <t>18027228</t>
  </si>
  <si>
    <t>TCOL . D. IGNACIO GABALDON</t>
  </si>
  <si>
    <t>00806409</t>
  </si>
  <si>
    <t xml:space="preserve">CAP D. RAFAEL CUEVAS OVIEDO            </t>
  </si>
  <si>
    <t xml:space="preserve">CAP D. JOSE LUIS ANTON BRAVO                </t>
  </si>
  <si>
    <t xml:space="preserve">CAP D. CARLOS BRAOJOS CORROTO          </t>
  </si>
  <si>
    <t xml:space="preserve">CAP D. DAVID RODRIGUEZ OTERO              </t>
  </si>
  <si>
    <t xml:space="preserve">CAP D. MANUEL MARTIN SANTANO CASTAÑO      </t>
  </si>
  <si>
    <t xml:space="preserve">TTE D.  FRANCISCO JAVIER SAN MARTIN SANCHEZ   </t>
  </si>
  <si>
    <t xml:space="preserve">CAP D. MIGUEL ANGEL ORTEGA MONTORO  </t>
  </si>
  <si>
    <t xml:space="preserve">CAP D. FRANCISCO JESUS MOREJON GARCIA  </t>
  </si>
  <si>
    <t xml:space="preserve">CAP D. FERNANDO BENITO CASTILLO        </t>
  </si>
  <si>
    <t xml:space="preserve">CAP D. FRANCISCO MANUEL PALOMINO BENITEZ  </t>
  </si>
  <si>
    <t xml:space="preserve">TTE D.  DIEGO MUÑIZ RODRIGUEZ                 </t>
  </si>
  <si>
    <t xml:space="preserve">CAP D. JOSE ANTONIO SOTO SAEZ          </t>
  </si>
  <si>
    <t xml:space="preserve">CAP D. ARTURO TERUEL VALLE             </t>
  </si>
  <si>
    <t xml:space="preserve">CAP D. ENRIQUE VILLANUEVA GONZALEZ     </t>
  </si>
  <si>
    <t xml:space="preserve">CAP D. JOSE MANUEL PALOMO GARCIA       </t>
  </si>
  <si>
    <t xml:space="preserve">CAP D. FERNANDO IGLESIAS RAMOS         </t>
  </si>
  <si>
    <t xml:space="preserve">CAP D. JOSE ANTONIO CARTAÑA GARCIA     </t>
  </si>
  <si>
    <t xml:space="preserve">CAP D. ANTONIO CORRALES VISCASILLAS         </t>
  </si>
  <si>
    <t xml:space="preserve">CAP D. FRANCISCO JOSE JODRA ARANA         </t>
  </si>
  <si>
    <t xml:space="preserve">TTE D.  MANUEL VAQUERA MARTIN              </t>
  </si>
  <si>
    <t xml:space="preserve">TTE D.  CRISTOBAL VELAZQUEZ SALVADOR       </t>
  </si>
  <si>
    <t xml:space="preserve">TTE D.  JOSE ANTONIO PEREZ RUBIO           </t>
  </si>
  <si>
    <t xml:space="preserve">TTE D.  JOSE MIGUEL DE PRADO CARRERA          </t>
  </si>
  <si>
    <t xml:space="preserve">TTE D.  PEDRO JOSE GONZALEZ CAÑAS        </t>
  </si>
  <si>
    <t xml:space="preserve">TTE D.  FERNANDO GABRIEL COSTA FERNANDEZ   </t>
  </si>
  <si>
    <t xml:space="preserve">CAP D. LEOPOLDO SANTOS SANTOS               </t>
  </si>
  <si>
    <t xml:space="preserve">CAP D. SERGIO COBOS MARQUINA           </t>
  </si>
  <si>
    <t xml:space="preserve">CAP D. ALFONSO ARRIBAS LUCAS              </t>
  </si>
  <si>
    <t xml:space="preserve">CAP D. MIGUEL ANGEL ROPERO AZAÑON         </t>
  </si>
  <si>
    <t xml:space="preserve">CAP D. JOSE CARLOS PASCUAL MORALES        </t>
  </si>
  <si>
    <t xml:space="preserve">CAP D. JULIO ORTEGA GARCIA             </t>
  </si>
  <si>
    <t xml:space="preserve">CAP D. VICENTE SIMON CARMENA DEL AMOR  </t>
  </si>
  <si>
    <t xml:space="preserve">CAP D. VICTOR MANUEL CARRERA ARMARIO   </t>
  </si>
  <si>
    <t xml:space="preserve">CAP D. RAMON MARCELINO MARTIN-BLAS ALVAREZ  </t>
  </si>
  <si>
    <t xml:space="preserve">CAP D. JOSE MANUEL ALLEGUE RAZQUIN     </t>
  </si>
  <si>
    <t xml:space="preserve">CAP D. PABLO MORA GUZMAN                  </t>
  </si>
  <si>
    <t xml:space="preserve">CAP D. JUAN ALBERTO FRANCISCO PEREZ         </t>
  </si>
  <si>
    <t xml:space="preserve">TTE D.  AURORA JIMENEZ CEBRIAN                </t>
  </si>
  <si>
    <t xml:space="preserve">TTE D.  GERARDO SALAZAR GONZALEZ         </t>
  </si>
  <si>
    <t xml:space="preserve">TTE D.  JOSE LUIS PUENTES ALAMOS         </t>
  </si>
  <si>
    <t xml:space="preserve">TTE D.  JUAN ALIAGA PEREZ                  </t>
  </si>
  <si>
    <t xml:space="preserve">TTE D.  ESTHER SANCHEZ DE PAZ              </t>
  </si>
  <si>
    <t xml:space="preserve">TTE D.  MIGUEL ANGEL GARCIA LARROSA           </t>
  </si>
  <si>
    <t xml:space="preserve">TTE D.  MANUEL CASTIZO LIGERO       </t>
  </si>
  <si>
    <t xml:space="preserve">TTE D.  MANUEL MORAL JIMENEZ </t>
  </si>
  <si>
    <t xml:space="preserve">TTE D.  DAMIAN SEVERIANO CHECA ESTELA      </t>
  </si>
  <si>
    <t xml:space="preserve">CAP D. PEDRO FRANCISCO RAMIREZ MANENT  </t>
  </si>
  <si>
    <t xml:space="preserve">TTE D.  FRANCISCO J. SANCHO VAQUERO </t>
  </si>
  <si>
    <t>07528780</t>
  </si>
  <si>
    <t>03888123</t>
  </si>
  <si>
    <t>03467017</t>
  </si>
  <si>
    <t>02857675</t>
  </si>
  <si>
    <t>08859174</t>
  </si>
  <si>
    <t>07960147</t>
  </si>
  <si>
    <t>07512351</t>
  </si>
  <si>
    <t>02250067</t>
  </si>
  <si>
    <t>03251642</t>
  </si>
  <si>
    <t>03904208</t>
  </si>
  <si>
    <t>For comic book fans around the world, a handful of cities evoke strong images: superheroes jumping from skyscrapers in New York; Tintin running across a building in a Brussels mural; wide-eyed schoolgirls looking for romance in Tokyo. But colorful cityscapes, designed by local artists, are finally putting an African capital city on the comic map. The place is Kinshasa in the Democratic Republic of Congo, and it is not difficult to see why. Complete with dusty boulevards, monster traffic jams in blazing sunsets and so-called shegue, or street children, such comic portraits of the Congolese capital are among the main features of the style developed by home-grown talent.                                                                                                               Decades of shared colonial history with comic-mad Belgium certainly had an influence on the emergence of the Congolese comic scene. In fact, most books by Barly Baruti, the Congolese author best known outside his country, are published in Brussels. Canadian artist Guy Delisle, who visited Kinshasa to lead a workshop with local artists last year, instantly recognized European influences in the work.</t>
  </si>
  <si>
    <t>Car manufacturer Toyota is recalling nearly 19, 000 cars in the UK due to potential problems with their fuel systems, it was announced today. The company said hundreds of Toyota Avensis and Lexus IS 250 models could be at risk of fuel leaks and will need to be modified by mechanics. According to Toyota, there have been no accidents suspected of being related to the defects, but it is the latest in a series of quality control woes for the Japanese carmaker. Officials say they are writing to the owners of the affected vehicles to arrange repairs.</t>
  </si>
  <si>
    <t>EXAMEN DE ABRIL/2011</t>
  </si>
  <si>
    <t>A leaking oil and gas pipeline has caused a mile-long slick off India’s western coast, says the state-run Oil and Natural Gas Corporation (ONGC). The leak occurred in the Mumbai-Uran trunk oil pipeline and an ONGC spokesman described it as “small”. The leak, discovered at 8.45  am (0315 GMT), was plugged after two hours and oil was diverted through another pipeline, the spokesman told the B.B.C. Around 25,000 barrels of oil has been lost, he said. The leak is about 80km (50 miles) from the western city of Mumbai (Bombay). In August, a tanker collided with a ship of Mumbai, spilling about 500 tonnes of oil into the Arabian Sea.</t>
  </si>
  <si>
    <t>When Apollo 14 landed on the Moon, 40 years ago this week, mission commander Alan Shepard was the oldest astronaut to have flown in space. In order to fulfill his dream of walking on the Moon, 47-year-old Shepard had to fend off criticism of his age and overcome a health condition which had dogged his career. While age poses no particular barrier to being an astronaut today, in the early days of human space flight, officials were unsure what influence the ageing process might have on performance during a mission.                                       Shepard died in 1998 of leukaemia. But in a 1991 interview, he recalled the questions over his age: “We got all kinds of flak from the guys. In the first place, I hadn’t flown anything since 1961, and here it was 10 years later, and the two guys with me had not flown before at all, so they called us the three rookies. We had to put up with that. And then the fact that everybody said: ‘That old man shouldn’t be up there on the Moon.’ As if it wasn’t enough of a challenge as it was, but that was part of the make-up of all those guys. They are still a pretty competitive group.”</t>
  </si>
  <si>
    <t>An adaptation of a novel by Dennis Lehane, whose Mystic River was the source of a fine Clint Eastwood film, this equally star-studded movie was developed as a project for shockster David Fincher with Brad Pitt in the lead role. But it ended up in the hands of Scorsese who, for his fourth fiction feature in a row, cast DiCaprio.                                                                                             That long history probably explains why it doesn’t feel much like a Scorsese film-except to the extent that it’s plainly the work of a film buff. It feels too long, which is a Scorsese trademark, but the single setting and the linear story keep it tight and clammy, something of a relief after the hopelessly overblown The Departed.                                                                                 Stylistically, it’s a pastiche of the classic melodramas of the 1950s, when it’s set: the mostly muted palette, cheesy back projection, deliberately clunky editing and plodding expository dialogue in the early scenes. But the script, rigorously faithful to Lehane’s convoluted plot, maintains momentum admirably and the neatly ambiguous ending is welcome</t>
  </si>
  <si>
    <t xml:space="preserve">New Europe was the neat formula coined by Donald Rumsfeld in the aid of the Bush administration’s war effort. The ‘old Europeans’ disliked and derided it, as it suggested that Europe was more divided over the Iraq invasion than it actually was. But they could never deny its grain of truth. There was indeed a split between those who signed up to the Bush crusade for democracy in foreign parts - not least because of their recent history – and those who saw the same campaign as a misuse of military might.                                                                                            But that was then. Now that Poland and Russia are making up, East and Central Europe have lost their appetite for fighting US wars, and the Obama administration is eschewing the whole idea of special relationships, it could be time to lay this irritating concept to rest. Six years after the European Union completed its greatest single expansion, the divisions are neither as sharp nor as resentful as they were.                                                                                                                                  Even as ‘new’ Europe blends with the ‘old’, however, could it be that a new breed of rather different ‘new’ Europeans may be arising in that least likely of places, here in Britain? There are reasons to doubt, but suddenly, too – for us pro-European dinosaurs –to hope.     </t>
  </si>
  <si>
    <t>In the past it was laborers in noisy factories and soldiers using firearms who lost their hearing. Now it is young people who crank up the sound on their personal music players. A generation of children and young adults are risking deafness in middle age and beyond by listening to their iPods and MP3 players at high volume for several hours a day, a specialist warned.   Inserting earphones into the ear canal intensifies the volume which can reach over 120 decibels, equivalent to the noise from a jet engine, according to Professor Peter Rabinowitz of the Occupational and Environmental Medicine program at Yale University.                                    Deafness, including mild to moderate hearing loss, is one of the commonest chronic medical conditions in older people and the most frequent cause is excessive long-term exposure to noise which damages the hair cells in the inner ear. The Royal National Institute for the Deaf said two thirds of MP3 player users listened to music at volumes greater than 85 decibels. Several small studies have found a link between use of the players and poorer hearing in young people. But evidence on whether young people as a whole are losing their hearing faster than previous generations is mixed-probably because the use of the players has only recently become ubiquitous.</t>
  </si>
  <si>
    <t xml:space="preserve">The religious right is pushing a change in military policy regarding the role of women in combat that has the potential to cripple our current military efforts in Iraq.                                             The change will prohibit female soldiers from being assigned to units involved in close combat support. This could prohibit women from driving trucks in convoys, serving as vehicle mechanics or working as MPs in the field. The change in current policy is opposed by senior Army leadership and makes absolutely no sense for a variety of reasons.                                                                                                                                                              First, the Army is already stretched thin in Iraq and Afghanistan and has fallen short on its recruiting goals in recent months. Thus, at a time when the Army doesn’t have enough soldiers, thousands of men would have to be reassigned to replace women currently serving in combat support roles. Where are these additional men going to come from? Is this the first stage of reinstating the draft to make sure that the Army has enough men in its ranks? Secondly, women have served with great distinction and bravery in Iraq in a variety of key combat support roles. Women have always been banned from serving in the Infantry, Armor and Special Forces and no one is suggesting that be altered. </t>
  </si>
  <si>
    <t xml:space="preserve">The amount of water used to produce food and goods imported to developed countries is worsening water shortages in the developing world, a report says. The report, focusing on the UK, says two-thirds of the water used to make UK imports is used outside its borders. The Engineering the Future alliance of professional engineering bodies says this is unsustainable, given population growth and climate change.                                                                                                           It says countries such as the UK must help poorer nations curb water use. “We must take account of how our water footprint is impacting on the rest of the world,” said Professor Roger Falconer, director of the Hydro-Environmental Research Centre at Cardiff University and a member of the report’s steering committee.                                                                                                        “If we are to prevent the ‘perfect storm’, urgent action is necessary.”                                                                          But developing countries are already using significant proportions of their water to grow food and produce goods for consumption in the West, the report says. “The burgeoning demand from developed countries is putting severe pressure on areas that are already short of water,” said Professor Peter Guthrie, head of the Centre for Sustainable Development at Cambridge University, who chaired the steering group.   </t>
  </si>
  <si>
    <t>Metropolitan Los Angeles, extending to Riverside and Long Beach, remains the smoggiest city in the United States, with an average of more than 140 days a year of dangerous ozone, the American Lung Assn. reported Wednesday in its annual assessment. All of the nation’s 10 smoggiest counties are in California, with San Bernardino, Riverside, Kern, Tulare and Los Angeles leading the pack. And the state’s cities and counties, with their ports, refineries, power plants and crowded freeways, rank near the top for particle pollution.                                                               The report comes at a time of conflict over the state’s efforts to slash emissions. Citing the recession –battered economy, trucking and construction firms are seeking to delay California’s rules to limit diesel pollution from operating big-rigs, forklifts and other equipment.                                  A proposed ballot initiative, sponsored by oil companies and conservative activists would suspend the state’s climate law, which targets carbon dioxide and other greenhouse gases but could effectively curb traditional air pollutants such as ozone and particles.                                                        The ballot initiative to delay AB 32, the Global Warming Solutions Act, is spearheaded by San Antonio-based Valero Energy Corp. and Tesoro Corp., which operate major refineries and hundreds of gas stations in California.                                                                                                                                                                    Despite its grim overall statistics, the report took note of remarkable progress in some areas: The number of high-ozone days has dropped by 25% in metropolitan Los Angeles and by 57% in metropolitan San Francisco, which includes Oakland and San Jose, since 2000.                                                  The report found that high air pollution levels threaten the health of 175 million people, about 58% of the population. But in California, the proportion is far higher: 91% of state residents, more than 33 million people, live in counties with poor air quality, especially in Southern California and the Central Valley.</t>
  </si>
  <si>
    <t>When Eyjafjallajokull erupted on April 14, the diminutive but destructive Icelandic corker did us and unheralded favour. Believe it or not, all that ash swirling into the upper atmosphere was actually a minor boon to the war on global warming. About 11,000 European and international flights a day were canceled, and grounded aircraft don’t pollute. With air travel over much of the continent slashed by 60%, CO2 emissions from aviation fell by about 200,000 tons a day, according to data from the independent British research group RDC Aviation. Since the volcano is estimated to be issuing 150,000 tons of CO2 daily, Europe temporarily lowered its carbon footprint by about 50,000 tons a day.                                                                                                     The reduction is a mere hiccup, of course. The savings is a little more than Luxembourg’s and a little bit less than Estonia’s daily output of heat-trapping gases. In the course of a year, the change will be almost imperceptible since, as the United Nations reports, humans produce about 73 million metric tons of carbon a day. With aviation emissions estimated at about 2% of the worldwide total, unless Eyjafjallajokull does what it did the last time it erupted – belching the Earth’s gaseous juices for more than a year, from December 1821 to January 1823 – then the halt won’t amount to much.                                                                                                                                   But what the present storm cloud over Europe demonstrates is our growing dependence on a form of travel that, if unchecked, will swamp many of the reductions made elsewhere in the battle to combat global warming. The fact is, despite the falloff in passengers after 9/11, airplanes are the fastest-growing source of man-made greenhouse gases, according to a 2006 report by the European Federation for Transport and Environment.                                                                                                                                                           Cars still cough out far more greenhouse gases than aircraft, but according to the Aviation Environment Federation in Britain, flight emissions are growing six times as fast as tailpipe emissions.  The most efficient way to slash these carbon emissions is to build high-speed electric trains, because they emit anywhere between a tenth and a quarter of aircraft greenhouse gases.</t>
  </si>
  <si>
    <t>David Cameron declared yesterday that a new chapter has been opened in Britain’s relationship with France after the signing of a wide-ranging defense agreement. Questions remained, however, about just how faithful the new partners will be to each other.                                     A key part of the deal will involve the aircraft carrier of one country defending the national interests of the other. Nicolas Sarkozy, asked whether France’s Charles De Gaulle vessel would speed off to the Falklands in the event of a confrontation with Argentina, said: “We are not identical….. and I know that there is the Channel between our two countries.”                                                    He added: “If you, my British friends, have to face a major crisis, could you imagine France simply sitting there, its arms crossed, saying it’s none of our business?”                                                According to critics that, precisely, is the fear. Bernard Jenkin, a former Conservative defense spokesman, was doubtful that help would be forthcoming in a future tussle over the Falklands. “There is a long track-record of duplicity on the French part. When it comes to dealing with allies, we should never be under any illusion. The French act in what they see as their strategic interests,” he said.                                                                                                                                                    The Liberal Democrat peer Lord Ashdown said France’s long-term objectives were likely to alarm many Tories. “I am clear that Paris sees this as the first move to wider European defense co-operation, which I am strongly in favor of. Paris’s view and long-term aims on this will be inimical to many in the Conservative Party, including maybe our Defense secretary, Liam Fox,” he said.</t>
  </si>
  <si>
    <r>
      <t>I finally tracked down Bukhara’s synagogue in the alleys of the old town only to find its  wooden doors shut. The solid facades of the alley gave no clues as to whether there was any life behind them. But soon a man appeared with keys to the building.                                           Yura, the night watchman, pushed the doors open, revealing a well-maintained courtyard with white painted walls adorned with inscriptions in Hebrew and black and gold wall hangings concealing the synagogue’s 500-year-old Torah. Yura told me about Bukhara’s Jewish community. The synagogue dates from the 16</t>
    </r>
    <r>
      <rPr>
        <vertAlign val="superscript"/>
        <sz val="11"/>
        <color theme="1"/>
        <rFont val="Calibri"/>
        <family val="2"/>
        <scheme val="minor"/>
      </rPr>
      <t>th</t>
    </r>
    <r>
      <rPr>
        <sz val="11"/>
        <color theme="1"/>
        <rFont val="Calibri"/>
        <family val="2"/>
        <scheme val="minor"/>
      </rPr>
      <t xml:space="preserve"> century and is still in use, although the number of worshippers has declined dramatically over the years. There are only around 300 left in the city, and some of those are about to leave.                                                                                                          Since the 1970’s, when Soviet emigration controls were relaxed, thousands of Jews have left Bukhara. This process speeded up after Uzbekistan gained its independence from the Soviet Union in 1991, although exact figures are hard to come by as there has been no official census in the country since 1989. Many Jews have left for Israel and America, while others have settled in Europe.                                                                                                                                           Yura took me to see the community’s school, which is thriving despite the decreasing number of Jews. It teaches in Uzbek, Russian, English and Hebrew and is popular with students from the wider community for its high educational standards.                                                                                    The city’s Jewish cemetery is also well-maintained and gives a strong sense of how long the community has resided in these parts. Èmigrès send money to support the synagogue, school and cemetery, but these remittances have not been able to reverse the community’s decline. Over the centuries the Jewish community has contributed greatly to the city’s business and cultural life. Its struggle to survive now is its biggest test ever. At the current rate of emigration there may not be any worshippers left, and the synagogue and cemetery will be museums that commemorate Bukhara’s lost Jewish heritage.</t>
    </r>
  </si>
  <si>
    <t xml:space="preserve">The British author, Alan Shadrake is today facing a possible prison sentence after a court in Singapore convicted him of challenging the integrity of the city state’s judiciary in a book criticizing its use of the death penalty. Shadrake faces a custodial sentence or a fine – or both – for contempt of court when Singapore’s high court sentences him next week.                                                The Singapore constitution does not specify a maximum penalty for the crime, according to reports, although prosecutors are reported to have demanded a prison sentence of between three and six months and an unspecified fine.                                                                                                                     The judge, Quentin Loh, said he was giving 75-year-old Shadrake “a final opportunity to make amends.” The author, who has refused to apologize, said after the ruling that he would “work out how to do this and satisfy the court.”                                                                                                                     The case was brought in response to Shadrake’s book, “Once a Jolly Hangman: Singapore’s Justice in the Dock”, which accuses courts of bowing to diplomatic and economic pressure in deciding how to dispense justice. It also accuses them of favoring the wealthy and abusing the law to suppress political opponents. The book includes a profile of a former chief executioner and interviews with human rights activists, lawyers and former police officers.                                                  According to Amnesty International, Singapore, with a population of five million, has one of the world’s highest per capita execution rates, having put more than 400 people to death over the past two decades. </t>
  </si>
  <si>
    <t xml:space="preserve">Jailed oligarch Mikhail Khodorkovsky urged a judge in Moscow today to end his days “slurping gruel” in prison, saying the fate of every Russian was tied up with his own. Khodorkovsky was speaking on the final day of his trial for stealing $25bn of crude oil from subsidiaries of his own Yukos oil company, a charge widely seen as vengeance for his financing of political parties opposing the Kremlin.                                                                                                                                        “A state that destroys its best companies, which are ready to become global champions, a country that holds its own citizens in contempt, trusting only the bureaucracy and the special services, is a sick state,” he told a packed courtroom.                                                                                                    The Russian businessman was arrested in 2003 on charges of fraud and sentenced to eight years in a Siberian prison colony in 2005. A new trial of Khodorkovsky and his Yukos partner, Platon Lebedev, began in March last year after prosecutors laid fresh charges of stealing oil and shares, and money laundering. A verdict is expected on 15 December.                                                                   Political analysts believe the Kremlin wants to ensure Khodorkovsky is not released in the run-up to the 2012 presidential elections. The 46-year-old, who has spent most of his confinement so far at a penal colony close to the border with China, has kept up a stream of diatribes against the Russian government via his website and articles in the press.                                                                         Khodorkovsky addressed the court from behind a glass screen. He accused President Dmitry Medvedev of leading Russia into stagnation, saying he had dashed hopes the country would become “free from the arbitrary behavior of officials, free from corruption, free from unfairness and lawlessness.” </t>
  </si>
  <si>
    <t>Parents believe the benefits of testing their children for the genetic risk of some diseases outweigh the negative consequences, according to US scientists. In the study, published in the journal ‘Pediatrics’, parents who were offered a genetic test supported their children also being tested. The authors say doctors and politicians need to be more aware of the issue. Genewatch U.K. said children should never be tested for adult conditions. Genetic testing used to be confined to specialist clinics, but direct-to-consumer testing is now possible. People send a sample to a company in the post and are told if they have any genes which carry an increased risk of illness.                                                                                                                                        In this study, 219 parents were tested for 15 genetic variants linked to heart disease, osteoporosis, high blood pressure, high cholesterol, type 2 diabetes and colon, skin and lung cancer. They were then asked a series of questions to compare benefits such as reassurance, knowledge and prevention, with risks such as invasion of privacy and psychological discomfort. The report found that ‘parents offered the genetic susceptibility test for common preventable conditions tended to consider that the potential benefits of this test for their own child could outweigh its risks.’ Helen Wallace, from genetic science lobby group Genewatch U.K, said: “Online gene tests frequently give misleading results because most common conditions such as cancer, obesity or diabetes are not predictable from a person’s genes, except in special circumstances.</t>
  </si>
  <si>
    <t xml:space="preserve">Chinese state media have confirmed reports of clashes between monks and police at a Tibetan monastery in Sichuan province, but deny it has been blockaded. The ‘Global Times’ said “Chinese police intervened to control lamas that had stirred up trouble” at Kirti Monastery in Aba county, western China. Tibetan exiles said armed police surrounded the complex last Tuesday and refused to allow monks to enter or leave. The Dalai Lama warned late last week that the situation could turn “explosive”. An article released by the Xinhua state news agency on its news wire this weekend –but not, apparently, on its website –said believers and vehicles were freely entering and monks could be seen outside. The report, headlined “Life Normal in Tibetan Monastery”, quoted a member of Kirti’s management saying it had “long ago formed a joint patrol team, with police, to prevent unspecified people from entering.” He added that “there couldn’t be any beatings” as staff at the entrance were very friendly.                                                        The International Campaign for Tibet said hundreds of residents gathered outside Kirti last Tuesday fearing authorities would forcibly remove monks for a “patriotic education” campaign after the self-immolation of a young lama. Citing exile sources, it alleged that security forces beat protesters and unleashed dogs on the crowd as they forced their way through to the monastery, surrounding it and preventing up to 2,500 monks from leaving. The U.S. expressed concern about the situation last week, with state department spokesman Mark Toner tell a regular briefing: “We have seen that Chinese security forces have cordoned off the Kirti Monastery…They’ve also imposed onerous restrictions on the monks and general public, and we believe these are inconsistent with internationally recognized principles of religious freedom.” </t>
  </si>
  <si>
    <t>Internet-based attacks on critical systems such as gas, power and water have increased around the world, a report suggests. Security firm McAfee surveyed 200 IT executives working for utility companies in 14 countries. Eight out of ten said their networks had been targeted by hackers during the past year. China was seen as the most likely source of attacks, followed by Russia and the United States. The number of reported incidents was higher than in 2009 when just over half of those asked said they had fallen victim. Most of the reported security breaches took the form of distributed denial of service (DDOS) attacks. These typically involve a network of computers, under the control of criminals, overwhelming a company’s internet-connected systems. While such incidents have the potential to impact websites and corporate networks, researchers said it was unlikely they were intended to cut off energy supplies. However, there remained a possibility that DDOS attacks could do more harm in future, according to Stewart Baker, a former U.S. national security advisor to President George W Bush and one of the report’s authors.                                                                                                         Arguably the best known example of an internet-borne threat disrupting an industrial system is the Stuxnet worm, which was discovered in 2010. Analysis suggests that the malicious computer code was specifically designed to take control of machinery in either Iran’s Bushehr or Natanz nuclear facilities. While it was known that the worm had spread more widely than its intended target, McAfee’s research suggested the full extent of its reach. Among those utility companies that had carried out a search for Stuxnet on their computer systems, 40% found traces of it. “It probably didn’t result in any obvious interference with the systems, because it wasn’t designed to do that,” said Mr. Baker.</t>
  </si>
  <si>
    <t xml:space="preserve">1) Which of the following is true?                                                                              </t>
  </si>
  <si>
    <t xml:space="preserve">7) The article suggests that; </t>
  </si>
  <si>
    <t>9) The article suggests that it is difficult to find proof on whether young people in current times are losing their hearing more quickly than in earlier times because</t>
  </si>
  <si>
    <t xml:space="preserve">11) The writer makes the suggestion that if women were eliminated from combat support roles, this could lead to; </t>
  </si>
  <si>
    <t>13) The report that the writer alludes to in the article appears to;</t>
  </si>
  <si>
    <t>15)The report that the writer refers to in the article appears to</t>
  </si>
  <si>
    <t xml:space="preserve">17)The current situation according to the article is that;  </t>
  </si>
  <si>
    <t>19) Lord Ashdown states that;</t>
  </si>
  <si>
    <t xml:space="preserve">2) According to the report;                                                                                        </t>
  </si>
  <si>
    <t xml:space="preserve">3) According to the report; </t>
  </si>
  <si>
    <t>4) It was previously believed that</t>
  </si>
  <si>
    <t>5) The reviewer claims that the film</t>
  </si>
  <si>
    <t xml:space="preserve">6) The idea of a ‘new Europe’; </t>
  </si>
  <si>
    <t>8) One of the effects of using an MP3 is that</t>
  </si>
  <si>
    <t>10) It appears that the religious right</t>
  </si>
  <si>
    <t xml:space="preserve">12) The report referred to in the article has stated that the problem of a worldwide water shortage is being worsened by; </t>
  </si>
  <si>
    <t>14) According to the article, oil and construction companies are;</t>
  </si>
  <si>
    <t>16) The writer states that the temporary reduction in CO2 emissions will;</t>
  </si>
  <si>
    <t>18) The article suggests that;</t>
  </si>
  <si>
    <t xml:space="preserve">20) It is difficult to know the exact details of Jewish emigration from Uzbekistan because; </t>
  </si>
  <si>
    <t xml:space="preserve"> 21) The writer believes that; </t>
  </si>
  <si>
    <t xml:space="preserve">22) The British author, Alan Shadrake is possibly facing; </t>
  </si>
  <si>
    <t xml:space="preserve">24) It is generally believed that; </t>
  </si>
  <si>
    <t xml:space="preserve">23) In his book, Shadrake suggests that in Singapore;    </t>
  </si>
  <si>
    <t xml:space="preserve">25) In his address to the court, Khodorkovsky states that; </t>
  </si>
  <si>
    <t xml:space="preserve">26) According to the report; </t>
  </si>
  <si>
    <t xml:space="preserve">27) The reports by the Chinese state media and The International Campaign for Tibet could best be described as; </t>
  </si>
  <si>
    <t xml:space="preserve">29) According to the report, which of the following is true? </t>
  </si>
  <si>
    <t xml:space="preserve">28)It is believed that the Chinese authorities are acting in response to; </t>
  </si>
  <si>
    <t xml:space="preserve">30) The Stuxnet worm; </t>
  </si>
  <si>
    <t>a) A lot of the comics featuring Kinshasa are done by Congolese artists.</t>
  </si>
  <si>
    <t>a) 19,000 cars have problems with their fuel systems.</t>
  </si>
  <si>
    <t>a) The leak has caused a loss of 500 tonnes of oil.</t>
  </si>
  <si>
    <t>a) One’s age could affect one’s work in Space</t>
  </si>
  <si>
    <t>a) Was made during the 1950s</t>
  </si>
  <si>
    <t>a) Originally arose in England.</t>
  </si>
  <si>
    <t>a) The volume will be perceived as louder than normal</t>
  </si>
  <si>
    <t>a) Is supported by army leadership</t>
  </si>
  <si>
    <t>a) Excessive use of water in the U.K.</t>
  </si>
  <si>
    <t>a) Using the economic crisis as an attempt to postpone California’s climate law</t>
  </si>
  <si>
    <t>a) Have a great effect</t>
  </si>
  <si>
    <t>a) France is certain to act to defend British strategic interests.</t>
  </si>
  <si>
    <t>a) It increased dramatically when Uzbekistan became independent from the Soviet Union.</t>
  </si>
  <si>
    <t>a) The death sentence.</t>
  </si>
  <si>
    <t>a) Khodorkovsky is innocent.</t>
  </si>
  <si>
    <t>a) Doctors recommend the gene tests for children.</t>
  </si>
  <si>
    <t>a) Most internet-based attacks occur in the U.S</t>
  </si>
  <si>
    <t>a) Conflicting</t>
  </si>
  <si>
    <t>b) Most of the comics featuring Kinshasa are done by Belgium artists.</t>
  </si>
  <si>
    <t>b) Only one model of car is at risk of a fuel leak.</t>
  </si>
  <si>
    <t>b) The pipeline was repaired after two hours.</t>
  </si>
  <si>
    <t>b) Space flight could precipitate illness</t>
  </si>
  <si>
    <t>b) Is different to the book version</t>
  </si>
  <si>
    <t>b) Was supported by the ‘old’ Europeans.</t>
  </si>
  <si>
    <t>b) The volume is more intense than the sound of a jet engine</t>
  </si>
  <si>
    <t>b) Opposes the presence of female soldiers in Iraq</t>
  </si>
  <si>
    <t>b) Excessive use of water for the populations of developing countries</t>
  </si>
  <si>
    <t>b) Claiming responsibility for the low quality of California’s air</t>
  </si>
  <si>
    <t>b) Hardly be noticeable.</t>
  </si>
  <si>
    <t>b) France is refusing to cooperate in joint military operations.</t>
  </si>
  <si>
    <t>b) Official records have not been kept for the past 20 years.</t>
  </si>
  <si>
    <t>b) Life imprisonment</t>
  </si>
  <si>
    <t>b) The Kremlin wanted revenge on Khodorkovsky</t>
  </si>
  <si>
    <t>b) Gene tests done online are usually accurate</t>
  </si>
  <si>
    <t>b) False</t>
  </si>
  <si>
    <t>b) Internet-based attacks are expected to decrease with future security developments</t>
  </si>
  <si>
    <t>b) The Obama administration desires a closer relationship with East Europe</t>
  </si>
  <si>
    <t>b) The use of MP3 players on a wide scale is recent</t>
  </si>
  <si>
    <t>b) A reinforcement of roles in the military</t>
  </si>
  <si>
    <t>b) Give a generally positive outlook while pointing out some problematic areas</t>
  </si>
  <si>
    <t>b) Aircraft are producing more greenhouse gasses than cars.</t>
  </si>
  <si>
    <t>b) It is more likely that the Jewish community will not survive</t>
  </si>
  <si>
    <t>b) Human rights activists are targeted by police</t>
  </si>
  <si>
    <t>b) Russian laws are too strict</t>
  </si>
  <si>
    <t>b) The protests of The International Campaign for Tibet</t>
  </si>
  <si>
    <t>b) Originated in Iran’s nuclear facilities</t>
  </si>
  <si>
    <t>c) Congolese comics are unknown outside of the Congo</t>
  </si>
  <si>
    <t>c) The fuel leaks have caused several accidents</t>
  </si>
  <si>
    <t>c) Oil had to be deflected.</t>
  </si>
  <si>
    <t>c) Space flight was too dangerous for the inexperienced</t>
  </si>
  <si>
    <t>c) Has an unclear ending</t>
  </si>
  <si>
    <t>c) Came about because of differences over the Iraq war</t>
  </si>
  <si>
    <t>c) It damages the environment</t>
  </si>
  <si>
    <t>c) Doesn’t believe that women should serve in combat zones</t>
  </si>
  <si>
    <t>c) Producing food in the U.K. for developing countries</t>
  </si>
  <si>
    <t>c) Taking active steps to improve the quality of California’s air</t>
  </si>
  <si>
    <t>c) Have a long-term effect</t>
  </si>
  <si>
    <t>c) Soviet emigration controls were relaxed.</t>
  </si>
  <si>
    <t>c) Deportation</t>
  </si>
  <si>
    <t>c) Khodorkovsky will pay his way out of jail.</t>
  </si>
  <si>
    <t>c) Parents are generally in favor of gene tests for children</t>
  </si>
  <si>
    <t>c) Consistent</t>
  </si>
  <si>
    <t>c) Most internet attacks are intended to disrupt companies’ energy services</t>
  </si>
  <si>
    <t>c) The European Union took six years to complete its expansion</t>
  </si>
  <si>
    <t>c) Many middle-aged and older people also use MP3 players</t>
  </si>
  <si>
    <t>c) A return to conscription for men</t>
  </si>
  <si>
    <t>c) State that the situation is going to improve in the near future</t>
  </si>
  <si>
    <t>c) Aircraft fuel efficiency is expected to decrease</t>
  </si>
  <si>
    <t>c) Paris’s view and long- term aims are contradictory</t>
  </si>
  <si>
    <t>c) The Jewish community needs to contribute more to the city’s business</t>
  </si>
  <si>
    <t>c) The executions have no effect on the crime rate</t>
  </si>
  <si>
    <t>c) He doesn’t believe that Russia will become free of corruption</t>
  </si>
  <si>
    <t>c) A speech by the Dalai Lama</t>
  </si>
  <si>
    <t>c) Was intended for Iran’s nuclear facilities</t>
  </si>
  <si>
    <t>d) Congolese comics are popular in New York and Tokyo</t>
  </si>
  <si>
    <t>d) Toyota has been troubled by other problems</t>
  </si>
  <si>
    <t>d) No trace of the leak remains</t>
  </si>
  <si>
    <t>d) Age didn’t affect one’s ability to carry out a Space mission</t>
  </si>
  <si>
    <t>d) Has a straightforward storyline.</t>
  </si>
  <si>
    <t>d) Had no basis in reality.</t>
  </si>
  <si>
    <t>d) It delays the onset of deafness</t>
  </si>
  <si>
    <t>d) Wants women to be prevented from joining the infantry</t>
  </si>
  <si>
    <t>d) Producing food in developing countries for the developed world</t>
  </si>
  <si>
    <t>d) Supporting the proposal of a new climate law</t>
  </si>
  <si>
    <t>d) Will only be noticeable in the short term</t>
  </si>
  <si>
    <t>d) A confrontation with Argentina is inevitable</t>
  </si>
  <si>
    <t>d) Many Jews went to America</t>
  </si>
  <si>
    <t>d) A fine</t>
  </si>
  <si>
    <t>d) The Kremlin is opposed to the possible sentencing of Khodorkovsky</t>
  </si>
  <si>
    <t>d) Genewatch U.K. endorses the gene tests</t>
  </si>
  <si>
    <t>d) Verified</t>
  </si>
  <si>
    <t>d) Most internet attacks are intended to disrupt companies’ websites</t>
  </si>
  <si>
    <t>d) The idea of an ‘old’ and ‘new’ Europe is no longer necessary</t>
  </si>
  <si>
    <t>d) There are many possible causes of hearing loss aside from MP3 players</t>
  </si>
  <si>
    <t>d) A possible solution to the country’s unemployment problem</t>
  </si>
  <si>
    <t>d) Give a generally pessimistic picture while pointing out some encouraging achievements</t>
  </si>
  <si>
    <t>d) Aircraft are producing less greenhouse gasses than cars</t>
  </si>
  <si>
    <t>d) He approves of European defense co-operation</t>
  </si>
  <si>
    <t>d) It is necessary to visit the museum to learn about Bukhara’s Jewish heritage</t>
  </si>
  <si>
    <t>d) Lawyers are generally opposed to the executions</t>
  </si>
  <si>
    <t>d) Russian laws are fair</t>
  </si>
  <si>
    <t>d) The previous actions of a young monk</t>
  </si>
  <si>
    <t>d) Was designed in 2010</t>
  </si>
  <si>
    <t>c)  Britain is not confident that France will participate in all joint military operations.</t>
  </si>
  <si>
    <t>b)  European defense co-operation will not work in the long term.</t>
  </si>
  <si>
    <t>a) The main division is between the ‘old’ and ‘new’ Europe.</t>
  </si>
  <si>
    <t>a) The use of MP3 players is limited</t>
  </si>
  <si>
    <t>a) A stronger military force</t>
  </si>
  <si>
    <t>a) Be completely negative</t>
  </si>
  <si>
    <t>a) High-speed electric trains are being developed</t>
  </si>
  <si>
    <t>a)   The Tories would approve of French aims.</t>
  </si>
  <si>
    <t>a) The remittances sent by the émigrés will ensure the survival of the Jewish community</t>
  </si>
  <si>
    <t>a) Some of the executions are politically motivated.</t>
  </si>
  <si>
    <t>a) The behavior of Russian officials is inconsistent</t>
  </si>
  <si>
    <t>a) The attempts of monks to leave Tibet</t>
  </si>
  <si>
    <t>a) Was found to have disrupted utility companies’ computer systems.</t>
  </si>
  <si>
    <t xml:space="preserve">A political crisis has engulfed Madagascar’s leader Andry Rajoelina, who seized power a year ago. With the country’s economy spiraling out of control, he now faces African Union sanctions for failing to set up a unity government.                                                                                                         The letters clinging to the side of the hill are like a giant game of Scrabble. Madagascar’s answer to Hollywood’s own hillside signpost. But here, the towering white metal pieces don’t spell out the name of a place where the streets are paved with gold. The letters spell out the name of Madagascar’s capital city, Antananarivo. At least they would do if they were all there. The first A and first N are all that remain. The rest were apparently stolen by an entrepreneurial thief with a head for heights, looking to make charcoal cooking stoves with the metal.                                                                                                                                                                  “Times are hard now,” says Michel, who sells second-hand clothes in a street at the bottom of the hill. “People will do whatever they can to get by,” he says, shaking his head as he looks up at the diminished letters on the hillside.                                                                                                   It has been a year since President Marc Ravalomanana  was forced from power by Antananarivo’s former mayor and renegade faction of the army. Since then, Madagascar’s tortured political landscape has become yet more sinuous and bizarre. Ministries have changed hands and ministers have changed sides.                                                                                                   In one of the most circuitous turn of events, faded politicians from decades ago have risen to reassert themselves among Madagascar’s squabbling elites. These are the dinasours-the tough-skinned relics of bygone eras. And they cut sharp contrast with the new president, baby-faced 35-year-old Andry Rajoelina. The one time nightclub disc jockey has divided opinion-even among those who once supported him. Loyalists thank him for bringing to an end the increasingly autocratic regime of Ravalomanana. But a growing body of critics now accuses Rajoelina of being a puppet for Madagascar’s former colonial power, France.                                                                                                                               </t>
  </si>
  <si>
    <t>b) Is a puppet for France</t>
  </si>
  <si>
    <t>The decision to ban the political pamphlet: ‘The National Left’.</t>
  </si>
  <si>
    <t>Was opposed by settlers</t>
  </si>
  <si>
    <t>Was made because of customer reaction</t>
  </si>
  <si>
    <t>Was made in response to reactions from abroad</t>
  </si>
  <si>
    <t>Was supported by academics</t>
  </si>
  <si>
    <t>The left wing believe that the settlers;</t>
  </si>
  <si>
    <t>Are united in opposition to democracy</t>
  </si>
  <si>
    <t>Have no influence their society</t>
  </si>
  <si>
    <t>Are not interested in government positions</t>
  </si>
  <si>
    <t>Enjoy influence within their society</t>
  </si>
  <si>
    <t xml:space="preserve">Thirty years ago on Sunday the renegade British colony that had been Rhodesia was born as Zimbabwe. In the nightmarish events of the last 10 years the euphoria of that day has been all but lost. Certainly, the achievements of Zimbabwe in the last 30 years are in danger of drowning in the mire of statistics about rampant inflation and unemployment, in images of the political repression of a cowed populace- all taken as evidence by those Thabo Mbeki calls the Afro-pessimists. For his part, President Mugabe has certainly provided much grist to the mill of the brigade that believes Africans cannot rule themselves and that independence has achieved nothing worth celebrating.                                                                                                                       As Zimbabwe turns 30, however, there are significant achievements to celebrate. Independence itself was one, especially as it brought the end of an apartheid-in- miniature that had allowed a small white minority to enjoy benefits not available to the black majority. Rhodesia’s segregationist policy was grievously unjust; but children born in Zimbabwe would no longer have their life paths determined simply because of the colour of their skin. Independence came through a civil war in which tens of thousands died, and many more people were displaced. Following this, Mugabe, then prime minister –urged former combatants to turn their swords to ploughshares, and white and black to work together to build a new nation. The reconciliation policy at the time did much to allay fears of reprisals, and put Zimbabwe on a path to stability and prosperity.                                                                                                                                         The chief achievement of the country’s prosperous early years, one bearing fruit even today, came from the massive investment in education. From free primary education to adult literacy programmes, this investment made it the sub-Saharan nation with the highest literacy rate. Poor Zimbabweans were encouraged to see education as the only thing that stood between them and their circumstances, and to use education as the means to get out of poverty. Even now, taxi drivers and market-stall holders invest in extra lessons for their children, and in the evenings in Harare adults make their way towards colleges for further education and training. The Zimbabwean diaspora of the last 10 years is evidence of the success of this education policy: Zimbabweans have taken skills and education to the Commonwealth and beyond, making it tragic that their skills should be used to benefit other countries and not their own.       </t>
  </si>
  <si>
    <t>The torture of seeing films intended for 30ft cinema screens being squeezed into a 2.5 in space has done nothing to deter millions of iPod users from downloading those burnt offerings. But now the traffic is heading in the opposite direction for the first time, with the screening next Sunday at the Boston International Film Festival of a 43-minute movie that was only ever made to be watched in the palm of the hand, and even then in bite-sized, site specific installments. Murder on Beacon Hill is an interactive iPhone app that guides the viewer around locations in Boston pertaining to the killing in 1849 of Dr. George Parkman. Download the app, put on your comfortable shoes and head into the streets of the old Beacon Hill neighbourhood, where you can relive the unearthing of a dismembered body beneath the Harvard Medical College, the manhunt, and the arrest and trial of the victim’s former classmate, Professor John Webster. “The story begins at Massachusetts General Hospital,” intones narrator-cum-sleuth Alexandra Macdougall before instructing you to “Press Wax Seal number 1” or “Come with me inside the Ether Dome.”                                                                                                                                                                                                                            It remains to be seen whether the app will retain its pulp allure on the larger screen, when the distinction between viewer and participant will be clearer, though the subjective camerawork and mystery-stoking score already embrace traditional filmmaking technique. That this is a landmark moment is indisputable. If it’s not quite the Lumière brothers at the Grand Cafè in 1895, it will at least be a night to recall once the inaugural Oscar for Best Original App is handed out</t>
  </si>
  <si>
    <t>d) is difficult to understand</t>
  </si>
  <si>
    <t>b) Is not very popular</t>
  </si>
  <si>
    <t xml:space="preserve">According to the writer, it is uncertain whether films made for the iPhone; </t>
  </si>
  <si>
    <t>Will be successful in the cinema</t>
  </si>
  <si>
    <t>Will win Oscars</t>
  </si>
  <si>
    <t>Will be popular</t>
  </si>
  <si>
    <t>Will utilize traditional film-making techniques</t>
  </si>
  <si>
    <t>One thing is sure. Cycling will not play a big part in the hustings for the election. There may be the odd mention of “cycling and walking” which, wrongly, are coupled together as green methods of transport, but there will be no serious discussion of how cycling could be an important contributor to two principal policies of government, supported generally on all sides: improving the environment and health.                                                                                                              It is really a no-brainer. Boosting cycling is a win-win situation. Not only does it reduce congestion in urban areas and reduce CO2 emissions, but it is an enormous fitness benefit. It presses all the right buttons.                                                      Yet, while all the main party transport teams parrot their support for cycling, little is happening on the ground. There is the odd cycle lane, which often delivers its hapless users into a main road full of 40-tonne HGVs and the occasional “shared use” path but cyclists are still, on the whole, treated as pariahs which get in the way of the big tin boxes that dominate the urban scene. Cyclists are, for the most part, there on sufferance rather than being welcomed as part of the solution to the congestion crisis in out towns and cities.                                                                                                                                                                                                                                         In Copenhagen, a city where cycling already has a modal share of over 30%, the traffic lights are set to the speed of the average cyclist, not cars, so they can flow through without stopping. When a British politician stands up and says this type of system should be installed in all our towns and cities, then they will get my vote. The crucial point is this: the European cities where cycling is the norm rather than the exception did not get like that by accident or because of their cultural inheritance. They got there because of long-term pro-cycling measures which have become universally popular. It’s time to make a start here</t>
  </si>
  <si>
    <t>After a year of doom-and –gloom talk about death panels and, as late as Sunday, that  “Armageddon” is coming, Democrats in Congress passed a health insurance reform to send to President Barack Obama.                                                                                                                                          The legislation is far from perfect. We would have liked to see a consortium or public opinion that would rev up competition among insurers.                                                                                                   But for all the complaints by Republican congressional leaders that they were locked out of reform negotiations, the legislation contains many of the elements that GOP leaders sought over the years. Among them, ending insurers’ practice of denying coverage to patients with pre-existing conditions or imposing lifetime limits on coverage.                                                                                                                                                                                                                                    Yet insurance experts have long noted that the only way to eliminate the practice of turning down people with pre-existing conditions would be to expand the pool of the insured. This legislation would do so, covering about 95 percent of Americans, either through required payments or subsidies.                                                                                                                                       There’s one detail that should be fixed now: the sustainable growth rate, or SGR, formula used by Medicare to pay doctors who treat the elderly.                                                                                           Virtually every year doctors treating Medicare patients brace for deep cuts. The convoluted SGR, created in 1997 in an attempt to bring down spiraling Medicare costs, has been blocked by Congress various times, but no fix has been devised.                                                                                                                                                      Doctors who treat Medicare patients make less today than they did almost a decade ago, according to the Dade County Medical Association, and other groups.                                                            Yet doctors have to employ more personnel to deal with insurance claims, and the cost of protecting against frivolous lawsuits also works against their bottom line.</t>
  </si>
  <si>
    <t xml:space="preserve">On the night, several years ago, that I tackled my nightstand, I should have known better. Jolted awake in the dark, my wife Alice peered over the covers to where I lay on the floor. I had lunged with open arms from our bed while still asleep, truly the consequence of an overactive imagination. Alice joked that we should dust off the kids’ bed rails.                                                                 Since that night, we have been forced to take my wildest dreams more seriously. In a re-occurrence months later, I “blocked” Alice in bed, envisioning instead a defensive lineman and, more recently, I punched the headboard with my fist, thinking instead that I was protecting my parents from an assailant. What makes these incidents all the more bizarre is that three years ago, having written on the history of sleep, including its disorders, I began to collaborate with Dr. John Shneerson, the director of the largest sleep centre in the United Kingdom, at Papworth Hospital. Our project: a series of papers devoted to sleep violence.                                                                                                        Despite the anguish caused by insomnia, it is far from the most frightening sleep abnormality. Nor, in contrast to the terror of nightmares, are the consequences of sleep violence confined to the unconscious. In extreme cases, sleepers have been known to inflict violence, even death, upon family members as well as physical injury or worse upon themselves.                                        In recent years, sleep violence has figured in a number of high-profile criminal cases. Just this past November, a retired Welsh steel worker, Brian Thomas, admitted strangling his wife in their camper while dreaming of fighting off an intruder. Not only did Thomas have a history of sleepwalking, but a polysomnograghy test, which monitors brain-waves and eye movements among other functions, was compelling enough for prosecutors to withdraw all charges. Better known, perhaps, was the case of Kenneth Parks, an unemployed Canadian whose murder of his mother-in-law in 1987 inspired a television movie, “The Sleepwalker Killing” (1997). Having no motive for the crime and a history of sleepwalking, Parks was acquitted by an Ontario jury. </t>
  </si>
  <si>
    <t xml:space="preserve">In almost any city, anywhere in the world, you could find yourself stuck in a traffic jam from 0700 to 0900. But not in La Paz in Bolivia - 9a.m. is when rush hour really starts. People begin heading to work then, even if they were supposed to be at their office or factory 30 minutes or even an hour earlier. This chronic lateness is the result of what is known as “Bolivian time” which the government is now aiming to tackle with bonuses for punctual workers.                                                                                                                                                                                                                            Samuel Mendoza, a taxi driver in La Paz, considers himself a Bolivian exception. Because he works mainly with foreigners, he says, he is forced to be on time. Mr. Mendoza knows his compatriots well. Most Bolivians, he explains, take being late as part of their duty. “Bolivians are really irresponsible, there is no culture of punctuality here, they don’t arrive on time to work or anywhere else, it seems they don’t wear a watch on their wrist,” he says. “It is just something very Bolivian.”                                                                                                                                   Indeed it is. In Bolivia, if you are told to meet somebody at a certain time, it is quite likely that the person will show up 30 minutes late-if you are lucky. But the Bolivian government thinks things should change. It is working on a labor reform that, among other things, aims to break this national habit of arriving late for everything, from work to meetings to dates. And the government has decided that the only way to change habits is to offer a financial incentive.    In one of South America’s poorest countries, that extra money might mean a lot to many people. “Bolivians are not traditionally known for their time-keeping. So Bolivians who arrive at work on the dot every day could get a ‘punctuality bonus’, a recognition,” Victor Hugo Chavez, a lawyer from the Ministry of Labor, told the B.B.C. And it might mean a lot for the economy. The government of President Evo Morales believes Bolivians’ tardiness costs the country millions of dollars in lost work time. </t>
  </si>
  <si>
    <t>Mattel said the use of names will add a “new dimension” to Scrabble.                                                                     The rules of word game Scrabble are being changed for the first time in its history to allow the use of proper nouns, games company Mattel has said. Place names, people’s names and company names or brands will now count. Mattel, which brings out a new version of the game containing amended rules in July, hopes the change will encourage younger people to play.      Until now a few proper nouns had been allowed which were determined by a word list based on the Collins dictionary.                                                                                                                                             In Scrabble, players try to gain the highest points by making words with individual letter tiles on a grid board. Each letter tile has a points value between one and ten, based on the letter’s frequency in standard English. Various colored squares on the board can double or triple a player’s points.                                                                                                                                                   Mattel said there would be no hard and fast rule over whether a proper noun was correct or not. A spokeswoman for the company said the use of proper nouns would “add a new dimension” to Scrabble and “introduce an element of popular culture into the game”. She said: “This is one of a number of twists and challenges included that we believe existing fans will enjoy and will also enable younger fans and families to get involved.”                                                                      However, Mattel said it would not be doing away with the old rules altogether. It will continue to sell a board with the original rules. Scrabble was invented in 1938 by American-born architect Alfred Butts. He later sold the rights and it was trademarked in 1948.</t>
  </si>
  <si>
    <t xml:space="preserve">A Jordanian mayor is considering suing a newspaper over an April Fools’ Day report saying aliens landed nearby. Al- Ghad’s front-page story on 1 April said flying saucers flown by 3m (10ft) creatures had landed in the desert town of Jafr, in eastern Jordan. It said communication networks went down and frightened townspeople fled into the streets. The mayor, Mohammed Mleihan, said parents were so frightened they did not send their children to school that day. He immediately notified the security authorities, who he said combed the area looking for the aliens. They did not find any.                                                                                                                 Al-Ghad’s  front page piece said the giant aliens had arrived on flying saucers lighting up the Jordanian desert town of Jafr, some 300 kilometres ( 190 miles) east of Amman. Moussa Barhoumeh, Al Ghad’s managing editor, said the newspaper was simply having some good natured fun on April Fools’ Day, and had apologized for any inconvenience caused. “ We meant to entertain, not scare people,” he said.                                                                                                                   Mr Barhoumeh did not say why Jafr was chosen as the butt of the joke, but the area is notorious for a nearby military base that sometimes hosts US troops for joint training exercises. While April Fools’ Day jokes appearing in the press may be a great British tradition, this is not the case in Jordan, says the B.B.C.’s Dale Gavlak in the capital, Amman. While Egyptians are renowned as the big jokers in the Arab world, able to easily laugh at just about anything, the Jordanians are considered more serious. Although some are trying to change that perception by hosting a yearly international comedy festival in Amman, for Jafr’s mayor, this was clearly a joke that just went too far, our correspondent adds. </t>
  </si>
  <si>
    <r>
      <t>Green groupies of government who fancy themselves on the leading edge of chic-think for their opposition to nuclear power had better rethink their style. Joining-in fact-leading-the ranks of those who think nuke is cool is none other than the man who defines progressive ideas: super-entrepreneur Bill Gates.                                                                                                              Those anti-nuke obstructionists suddenly find themselves looking very 20</t>
    </r>
    <r>
      <rPr>
        <vertAlign val="superscript"/>
        <sz val="11"/>
        <color theme="1"/>
        <rFont val="Calibri"/>
        <family val="2"/>
        <scheme val="minor"/>
      </rPr>
      <t>th</t>
    </r>
    <r>
      <rPr>
        <sz val="11"/>
        <color theme="1"/>
        <rFont val="Calibri"/>
        <family val="2"/>
        <scheme val="minor"/>
      </rPr>
      <t xml:space="preserve"> century as the co-founder of Microsoft moves ahead with futuristic plans to deliver clean, inexpensive power to an energy-needy world. The software genius already has remade the planet once by leading the personal computer revolution and helping millions of individuals worldwide create wealth. Now he stands to do so again by backing a next-generation nuclear technology, called a traveling-wave reactor.                                                                                                                                                   At a February conference in Long Beach, Calif.,Mr. Gates waxed enthusiastically about his plans. “If you gave me only one wish for the next 50 years, it’d be to invent the thing that halves the cost of energy with no carbon dioxide. This is the one thing with the greatest impact,” he told the TED (Technology, Entertainment, Design) Conference, referring to his project.                                                                                                                                                                        His wish got a major boost when Terra-Power, his start-up company, announced two weeks ago that it is negotiating with Toshiba Corp. to build the micro-reactors, which could enter production in 2014 if approved for use in the United States. On March 25, Energy Secretary Steven Chu inaugurated a blue-ribbon commission of scientists and policymakers who will spend the next two years discussing a long-term solution to managing the nation’s used nuclear fuel waste.</t>
    </r>
  </si>
  <si>
    <t>According to recent polls, 60 percent of Americans think the country is heading in the wrong direction. The same percentage believe that the U.S. is in long-term decline. The political system is dysfunctional. A fiscal crisis looks unavoidable. There are plenty of reasons to be gloomy.                                                                                                                                                                         But if you want to read about them, stop right here. This column is a great luscious orgy of optimism. Because the fact is, despite all the problems, America’s future is exceedingly bright. Over the next 40 years, demographers estimate that the U.S. population will surge by an additional 100 million people, to 400 million over all. The population will be enterprising and relatively young. In 2050, only a quarter will be over 60, compared with 31 percent in China and 41 percent in Japan.                                                                                                                                                       In his book, “The Next Hundred Million: America in 2050,” uber-geographer Joel Kotkin sketches out how this growth will change the national landscape. Extrapolating from current trends, he describes an archipelago of vibrant suburban town centers, villages and urban cores.                                                                                                                                                                             The demographic growth is driven partly by fertility. The American fertility rate is 50 percent higher than Russia, Germany or Japan, and much higher than China.                                                                          In addition, the U.S. remains a magnet for immigrants. Global attitudes about immigration are diverging, and the U.S. is among the best at assimilating them (while China is exceptionally poor.) As a result, half the world’s skilled immigrants come to the U.S.                                                                 The United States already measures at the top or close to the top of nearly every global measure of economic competitiveness. A comprehensive 2008 Rand Corporation study found that the U.S. leads the world in scientific and technological development. In sum, the U.S.is on the verge of a demographic, economic and social revival, built on its historic strengths</t>
  </si>
  <si>
    <t>Jose Padilla, a commercial truck driver, Vietnam veteran and native of Honduras, has lived legally in the United States for 40 years. He was arrested in Kentucky after he was found with a large amount of marijuana in his tractor-trailer. He was charged with drug offenses that would make his deportation virtually mandatory.                                                                                                                      When Mr.Padilla asked his lawyer about the consequences of pleading guilty, he said that he was told that he did not need to worry about his immigration status since he had been in the country so long. When he faced deportation, Mr Padilla argued that he pleaded guilty only because of that erroneous advice. The Supreme Court of Kentucky rejected his claim. It said his right to effective assistance of counsel did not apply because deportation was merely a “collateral” consequence of his conviction.                                                                                                             The Supreme Court voted 7-to-2 to reverse. Justice John Paul Stevens, writing for a 5-member majority, said judges used to have considerable discretion about whether a noncitizen should be deported after being convicted of a crime. Because much of that discretion has been taken away, correct legal advice is more important than before for immigrants. Justice Stevens said it was wrong to dismiss deportation as a “collateral” issue because deportation is nearly automatic in many cases.                                                                                                                                        The court went on to rule that if Mr.Padilla’s account was correct, his lawyer had not met the constitutional standard. The court noted that the ability to remain in the country can be more important to a client than the possibility of a jail sentence. And it would not have been difficult for Mr. Padilla’s lawyer to ascertain that a guilty plea would put him at considerable risk of deportation.                                                                                                                                                                   To get relief, Mr. Padilla still needs to show that he was actually prejudiced by the bad advice. No matter how this case is resolved, it has already established a constitutional principle that will help ensure that the Sixth Amendment rights of immigrants are protected.</t>
  </si>
  <si>
    <t>There’s a  view that dictatorships are good for artistic life. On the one hand, they throw public money at cinema, architecture and monumental sculpture, producing mounds of propagandist kitsch, of course, but also providing the wherewithal for real talents to learn their trade. This has been true of cinema in the Soviet Union and Iran. On the other hand, they make the life of the creative dissident truly adventurous, stimulating a defiant heroism that western writers in the late Soviet era found inspiring.                                                                                                                      But as we celebrate what is-let’s not forget-the greatest collective act ever invented by human beings, a free election, it’s worth noting that such claims for totalitarianism’s cultural strength are daft. Let’s begin with visual art. Britain was not exactly a democracy when William Hogarth painted his Election series, now in Sir John Soane’s Museum, but the scenes he portrays-corruption, violence -do revel in a grotesquely comic British liberty. It is still recognizable as an election. Hogarth and the political satirists who followed him in Georgian England surely helped to lay the foundations of real democracy with their irreverent popular art.                                                                                                                                                                                 But democracy has poets on its side, too. What about Walt Whitman, singing the song of democratic America? Go back to classical Athens, and the highest ideals of excellence in literature and art we uphold today were born in a democratic city, not a totalitarian one.                                    You could argue that the amazing cultural strength of America 60 years ago, when Jackson Pollock was painting, was down to a cult of freedom. Did Pollack fit an American more than a Soviet view of life? Er, yeah, in the sense that his art captured the liberty and energy of living in a country where you elect your leaders and can say what you like about them. So did modern jazz. So did rock ‘n’ roll….                                                                                                                                  We’re about to prove with our votes what our art has been proving for centuries: it’s a free country.</t>
  </si>
  <si>
    <t>Malaysia’s government has announced it will record the body mass index of students on report cards as part of a campaign to fight obesity. The Malaysian health minister says the country has the highest percentage of obese citizens in Southeast Asia. Teachers now have to measure students’ body weight and height to see if they have a healthy amount of body fat. The authorities say this will help parents monitor whether their child is overweight or obese. It might seem controversial, but even teenage girls, who are usually self-conscious, say they do not mind the move.                                                                                                                                                    The government says that one in six Malaysians is either overweight or obese. But it is not just because of the increasing number of fast food restaurants – Malaysian cuisine is also full of deep-fried, oily and spicy dishes. Parents like Saiful say it is very difficult to get Malaysians to eat more healthily: “Because our main food in Malaysia is coconut rice and everything in our foods must use coconut milk. Not so healthy, not healthy at all!”                                                                        One of the ways the government is trying to tackle obesity is to get Malaysians to take in less sugar. Since last year they have been running a campaign, but it has been very difficult. Roadside food stalls, which are hugely popular among Malaysian families, serve very sugary drinks. There is a sense that it would be very difficult for Malaysians to stop indulging their sweet tooth</t>
  </si>
  <si>
    <t>When Rafael Correa became president of Ecuador in January 2007, he was sworn in in unique style. The ceremony took place in the Andean town of Zumbahua and Mr. Correa wore an embroidered shirt typical of some highland villages. Shamans shook sacred herbs over his head to protect his “Citizens’ Revolution” from evil spirits. Then, some of the country’s indigenous leaders handed him a scepter with colorful ribbons to show they accepted him as president. “I will never fail you,” Mr. Correa promised. In a country where a quarter of the population is indigenous, he was the first president to be officially invested according to indigenous traditions.                                                                                                                                                                         But the same indigenous leaders are now considering taking back that scepter –a sign of how unpopular the president has become among those who helped him come to power in the first place. After an initial honeymoon period, Mr. Correa and indigenous groups have clashed over several issues. Indigenous organizations have marched against the government’s policies on mining, because they want the right to veto new projects on their ancestral land. They stalled the approval in Congress of a new water law, which would take control of irrigation away from individual communities and give it to a new state agency. The administration of justice in native areas has also been a bone of contention. In March, the Confederation of Indigenous Nationalities of Ecuador filed a lawsuit against President Correa and his government for alleged genocide of two native populations in the Amazon region - an accusation Mr. Correa dismissed as “ridiculous.”</t>
  </si>
  <si>
    <t>Wal-Mart has said it will soon bring back the sale of firearms, including rifles and shotguns, at more than 500 of its US stores. The retail giant stopped selling guns at hundreds of its 3,600 US stores in 2006, citing slumping consumer demand. But a spokesman said guns would return to the shelves as “part of the overall push to bring 8,000 products back.” Thursday’s news comes two months after Wal-Mart announced a seventh straight quarterly decline in US sales.                              Wal-Mart will be stocking more merchandise in a wide range of its stores in an effort to “offer customers the broadest assortment of our products possible,” spokesman Lorenzo Lopez told the BBC. He added that firearms would be part of that push, which he said had been planned for months. “A few years back...we were trying to streamline the assortment,” Mr. Lopez said, referring to the decision in 2006 to cease stocking firearms in many Wal-Mart stores. Wal-Mart currently sells rifles, shotguns and ammunition at about 1,000 of its locations in the US. That will rise to roughly half its 3,600 stores under the changes outlined on Thursday. Mr. Lopez said Wal-Mart was focusing on areas of the country where hunting and fishing are popular. Federally-tracked gun sales grew more than 12% in the first quarter of 2011. However, growth has mainly been seen in handguns, which Wal-Mart does not carry.</t>
  </si>
  <si>
    <t>A Mayan sculpture that fetched 2.9m Euros ($4.2m) at a Paris auction is a fake, Mexican officials believe. The French auction house Drouot maintains that the statue, of a masked figure carrying a shield, is genuine and more than 1,000 years old. But Mexico’s National Institute of Anthropology and History says it does not match the style of the period it was supposedly from. Another 66 pieces at Monday’s auction were also fakes, the institute said. The Mexican foreign ministry has informed French authorities.                                                                               “The figure tries to recreate the Pre-Columbian features of the Maya region in southeastern Mexico, but the height, the posture and the flexed legs and the boot straps are not characteristic of this culture,” the institute said. The institute suggested that it had been carefully carved to give an ancient appearance. But the expert in Pre-Columbian art at Drouot, Jacques Blazy, told AFP news agency: “Mexico’s accusations are totally ridiculous. They are completely baseless. It is a well-known artifact that has been thoroughly analyzed.” The 1.65m statue, sold by a private collector to an anonymous European buyer, was the most expensive item at the sale.</t>
  </si>
  <si>
    <t>Air traffic controllers in the US have been advised to take 26-minute naps, after a string of incidents involving workers falling asleep. So is 26 minutes the ideal length of time for a nap? Referring to a 1995 study from NASA which he co-authored, NTSB member and fatigue expert Mark Rosekind said that a 26-minute nap would improve performance by 34% and alertness by 54%. There was other supporting evidence that said naps of between 20 and 30 minutes were beneficial, he said. His call for work naps is supported by the controllers’ union, which wants naps to be allowed in both overnight and day shifts. Beyond the aviation industry, combating fatigue is an issue that affects many people across all professions, working day and night, although it carries obvious risks in jobs that involve motoring or machinery.                                                    But other experts are doubtful that 26 minutes is the optimum napping time. “It’s a bit too long and risks you falling into a deep sleep,” says Jim Horne, director of the Sleep Research Council in the UK, which advises the government on guidelines for drivers. “Once you get beyond 20 minutes, you risk a deep sleep and you can be much more groggy when you wake up. What we recommend is that a nap is combined with a cup of coffee so you have some caffeine, and that takes about 20 minutes to kick in. Have a cup of coffee and get your head down. Done together it has a more powerful effect. A lot of people take caffeine after they wake up, but you have a window of opportunity of 20 minutes, so it will help you wake up. It works, there’s no doubt about it.”</t>
  </si>
  <si>
    <t>A Chinese publisher is set to bring out the first ever authorized edition of Gabriel Garcia Marquez’s ‘ One Hundred Years of Solitude’ in Chinese, after winning the auction for the rights with a fee reported to be in excess of $1m. Pirated editions of the Nobel prize-winning author’s most famous novel have been rife in China for decades. The piracy so enraged Marquez on a visit to the country in 1990 that he swore that even 150 years after his death his books would not be authorized in China, according to Chinese newspaper, ‘The Global Times.’                                                                                                   But Thinkingdom House editor-in-chief Chen Mingjun refused to take no for an answer, writing a letter to the author in 2008 which according to the ‘Global Times’ read: “We must pay our respects to you across the Pacific Ocean, making every effort, shouting ‘great master!’ just like you did to your idol Hemingway across the streets in Paris… We believe you’d also wave your hand and shout back ‘Hello friend!’ just like Hemingway did.”                                                                       Thinkingdom House emerged triumphant from the auction for the Chinese rights in ‘One Hundred Years of Solitude’ which followed. It will publish the book this summer, and is also promising a crackdown on pirated editions of Marquez’s story of generations of the Buendia family.                                                                                                                                                                             Jo Lusby, managing director of Penguin China, which publishes the English language edition of ‘One Hundred Years of Solitude’, said the size of the advance had “already created an enormous amount of interest” in the novel, despite it being “widely available in pirated forms for a long time.” The deal, however, “does serve to demonstrate why China is at a fascinating point”, she added. “Even at a time when writers and artists (such as Ai Weiwei) are disappearing in crackdowns, publishers are bullish about the future, and it’s one of the few places in the world where you can attend the opening of a large-scale chain bookstore. (I went to one in Beijing two weekends ago),” she said.</t>
  </si>
  <si>
    <t xml:space="preserve">Germany’s dramatic rethink over nuclear power has thrown up new problems, as the consequences of a retreat from atomic technology emerge. Just after Japan’s Fukushima nuclear disaster in March, Chancellor Angela Merkel announced a review of energy policy and ordered Germany’s oldest reactors to be shut down immediately, and perhaps permanently. Only a few months earlier, she had decided to keep the reactors running past their original shutdown dates. But only now comes the hard bit. Power companies have warned of higher prices because of the shutdown; Germany has imported electricity to meet peaks in demand; analysts have warned that coal-fired power stations will be boosted – and nuclear ones in the nearby Czech Republic and France. And right in the heart of the country, protest groups are raising their voices as they realize that rejigging a country’s energy industry means redirecting the transmission lines through their picturesque backyard. The difficulty is that many of the threatened nuclear power stations are in the south, situated conveniently for the big energy users like the cities of Munich and Stuttgart and manufacturers like Volkswagen. If these southern nuclear generators are decommissioned, the idea is that wind farms in the north might take up the slack. But that implies new high-voltage cables with very high pylons to match. A new grid of high-voltage cables is proposed right through the heart of Germany. The route goes through the Rennsteig, the beautiful ridge of deep-green, forested hills that stretches for more than 160km down the centre of the country. It is where Germans come to hike in what they feel is the idyllic embodiment of their country.                                                                   Germany’s Economy Minister Rainer Bruederle said planning rules should be changed so that applications could be handled centrally. That would take decision-making further from the local opponents of particular projects and nearer to a national body. So Germany – like other countries repelled by nuclear power - now has some tough choices. Wind is not an easy, cheap, swift alternative. Another unpleasant fuel may be easier –but it is one which green activists hate: coal. Professor Claudia Kemfert, an energy economist at the Institute of Economic research in Berlin, thinks the Japanese disaster will boost coal all over the world. </t>
  </si>
  <si>
    <t>d) The writer believes that the issue involving doctors who treat the elderly should be handled at a later date</t>
  </si>
  <si>
    <t>d) Alter the traditional impression of Jordanians</t>
  </si>
  <si>
    <t>d) Says it is feasible that the micro-reactors will begin production in 2014</t>
  </si>
  <si>
    <t>d) ) The U.S. fails to reach the top of global measures of economic competitiveness</t>
  </si>
  <si>
    <t>d) Prohibit roadside food stalls</t>
  </si>
  <si>
    <t>d) President Correa’s government was found to have committed genocide of native    populations</t>
  </si>
  <si>
    <t>d) Is considered too costly for employers</t>
  </si>
  <si>
    <t>d) In regards to publishing, China is isolated from the rest of the world</t>
  </si>
  <si>
    <t>d) Activists are opposed to a national body making decisions about local issues</t>
  </si>
  <si>
    <t>d) The cost of visiting a doctor is lower than what it will be when the new legislation is carried out</t>
  </si>
  <si>
    <t>d) Even environmentalists consider opposition to nuclear power to be impractical</t>
  </si>
  <si>
    <t>d) Teenage girls approve of the obesity campaign</t>
  </si>
  <si>
    <t>d) President Correa refused a gift he was offered by the indigenous population</t>
  </si>
  <si>
    <t>d) Handguns are the most popular firearm that Wal-Mart sells</t>
  </si>
  <si>
    <t>d) The Mexican Foreign Ministry defended the authenticity of the statue</t>
  </si>
  <si>
    <t>d) A nap of 15 minutes will leave you feeling more tired than before</t>
  </si>
  <si>
    <t>d) It has only been possible to obtain an illegally produced copy of ‘One Hundred Years of Solitude</t>
  </si>
  <si>
    <t>d) An over-reliance on coal and difficulty in obtaining it</t>
  </si>
  <si>
    <t>a) Only wealthy Americans are covered by health insurance</t>
  </si>
  <si>
    <t>a) Bill Gates’ stance on the nuclear issue is the same as that of environmentalists</t>
  </si>
  <si>
    <t>a) The ageing population in the U.S will exceed that of China and Japan</t>
  </si>
  <si>
    <t>a) It depends on the judge as to whether a noncitizen is deported after committing a crime</t>
  </si>
  <si>
    <t>a) Malaysians have difficulty eating sweet food.</t>
  </si>
  <si>
    <t>a) President Correa has fallen out of favor with the indigenous population</t>
  </si>
  <si>
    <t>a) Wal-Mart is selling firearms again due to customer demand</t>
  </si>
  <si>
    <t>a) A French art expert informed authorities that the statue was false</t>
  </si>
  <si>
    <t>a) It is inadvisable to drink coffee before a nap</t>
  </si>
  <si>
    <t>a) It has not been possible to obtain a copy of ‘One Hundred Years of Solitude.</t>
  </si>
  <si>
    <t>a) A reduction in power prices</t>
  </si>
  <si>
    <t>c) 95% percent of the population is covered by health insurance</t>
  </si>
  <si>
    <t>b) People who are shown to be prone to illness find it difficult to obtain health insurance</t>
  </si>
  <si>
    <t>c) He is influenced by an overactive imagination</t>
  </si>
  <si>
    <t>b) c) Indestructibility</t>
  </si>
  <si>
    <t>c) Is typically Bolivian</t>
  </si>
  <si>
    <t>b) Differs from his fellow countrymen regarding promptness</t>
  </si>
  <si>
    <t>b) Eliminate the use of proper nouns in Scrabble</t>
  </si>
  <si>
    <t>c) Cynical</t>
  </si>
  <si>
    <t>b) Pessimistic</t>
  </si>
  <si>
    <t>c) Bill Gates’ ideas have fallen behind the times</t>
  </si>
  <si>
    <t>b) The ideals of environmentalists and those of Bill Gates diverge on the nuclear issue</t>
  </si>
  <si>
    <t>c) There will be a downturn in the growth rate of the U.S. population</t>
  </si>
  <si>
    <t>b) The U.S. population will be resourceful and youthful</t>
  </si>
  <si>
    <t>c) Judges have less power than previously to decide whether a noncitizen will be deported after committing a crime</t>
  </si>
  <si>
    <t>b) It is difficult for immigrants to obtain correct legal advice</t>
  </si>
  <si>
    <t>c) Dictatorships inspire creative talent</t>
  </si>
  <si>
    <t>b) To say that dictatorships are good for artistic life is ridiculous.</t>
  </si>
  <si>
    <t>c) The obesity problem in Malaysia is entirely due to the high number of fast-food restaurants</t>
  </si>
  <si>
    <t>b) The obesity campaign was initiated by teachers</t>
  </si>
  <si>
    <t>c) The indigenous population tried to prevent Mr. Correa from becoming president</t>
  </si>
  <si>
    <t>b) President Correa has fulfilled earlier promises made to the indigenous population</t>
  </si>
  <si>
    <t>c) The firearm experiencing the most rapid sales growth is not stocked at Wal-Mart</t>
  </si>
  <si>
    <t>b) Wal-Mart stopped selling firearms due to customer protests</t>
  </si>
  <si>
    <t>c) The French auction house admitted that the statue is not genuine</t>
  </si>
  <si>
    <t>b) The features of the statue were inconsistent with the culture it allegedly represents</t>
  </si>
  <si>
    <t>c) 26 minutes is the ideal time for a nap</t>
  </si>
  <si>
    <t>b) Combining coffee with a short nap will revive you</t>
  </si>
  <si>
    <t>c) It has been possible to obtain a condensed version of ‘One Hundred Years of Solitude</t>
  </si>
  <si>
    <t>b) It has been possible to obtain a copy of ‘One Hundred Years of Solitude’ by paying an excessive amount</t>
  </si>
  <si>
    <t>c) Losses for the manufacturing industry in the south</t>
  </si>
  <si>
    <t>b) The disfiguring of the landscape with the appearance of new cables</t>
  </si>
  <si>
    <t>b) Been absolved of committing crimes while sleepwalking</t>
  </si>
  <si>
    <t>b) Emulate the British tradition of publishing April Fools’ Day jokes in the press</t>
  </si>
  <si>
    <t>b) The U.S. is experiencing a renewed growth as a result of its past</t>
  </si>
  <si>
    <t>c) ) The U.S. will experience a decline in economic growth</t>
  </si>
  <si>
    <t>b) Note statistics on the weight of pupils</t>
  </si>
  <si>
    <t>c) Start a campaign about the dangers of sugar</t>
  </si>
  <si>
    <t>b) The government of Ecuador was not invited to attend a summit on minority rights</t>
  </si>
  <si>
    <t>c) Indigenous communities have contested a water law</t>
  </si>
  <si>
    <t>b) Has received union support</t>
  </si>
  <si>
    <t>c) Is considered a danger to people involved in jobs with motoring or machinery</t>
  </si>
  <si>
    <t>b) Book publishers in China are not subdued by the crackdowns</t>
  </si>
  <si>
    <t>c) The publication of ‘One Hundred Years of Solitude’ is not likely to create much interest in China</t>
  </si>
  <si>
    <t>b) Local organizations could make decisions involving the energy sources in their areas</t>
  </si>
  <si>
    <t>c) Use of coal could become widespread</t>
  </si>
  <si>
    <t xml:space="preserve">1) The article affirms that currently:                                                                                                              </t>
  </si>
  <si>
    <t>2) We can conclude from the article that;</t>
  </si>
  <si>
    <t>3) According to the writer, the frightening part of his situation is that</t>
  </si>
  <si>
    <t>4)The writer refers to criminal cases in which suspects have:</t>
  </si>
  <si>
    <t>5) We could say that Samuel Mendoza</t>
  </si>
  <si>
    <t xml:space="preserve">6) The Bolivian Government wishes to: </t>
  </si>
  <si>
    <t xml:space="preserve">7) The game company Mattel is going to: </t>
  </si>
  <si>
    <t>8) Mattel expects that;</t>
  </si>
  <si>
    <t>9) From the general reaction to the April Fool’s Day report, we could conclude that many of the Jafr townspeople are:</t>
  </si>
  <si>
    <t>10) It seems that in Jordan there are efforts to:</t>
  </si>
  <si>
    <t>11) The writer points out that:</t>
  </si>
  <si>
    <t>12) Bill Gates’ company, Terra-power:</t>
  </si>
  <si>
    <t xml:space="preserve">13) According to what is stated in the article, in the future it is expected that: </t>
  </si>
  <si>
    <t xml:space="preserve">14) The writer believes that: </t>
  </si>
  <si>
    <t xml:space="preserve">15) According to Justice John Paul Stevens: </t>
  </si>
  <si>
    <t xml:space="preserve">16) In conclusion, it appears that Mr.Padilla’s case has led to: </t>
  </si>
  <si>
    <t xml:space="preserve">17) The writer suggests that: </t>
  </si>
  <si>
    <t>18) The writer concludes by pointing out that:</t>
  </si>
  <si>
    <t xml:space="preserve">19) We can conclude from the report that; </t>
  </si>
  <si>
    <t xml:space="preserve">20) In the future, the Malaysian government intends to; </t>
  </si>
  <si>
    <t>21) The report informs us that;</t>
  </si>
  <si>
    <t>22) An issue that has caused problems between President Correa and indigenous groups is that;</t>
  </si>
  <si>
    <t xml:space="preserve">23) </t>
  </si>
  <si>
    <t xml:space="preserve">24) According to the report; </t>
  </si>
  <si>
    <t xml:space="preserve">25) According to the Sleep Research Council; </t>
  </si>
  <si>
    <t>26) The idea of initiating naps at work;</t>
  </si>
  <si>
    <t>27) In China, until now</t>
  </si>
  <si>
    <t>28) According to Jo Lusby, managing director of Penguin China;</t>
  </si>
  <si>
    <t xml:space="preserve">29) One of the side effects of shutting down Germany’s nuclear power stations could be; </t>
  </si>
  <si>
    <t xml:space="preserve">30) It has been suggested that; </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</si>
</sst>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1"/>
      <color rgb="FFC00000"/>
      <name val="Calibri"/>
      <family val="2"/>
      <scheme val="minor"/>
    </font>
    <font>
      <vertAlign val="superscript"/>
      <sz val="11"/>
      <color theme="1"/>
      <name val="Calibri"/>
      <family val="2"/>
      <scheme val="minor"/>
    </font>
    <font>
      <sz val="8"/>
      <color theme="1"/>
      <name val="Times New Roman"/>
      <family val="1"/>
    </font>
    <font>
      <sz val="11"/>
      <color rgb="FF333333"/>
      <name val="Calibri"/>
      <family val="2"/>
      <scheme val="minor"/>
    </font>
    <font>
      <sz val="10"/>
      <name val="Arial"/>
      <family val="2"/>
    </font>
  </fonts>
  <fills count="16">
    <fill>
      <patternFill patternType="none"/>
    </fill>
    <fill>
      <patternFill patternType="gray125"/>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3" tint="0.39997558519241921"/>
        <bgColor indexed="64"/>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
      <patternFill patternType="solid">
        <fgColor rgb="FFCCCCFF"/>
        <bgColor indexed="64"/>
      </patternFill>
    </fill>
    <fill>
      <patternFill patternType="solid">
        <fgColor rgb="FFFFFF00"/>
        <bgColor indexed="64"/>
      </patternFill>
    </fill>
    <fill>
      <patternFill patternType="solid">
        <fgColor rgb="FFFFCCCC"/>
        <bgColor indexed="64"/>
      </patternFill>
    </fill>
    <fill>
      <patternFill patternType="solid">
        <fgColor rgb="FF99FFCC"/>
        <bgColor indexed="64"/>
      </patternFill>
    </fill>
    <fill>
      <patternFill patternType="solid">
        <fgColor rgb="FFFFC000"/>
        <bgColor indexed="64"/>
      </patternFill>
    </fill>
    <fill>
      <patternFill patternType="solid">
        <fgColor theme="6" tint="0.59999389629810485"/>
        <bgColor indexed="64"/>
      </patternFill>
    </fill>
    <fill>
      <patternFill patternType="solid">
        <fgColor rgb="FFFFCCFF"/>
        <bgColor indexed="64"/>
      </patternFill>
    </fill>
    <fill>
      <patternFill patternType="solid">
        <fgColor rgb="FFCCFFFF"/>
        <bgColor indexed="64"/>
      </patternFill>
    </fill>
  </fills>
  <borders count="7">
    <border>
      <left/>
      <right/>
      <top/>
      <bottom/>
      <diagonal/>
    </border>
    <border>
      <left style="thin">
        <color theme="0"/>
      </left>
      <right/>
      <top/>
      <bottom style="thin">
        <color theme="0"/>
      </bottom>
      <diagonal/>
    </border>
    <border>
      <left style="thin">
        <color theme="0"/>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1">
    <xf numFmtId="0" fontId="0" fillId="0" borderId="0"/>
  </cellStyleXfs>
  <cellXfs count="46">
    <xf numFmtId="0" fontId="0" fillId="0" borderId="0" xfId="0"/>
    <xf numFmtId="0" fontId="0" fillId="0" borderId="0" xfId="0" applyAlignment="1">
      <alignment wrapText="1"/>
    </xf>
    <xf numFmtId="0" fontId="0" fillId="0" borderId="0" xfId="0" applyAlignment="1"/>
    <xf numFmtId="49" fontId="0" fillId="2" borderId="1" xfId="0" applyNumberFormat="1" applyFill="1" applyBorder="1"/>
    <xf numFmtId="49" fontId="0" fillId="3" borderId="1" xfId="0" applyNumberFormat="1" applyFill="1" applyBorder="1"/>
    <xf numFmtId="0" fontId="0" fillId="4" borderId="0" xfId="0" applyFill="1"/>
    <xf numFmtId="0" fontId="1" fillId="0" borderId="0" xfId="0" applyFont="1"/>
    <xf numFmtId="0" fontId="1" fillId="5" borderId="0" xfId="0" applyFont="1" applyFill="1"/>
    <xf numFmtId="49" fontId="0" fillId="3" borderId="2" xfId="0" applyNumberFormat="1" applyFill="1" applyBorder="1"/>
    <xf numFmtId="0" fontId="0" fillId="6" borderId="3" xfId="0" applyFill="1" applyBorder="1" applyAlignment="1"/>
    <xf numFmtId="0" fontId="0" fillId="6" borderId="3" xfId="0" applyFill="1" applyBorder="1" applyAlignment="1">
      <alignment wrapText="1"/>
    </xf>
    <xf numFmtId="0" fontId="0" fillId="6" borderId="4" xfId="0" applyFill="1" applyBorder="1" applyAlignment="1"/>
    <xf numFmtId="0" fontId="0" fillId="6" borderId="4" xfId="0" applyFill="1" applyBorder="1" applyAlignment="1">
      <alignment wrapText="1"/>
    </xf>
    <xf numFmtId="0" fontId="0" fillId="7" borderId="3" xfId="0" applyFill="1" applyBorder="1" applyAlignment="1"/>
    <xf numFmtId="0" fontId="0" fillId="8" borderId="3" xfId="0" applyFill="1" applyBorder="1" applyAlignment="1"/>
    <xf numFmtId="0" fontId="0" fillId="7" borderId="3" xfId="0" applyFont="1" applyFill="1" applyBorder="1" applyAlignment="1"/>
    <xf numFmtId="0" fontId="0" fillId="9" borderId="3" xfId="0" applyFill="1" applyBorder="1" applyAlignment="1"/>
    <xf numFmtId="0" fontId="0" fillId="9" borderId="3" xfId="0" applyFill="1" applyBorder="1"/>
    <xf numFmtId="0" fontId="0" fillId="9" borderId="3" xfId="0" applyFill="1" applyBorder="1" applyAlignment="1">
      <alignment wrapText="1"/>
    </xf>
    <xf numFmtId="0" fontId="0" fillId="10" borderId="3" xfId="0" applyFill="1" applyBorder="1" applyAlignment="1">
      <alignment wrapText="1"/>
    </xf>
    <xf numFmtId="0" fontId="0" fillId="11" borderId="3" xfId="0" applyFill="1" applyBorder="1" applyAlignment="1">
      <alignment wrapText="1"/>
    </xf>
    <xf numFmtId="0" fontId="0" fillId="8" borderId="3" xfId="0" applyFont="1" applyFill="1" applyBorder="1" applyAlignment="1"/>
    <xf numFmtId="0" fontId="0" fillId="7" borderId="3" xfId="0" applyFill="1" applyBorder="1" applyAlignment="1">
      <alignment wrapText="1"/>
    </xf>
    <xf numFmtId="0" fontId="0" fillId="9" borderId="0" xfId="0" applyFill="1" applyAlignment="1">
      <alignment wrapText="1"/>
    </xf>
    <xf numFmtId="0" fontId="0" fillId="9" borderId="5" xfId="0" applyFill="1" applyBorder="1" applyAlignment="1">
      <alignment wrapText="1"/>
    </xf>
    <xf numFmtId="0" fontId="0" fillId="9" borderId="5" xfId="0" applyFill="1" applyBorder="1" applyAlignment="1"/>
    <xf numFmtId="0" fontId="0" fillId="9" borderId="5" xfId="0" applyFill="1" applyBorder="1"/>
    <xf numFmtId="0" fontId="0" fillId="12" borderId="3" xfId="0" applyFill="1" applyBorder="1" applyAlignment="1">
      <alignment wrapText="1"/>
    </xf>
    <xf numFmtId="0" fontId="0" fillId="12" borderId="3" xfId="0" applyFill="1" applyBorder="1" applyAlignment="1"/>
    <xf numFmtId="0" fontId="0" fillId="12" borderId="3" xfId="0" applyFill="1" applyBorder="1"/>
    <xf numFmtId="0" fontId="0" fillId="13" borderId="3" xfId="0" applyFill="1" applyBorder="1" applyAlignment="1">
      <alignment wrapText="1"/>
    </xf>
    <xf numFmtId="0" fontId="5" fillId="0" borderId="5" xfId="0" applyFont="1" applyBorder="1" applyAlignment="1">
      <alignment horizontal="left"/>
    </xf>
    <xf numFmtId="0" fontId="5" fillId="0" borderId="6" xfId="0" applyFont="1" applyBorder="1"/>
    <xf numFmtId="0" fontId="5" fillId="0" borderId="3" xfId="0" applyFont="1" applyBorder="1" applyAlignment="1">
      <alignment horizontal="left"/>
    </xf>
    <xf numFmtId="0" fontId="0" fillId="0" borderId="0" xfId="0" applyAlignment="1">
      <alignment horizontal="left" indent="2"/>
    </xf>
    <xf numFmtId="0" fontId="0" fillId="13" borderId="0" xfId="0" applyFill="1" applyAlignment="1">
      <alignment wrapText="1"/>
    </xf>
    <xf numFmtId="0" fontId="0" fillId="13" borderId="3" xfId="0" applyFill="1" applyBorder="1" applyAlignment="1"/>
    <xf numFmtId="0" fontId="0" fillId="13" borderId="3" xfId="0" applyFill="1" applyBorder="1"/>
    <xf numFmtId="0" fontId="0" fillId="14" borderId="0" xfId="0" applyFill="1" applyAlignment="1">
      <alignment wrapText="1"/>
    </xf>
    <xf numFmtId="0" fontId="0" fillId="14" borderId="3" xfId="0" applyFill="1" applyBorder="1" applyAlignment="1"/>
    <xf numFmtId="0" fontId="0" fillId="14" borderId="3" xfId="0" applyFill="1" applyBorder="1"/>
    <xf numFmtId="0" fontId="0" fillId="14" borderId="3" xfId="0" applyFill="1" applyBorder="1" applyAlignment="1">
      <alignment wrapText="1"/>
    </xf>
    <xf numFmtId="0" fontId="0" fillId="15" borderId="0" xfId="0" applyFill="1" applyAlignment="1">
      <alignment wrapText="1"/>
    </xf>
    <xf numFmtId="0" fontId="0" fillId="15" borderId="3" xfId="0" applyFill="1" applyBorder="1" applyAlignment="1"/>
    <xf numFmtId="0" fontId="0" fillId="15" borderId="3" xfId="0" applyFill="1" applyBorder="1"/>
    <xf numFmtId="0" fontId="0" fillId="15" borderId="3" xfId="0" applyFill="1" applyBorder="1" applyAlignment="1">
      <alignment wrapText="1"/>
    </xf>
  </cellXfs>
  <cellStyles count="1">
    <cellStyle name="Normal" xfId="0" builtinId="0"/>
  </cellStyles>
  <dxfs count="33">
    <dxf>
      <numFmt numFmtId="30" formatCode="@"/>
      <fill>
        <patternFill patternType="solid">
          <fgColor theme="4" tint="0.79998168889431442"/>
          <bgColor theme="4" tint="0.79998168889431442"/>
        </patternFill>
      </fill>
      <border diagonalUp="0" diagonalDown="0">
        <left style="thin">
          <color theme="0"/>
        </left>
        <right/>
        <top/>
        <bottom style="thin">
          <color theme="0"/>
        </bottom>
        <vertical/>
        <horizontal/>
      </border>
    </dxf>
    <dxf>
      <border outline="0">
        <left style="thin">
          <color theme="0"/>
        </left>
      </border>
    </dxf>
    <dxf>
      <fill>
        <patternFill patternType="solid">
          <fgColor theme="4" tint="0.79998168889431442"/>
          <bgColor theme="4" tint="0.79998168889431442"/>
        </patternFill>
      </fill>
    </dxf>
    <dxf>
      <font>
        <b val="0"/>
        <i val="0"/>
        <strike val="0"/>
        <condense val="0"/>
        <extend val="0"/>
        <outline val="0"/>
        <shadow val="0"/>
        <u val="none"/>
        <vertAlign val="baseline"/>
        <sz val="11"/>
        <color rgb="FFC00000"/>
        <name val="Calibri"/>
        <scheme val="minor"/>
      </font>
      <fill>
        <patternFill patternType="solid">
          <fgColor indexed="64"/>
          <bgColor theme="0"/>
        </patternFill>
      </fill>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patternType="none">
          <fgColor indexed="64"/>
          <bgColor rgb="FFFFFF0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border>
    </dxf>
    <dxf>
      <fill>
        <patternFill>
          <fgColor indexed="64"/>
          <bgColor rgb="FFFFFF00"/>
        </patternFill>
      </fill>
      <alignment horizontal="general" vertical="bottom" textRotation="0" wrapText="0" indent="0" justifyLastLine="0" shrinkToFit="0" readingOrder="0"/>
    </dxf>
    <dxf>
      <alignment horizontal="general" vertical="bottom" textRotation="0" wrapText="1"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relative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1" relativeIndent="0" justifyLastLine="0" shrinkToFit="0" readingOrder="0"/>
    </dxf>
  </dxfs>
  <tableStyles count="0" defaultTableStyle="TableStyleMedium9" defaultPivotStyle="PivotStyleLight16"/>
  <colors>
    <mruColors>
      <color rgb="FFCCFFFF"/>
      <color rgb="FFFFCCFF"/>
      <color rgb="FF00FFFF"/>
      <color rgb="FFFFFFCC"/>
      <color rgb="FF99FFCC"/>
      <color rgb="FFFFCCCC"/>
      <color rgb="FFCCCCFF"/>
      <color rgb="FFCCFFCC"/>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sites">
        <xsd:complexType>
          <xsd:sequence minOccurs="0">
            <xsd:element minOccurs="0" nillable="true" name="site" form="unqualified">
              <xsd:complexType>
                <xsd:sequence minOccurs="0">
                  <xsd:element minOccurs="0" maxOccurs="unbounded" nillable="true" name="pregunta" form="unqualified">
                    <xsd:complexType>
                      <xsd:sequence minOccurs="0">
                        <xsd:element minOccurs="0" nillable="true" type="xsd:string" name="url" form="unqualified"/>
                        <xsd:element minOccurs="0" nillable="true" name="respuestas" form="unqualified">
                          <xsd:complexType>
                            <xsd:sequence minOccurs="0">
                              <xsd:element minOccurs="0" nillable="true" name="brief" form="unqualified">
                                <xsd:complexType>
                                  <xsd:sequence minOccurs="0">
                                    <xsd:element minOccurs="0" nillable="true" type="xsd:string" name="resp1" form="unqualified"/>
                                    <xsd:element minOccurs="0" nillable="true" type="xsd:string" name="resp2" form="unqualified"/>
                                    <xsd:element minOccurs="0" nillable="true" type="xsd:string" name="resp3" form="unqualified"/>
                                    <xsd:element minOccurs="0" nillable="true" type="xsd:string" name="resp4" form="unqualified"/>
                                    <xsd:element minOccurs="0" nillable="true" type="xsd:string" name="long" form="unqualified"/>
                                  </xsd:sequence>
                                </xsd:complexType>
                              </xsd:element>
                            </xsd:sequence>
                          </xsd:complexType>
                        </xsd:element>
                      </xsd:sequence>
                      <xsd:attribute name="id" form="unqualified" type="xsd:integer"/>
                      <xsd:attribute name="texto" form="unqualified" type="xsd:string"/>
                    </xsd:complexType>
                  </xsd:element>
                </xsd:sequence>
                <xsd:attribute name="id" form="unqualified" type="xsd:integer"/>
              </xsd:complexType>
            </xsd:element>
          </xsd:sequence>
          <xsd:attribute name="fecha" form="unqualified" type="xsd:string"/>
          <xsd:attribute name="titulo" form="unqualified" type="xsd:string"/>
        </xsd:complexType>
      </xsd:element>
    </xsd:schema>
  </Schema>
  <Map ID="1" Name="sites_Map" RootElement="sites"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xmlMaps" Target="xmlMap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ables/table1.xml><?xml version="1.0" encoding="utf-8"?>
<table xmlns="http://schemas.openxmlformats.org/spreadsheetml/2006/main" id="4" name="Mitabla5" displayName="Mitabla5" ref="A1:M121" totalsRowShown="0" headerRowDxfId="32" dataDxfId="31">
  <tableColumns count="13">
    <tableColumn id="1" name="fecha" dataDxfId="30"/>
    <tableColumn id="2" name="titulo" dataDxfId="29"/>
    <tableColumn id="3" name="id_exam" dataDxfId="28"/>
    <tableColumn id="13" name="nombre_examen" dataDxfId="27"/>
    <tableColumn id="4" name="nquest" dataDxfId="26"/>
    <tableColumn id="5" name="Question" dataDxfId="25"/>
    <tableColumn id="6" name="url" dataDxfId="24"/>
    <tableColumn id="12" name="repeat" dataDxfId="23"/>
    <tableColumn id="11" name="delay" dataDxfId="22"/>
    <tableColumn id="7" name="answ1" dataDxfId="21"/>
    <tableColumn id="8" name="answ2" dataDxfId="20"/>
    <tableColumn id="9" name="answ3" dataDxfId="19"/>
    <tableColumn id="10" name="answ4" dataDxfId="18"/>
  </tableColumns>
  <tableStyleInfo showFirstColumn="0" showLastColumn="0" showRowStripes="1" showColumnStripes="0"/>
</table>
</file>

<file path=xl/tables/table2.xml><?xml version="1.0" encoding="utf-8"?>
<table xmlns="http://schemas.openxmlformats.org/spreadsheetml/2006/main" id="3" name="Mitabla34" displayName="Mitabla34" ref="A1:L2" insertRow="1" totalsRowShown="0" headerRowDxfId="17" dataDxfId="16">
  <tableColumns count="12">
    <tableColumn id="1" name="fecha" dataDxfId="15"/>
    <tableColumn id="2" name="titulo" dataDxfId="14"/>
    <tableColumn id="3" name="id_exam" dataDxfId="13"/>
    <tableColumn id="13" name="nombre_examen" dataDxfId="12"/>
    <tableColumn id="4" name="nquest" dataDxfId="11"/>
    <tableColumn id="5" name="Texto" dataDxfId="10"/>
    <tableColumn id="6" name="Question1" dataDxfId="9"/>
    <tableColumn id="7" name="answ1" dataDxfId="8"/>
    <tableColumn id="8" name="answ2" dataDxfId="7"/>
    <tableColumn id="9" name="answ3" dataDxfId="6"/>
    <tableColumn id="10" name="answ4" dataDxfId="5"/>
    <tableColumn id="11" name="Question2" dataDxfId="4"/>
  </tableColumns>
  <tableStyleInfo showFirstColumn="0" showLastColumn="0" showRowStripes="1" showColumnStripes="0"/>
</table>
</file>

<file path=xl/tables/table3.xml><?xml version="1.0" encoding="utf-8"?>
<table xmlns="http://schemas.openxmlformats.org/spreadsheetml/2006/main" id="2" name="Tabla2" displayName="Tabla2" ref="B1:B73" totalsRowShown="0" headerRowDxfId="3" dataDxfId="2" tableBorderDxfId="1">
  <tableColumns count="1">
    <tableColumn id="1" name="Poner DNI sin letra" dataDxfId="0"/>
  </tableColumns>
  <tableStyleInfo name="TableStyleLight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N719"/>
  <sheetViews>
    <sheetView topLeftCell="A694" zoomScale="75" zoomScaleNormal="75" workbookViewId="0">
      <selection activeCell="F582" sqref="F582"/>
    </sheetView>
  </sheetViews>
  <sheetFormatPr baseColWidth="10" defaultRowHeight="15" x14ac:dyDescent="0.25"/>
  <cols>
    <col min="1" max="1" width="6.42578125" style="1" customWidth="1"/>
    <col min="2" max="2" width="6.7109375" style="1" customWidth="1"/>
    <col min="3" max="3" width="5" style="1" customWidth="1"/>
    <col min="4" max="4" width="20.7109375" style="1" customWidth="1"/>
    <col min="5" max="5" width="8.140625" style="1" customWidth="1"/>
    <col min="6" max="6" width="96" style="1" customWidth="1"/>
    <col min="7" max="7" width="37.7109375" style="1" customWidth="1"/>
    <col min="8" max="8" width="7.7109375" style="1" bestFit="1" customWidth="1"/>
    <col min="9" max="9" width="8.28515625" style="1" bestFit="1" customWidth="1"/>
    <col min="10" max="10" width="58.28515625" style="1" customWidth="1"/>
    <col min="11" max="11" width="64.140625" style="1" customWidth="1"/>
    <col min="12" max="12" width="41.42578125" style="1" customWidth="1"/>
    <col min="13" max="13" width="36.42578125" style="1" bestFit="1" customWidth="1"/>
    <col min="14" max="14" width="14.28515625" style="1" customWidth="1"/>
    <col min="15" max="16384" width="11.42578125" style="1"/>
  </cols>
  <sheetData>
    <row r="1" spans="1:14" ht="30" x14ac:dyDescent="0.25">
      <c r="A1" s="1" t="s">
        <v>0</v>
      </c>
      <c r="B1" s="1" t="s">
        <v>1</v>
      </c>
      <c r="C1" s="1" t="s">
        <v>8</v>
      </c>
      <c r="D1" s="1" t="s">
        <v>15</v>
      </c>
      <c r="E1" s="1" t="s">
        <v>10</v>
      </c>
      <c r="F1" s="1" t="s">
        <v>9</v>
      </c>
      <c r="G1" s="1" t="s">
        <v>2</v>
      </c>
      <c r="H1" s="1" t="s">
        <v>5</v>
      </c>
      <c r="I1" s="1" t="s">
        <v>11</v>
      </c>
      <c r="J1" s="1" t="s">
        <v>3</v>
      </c>
      <c r="K1" s="1" t="s">
        <v>4</v>
      </c>
      <c r="L1" s="1" t="s">
        <v>6</v>
      </c>
      <c r="M1" s="1" t="s">
        <v>7</v>
      </c>
    </row>
    <row r="2" spans="1:14" s="9" customFormat="1" x14ac:dyDescent="0.25">
      <c r="A2" s="11"/>
      <c r="B2" s="11"/>
      <c r="C2" s="11">
        <v>1</v>
      </c>
      <c r="D2" s="11" t="s">
        <v>55</v>
      </c>
      <c r="E2" s="11">
        <v>1</v>
      </c>
      <c r="F2" s="11" t="s">
        <v>56</v>
      </c>
      <c r="G2" s="11" t="s">
        <v>1646</v>
      </c>
      <c r="H2" s="11">
        <v>1</v>
      </c>
      <c r="I2" s="11">
        <v>15</v>
      </c>
      <c r="J2" s="11" t="s">
        <v>423</v>
      </c>
      <c r="K2" s="11" t="s">
        <v>433</v>
      </c>
      <c r="L2" s="11" t="s">
        <v>219</v>
      </c>
      <c r="M2" s="11" t="s">
        <v>218</v>
      </c>
      <c r="N2" s="11"/>
    </row>
    <row r="3" spans="1:14" s="9" customFormat="1" x14ac:dyDescent="0.25">
      <c r="A3" s="11"/>
      <c r="B3" s="11"/>
      <c r="C3" s="11"/>
      <c r="D3" s="11" t="s">
        <v>1872</v>
      </c>
      <c r="E3" s="11">
        <v>2</v>
      </c>
      <c r="F3" s="11" t="s">
        <v>57</v>
      </c>
      <c r="G3" s="11" t="s">
        <v>1647</v>
      </c>
      <c r="H3" s="11">
        <v>1</v>
      </c>
      <c r="I3" s="11">
        <v>15</v>
      </c>
      <c r="J3" s="11" t="s">
        <v>424</v>
      </c>
      <c r="K3" s="11" t="s">
        <v>457</v>
      </c>
      <c r="L3" s="11" t="s">
        <v>220</v>
      </c>
      <c r="M3" s="11" t="s">
        <v>217</v>
      </c>
      <c r="N3" s="11"/>
    </row>
    <row r="4" spans="1:14" s="9" customFormat="1" x14ac:dyDescent="0.25">
      <c r="A4" s="11"/>
      <c r="B4" s="11"/>
      <c r="C4" s="11"/>
      <c r="D4" s="11" t="s">
        <v>16</v>
      </c>
      <c r="E4" s="11">
        <v>3</v>
      </c>
      <c r="F4" s="11" t="s">
        <v>58</v>
      </c>
      <c r="G4" s="11" t="s">
        <v>1648</v>
      </c>
      <c r="H4" s="11">
        <v>1</v>
      </c>
      <c r="I4" s="11">
        <v>15</v>
      </c>
      <c r="J4" s="11" t="s">
        <v>425</v>
      </c>
      <c r="K4" s="11" t="s">
        <v>434</v>
      </c>
      <c r="L4" s="11" t="s">
        <v>221</v>
      </c>
      <c r="M4" s="11" t="s">
        <v>216</v>
      </c>
      <c r="N4" s="11"/>
    </row>
    <row r="5" spans="1:14" s="9" customFormat="1" x14ac:dyDescent="0.25">
      <c r="A5" s="11"/>
      <c r="B5" s="11"/>
      <c r="C5" s="11"/>
      <c r="D5" s="11"/>
      <c r="E5" s="11">
        <v>4</v>
      </c>
      <c r="F5" s="11" t="s">
        <v>59</v>
      </c>
      <c r="G5" s="11" t="s">
        <v>1649</v>
      </c>
      <c r="H5" s="11">
        <v>1</v>
      </c>
      <c r="I5" s="11">
        <v>15</v>
      </c>
      <c r="J5" s="11" t="s">
        <v>426</v>
      </c>
      <c r="K5" s="11" t="s">
        <v>435</v>
      </c>
      <c r="L5" s="11" t="s">
        <v>222</v>
      </c>
      <c r="M5" s="11" t="s">
        <v>215</v>
      </c>
      <c r="N5" s="11"/>
    </row>
    <row r="6" spans="1:14" s="9" customFormat="1" x14ac:dyDescent="0.25">
      <c r="A6" s="11"/>
      <c r="B6" s="11"/>
      <c r="C6" s="11"/>
      <c r="D6" s="11"/>
      <c r="E6" s="11">
        <v>5</v>
      </c>
      <c r="F6" s="11" t="s">
        <v>60</v>
      </c>
      <c r="G6" s="11" t="s">
        <v>1650</v>
      </c>
      <c r="H6" s="11">
        <v>1</v>
      </c>
      <c r="I6" s="11">
        <v>15</v>
      </c>
      <c r="J6" s="11" t="s">
        <v>427</v>
      </c>
      <c r="K6" s="11" t="s">
        <v>436</v>
      </c>
      <c r="L6" s="11" t="s">
        <v>223</v>
      </c>
      <c r="M6" s="11" t="s">
        <v>214</v>
      </c>
      <c r="N6" s="11"/>
    </row>
    <row r="7" spans="1:14" s="9" customFormat="1" x14ac:dyDescent="0.25">
      <c r="A7" s="11"/>
      <c r="B7" s="11"/>
      <c r="C7" s="11"/>
      <c r="D7" s="11"/>
      <c r="E7" s="11">
        <v>6</v>
      </c>
      <c r="F7" s="11" t="s">
        <v>61</v>
      </c>
      <c r="G7" s="11" t="s">
        <v>1651</v>
      </c>
      <c r="H7" s="11">
        <v>1</v>
      </c>
      <c r="I7" s="11">
        <v>15</v>
      </c>
      <c r="J7" s="11" t="s">
        <v>428</v>
      </c>
      <c r="K7" s="11" t="s">
        <v>437</v>
      </c>
      <c r="L7" s="11" t="s">
        <v>224</v>
      </c>
      <c r="M7" s="11" t="s">
        <v>213</v>
      </c>
      <c r="N7" s="11"/>
    </row>
    <row r="8" spans="1:14" s="9" customFormat="1" x14ac:dyDescent="0.25">
      <c r="A8" s="11"/>
      <c r="B8" s="11"/>
      <c r="C8" s="11"/>
      <c r="D8" s="11"/>
      <c r="E8" s="11">
        <v>7</v>
      </c>
      <c r="F8" s="11" t="s">
        <v>62</v>
      </c>
      <c r="G8" s="11" t="s">
        <v>1652</v>
      </c>
      <c r="H8" s="11">
        <v>1</v>
      </c>
      <c r="I8" s="11">
        <v>15</v>
      </c>
      <c r="J8" s="11" t="s">
        <v>429</v>
      </c>
      <c r="K8" s="11" t="s">
        <v>438</v>
      </c>
      <c r="L8" s="11" t="s">
        <v>225</v>
      </c>
      <c r="M8" s="11" t="s">
        <v>212</v>
      </c>
      <c r="N8" s="11"/>
    </row>
    <row r="9" spans="1:14" s="9" customFormat="1" x14ac:dyDescent="0.25">
      <c r="A9" s="11"/>
      <c r="B9" s="11"/>
      <c r="C9" s="11"/>
      <c r="D9" s="11"/>
      <c r="E9" s="11">
        <v>8</v>
      </c>
      <c r="F9" s="11" t="s">
        <v>63</v>
      </c>
      <c r="G9" s="11" t="s">
        <v>1653</v>
      </c>
      <c r="H9" s="11">
        <v>1</v>
      </c>
      <c r="I9" s="11">
        <v>15</v>
      </c>
      <c r="J9" s="11" t="s">
        <v>1664</v>
      </c>
      <c r="K9" s="11" t="s">
        <v>1665</v>
      </c>
      <c r="L9" s="11" t="s">
        <v>1666</v>
      </c>
      <c r="M9" s="11" t="s">
        <v>1667</v>
      </c>
      <c r="N9" s="11"/>
    </row>
    <row r="10" spans="1:14" s="9" customFormat="1" x14ac:dyDescent="0.25">
      <c r="A10" s="11"/>
      <c r="B10" s="11"/>
      <c r="C10" s="11"/>
      <c r="D10" s="11"/>
      <c r="E10" s="11">
        <v>9</v>
      </c>
      <c r="F10" s="11" t="s">
        <v>64</v>
      </c>
      <c r="G10" s="11" t="s">
        <v>1654</v>
      </c>
      <c r="H10" s="11">
        <v>1</v>
      </c>
      <c r="I10" s="11">
        <v>15</v>
      </c>
      <c r="J10" s="11" t="s">
        <v>430</v>
      </c>
      <c r="K10" s="11" t="s">
        <v>439</v>
      </c>
      <c r="L10" s="11" t="s">
        <v>226</v>
      </c>
      <c r="M10" s="11" t="s">
        <v>211</v>
      </c>
      <c r="N10" s="11"/>
    </row>
    <row r="11" spans="1:14" s="9" customFormat="1" x14ac:dyDescent="0.25">
      <c r="A11" s="11"/>
      <c r="B11" s="11"/>
      <c r="C11" s="11"/>
      <c r="D11" s="11"/>
      <c r="E11" s="11">
        <v>10</v>
      </c>
      <c r="F11" s="11" t="s">
        <v>65</v>
      </c>
      <c r="G11" s="11" t="s">
        <v>24</v>
      </c>
      <c r="H11" s="11">
        <v>1</v>
      </c>
      <c r="I11" s="11">
        <v>15</v>
      </c>
      <c r="J11" s="11" t="s">
        <v>431</v>
      </c>
      <c r="K11" s="11" t="s">
        <v>440</v>
      </c>
      <c r="L11" s="11" t="s">
        <v>227</v>
      </c>
      <c r="M11" s="11" t="s">
        <v>210</v>
      </c>
      <c r="N11" s="11"/>
    </row>
    <row r="12" spans="1:14" s="9" customFormat="1" x14ac:dyDescent="0.25">
      <c r="A12" s="11"/>
      <c r="B12" s="11"/>
      <c r="C12" s="11"/>
      <c r="D12" s="11"/>
      <c r="E12" s="11">
        <v>11</v>
      </c>
      <c r="F12" s="11" t="s">
        <v>66</v>
      </c>
      <c r="G12" s="11" t="s">
        <v>25</v>
      </c>
      <c r="H12" s="11">
        <v>1</v>
      </c>
      <c r="I12" s="11">
        <v>15</v>
      </c>
      <c r="J12" s="11" t="s">
        <v>432</v>
      </c>
      <c r="K12" s="11" t="s">
        <v>441</v>
      </c>
      <c r="L12" s="11" t="s">
        <v>228</v>
      </c>
      <c r="M12" s="11" t="s">
        <v>209</v>
      </c>
      <c r="N12" s="11"/>
    </row>
    <row r="13" spans="1:14" s="9" customFormat="1" x14ac:dyDescent="0.25">
      <c r="A13" s="11"/>
      <c r="B13" s="11"/>
      <c r="C13" s="11"/>
      <c r="D13" s="11"/>
      <c r="E13" s="11">
        <v>12</v>
      </c>
      <c r="F13" s="11" t="s">
        <v>67</v>
      </c>
      <c r="G13" s="11" t="s">
        <v>26</v>
      </c>
      <c r="H13" s="11">
        <v>1</v>
      </c>
      <c r="I13" s="11">
        <v>15</v>
      </c>
      <c r="J13" s="11" t="s">
        <v>456</v>
      </c>
      <c r="K13" s="11" t="s">
        <v>442</v>
      </c>
      <c r="L13" s="11" t="s">
        <v>229</v>
      </c>
      <c r="M13" s="11" t="s">
        <v>208</v>
      </c>
      <c r="N13" s="11"/>
    </row>
    <row r="14" spans="1:14" s="9" customFormat="1" x14ac:dyDescent="0.25">
      <c r="A14" s="11"/>
      <c r="B14" s="11"/>
      <c r="C14" s="11"/>
      <c r="D14" s="11"/>
      <c r="E14" s="11">
        <v>13</v>
      </c>
      <c r="F14" s="11" t="s">
        <v>68</v>
      </c>
      <c r="G14" s="11" t="s">
        <v>27</v>
      </c>
      <c r="H14" s="11">
        <v>1</v>
      </c>
      <c r="I14" s="11">
        <v>15</v>
      </c>
      <c r="J14" s="11" t="s">
        <v>448</v>
      </c>
      <c r="K14" s="11" t="s">
        <v>443</v>
      </c>
      <c r="L14" s="11" t="s">
        <v>230</v>
      </c>
      <c r="M14" s="11" t="s">
        <v>207</v>
      </c>
      <c r="N14" s="11"/>
    </row>
    <row r="15" spans="1:14" s="9" customFormat="1" x14ac:dyDescent="0.25">
      <c r="A15" s="11"/>
      <c r="B15" s="11"/>
      <c r="C15" s="11"/>
      <c r="D15" s="11"/>
      <c r="E15" s="11">
        <v>14</v>
      </c>
      <c r="F15" s="11" t="s">
        <v>69</v>
      </c>
      <c r="G15" s="11" t="s">
        <v>28</v>
      </c>
      <c r="H15" s="11">
        <v>1</v>
      </c>
      <c r="I15" s="11">
        <v>15</v>
      </c>
      <c r="J15" s="11" t="s">
        <v>449</v>
      </c>
      <c r="K15" s="11" t="s">
        <v>444</v>
      </c>
      <c r="L15" s="11" t="s">
        <v>231</v>
      </c>
      <c r="M15" s="11" t="s">
        <v>206</v>
      </c>
      <c r="N15" s="11"/>
    </row>
    <row r="16" spans="1:14" s="9" customFormat="1" x14ac:dyDescent="0.25">
      <c r="A16" s="11"/>
      <c r="B16" s="11"/>
      <c r="C16" s="11"/>
      <c r="D16" s="11"/>
      <c r="E16" s="11">
        <v>15</v>
      </c>
      <c r="F16" s="11" t="s">
        <v>70</v>
      </c>
      <c r="G16" s="11" t="s">
        <v>29</v>
      </c>
      <c r="H16" s="11">
        <v>1</v>
      </c>
      <c r="I16" s="11">
        <v>15</v>
      </c>
      <c r="J16" s="11" t="s">
        <v>450</v>
      </c>
      <c r="K16" s="11" t="s">
        <v>445</v>
      </c>
      <c r="L16" s="11" t="s">
        <v>232</v>
      </c>
      <c r="M16" s="11" t="s">
        <v>205</v>
      </c>
      <c r="N16" s="11"/>
    </row>
    <row r="17" spans="1:14" s="9" customFormat="1" x14ac:dyDescent="0.25">
      <c r="A17" s="11"/>
      <c r="B17" s="11"/>
      <c r="C17" s="11"/>
      <c r="D17" s="11"/>
      <c r="E17" s="11">
        <v>16</v>
      </c>
      <c r="F17" s="11" t="s">
        <v>71</v>
      </c>
      <c r="G17" s="11" t="s">
        <v>30</v>
      </c>
      <c r="H17" s="11">
        <v>1</v>
      </c>
      <c r="I17" s="11">
        <v>15</v>
      </c>
      <c r="J17" s="11" t="s">
        <v>451</v>
      </c>
      <c r="K17" s="11" t="s">
        <v>458</v>
      </c>
      <c r="L17" s="11" t="s">
        <v>233</v>
      </c>
      <c r="M17" s="11" t="s">
        <v>469</v>
      </c>
      <c r="N17" s="11"/>
    </row>
    <row r="18" spans="1:14" s="9" customFormat="1" x14ac:dyDescent="0.25">
      <c r="A18" s="11"/>
      <c r="B18" s="11"/>
      <c r="C18" s="11"/>
      <c r="D18" s="11"/>
      <c r="E18" s="11">
        <v>17</v>
      </c>
      <c r="F18" s="11" t="s">
        <v>72</v>
      </c>
      <c r="G18" s="11" t="s">
        <v>31</v>
      </c>
      <c r="H18" s="11">
        <v>1</v>
      </c>
      <c r="I18" s="11">
        <v>15</v>
      </c>
      <c r="J18" s="11" t="s">
        <v>464</v>
      </c>
      <c r="K18" s="11" t="s">
        <v>446</v>
      </c>
      <c r="L18" s="11" t="s">
        <v>234</v>
      </c>
      <c r="M18" s="11" t="s">
        <v>459</v>
      </c>
      <c r="N18" s="11"/>
    </row>
    <row r="19" spans="1:14" s="9" customFormat="1" x14ac:dyDescent="0.25">
      <c r="A19" s="11"/>
      <c r="B19" s="11"/>
      <c r="C19" s="11"/>
      <c r="D19" s="11"/>
      <c r="E19" s="11">
        <v>18</v>
      </c>
      <c r="F19" s="11" t="s">
        <v>73</v>
      </c>
      <c r="G19" s="11" t="s">
        <v>32</v>
      </c>
      <c r="H19" s="11">
        <v>1</v>
      </c>
      <c r="I19" s="11">
        <v>15</v>
      </c>
      <c r="J19" s="11" t="s">
        <v>452</v>
      </c>
      <c r="K19" s="11" t="s">
        <v>447</v>
      </c>
      <c r="L19" s="11" t="s">
        <v>235</v>
      </c>
      <c r="M19" s="11" t="s">
        <v>204</v>
      </c>
      <c r="N19" s="11"/>
    </row>
    <row r="20" spans="1:14" s="9" customFormat="1" x14ac:dyDescent="0.25">
      <c r="A20" s="11"/>
      <c r="B20" s="11"/>
      <c r="C20" s="11"/>
      <c r="D20" s="11"/>
      <c r="E20" s="11">
        <v>19</v>
      </c>
      <c r="F20" s="11" t="s">
        <v>74</v>
      </c>
      <c r="G20" s="11" t="s">
        <v>33</v>
      </c>
      <c r="H20" s="11">
        <v>1</v>
      </c>
      <c r="I20" s="11">
        <v>15</v>
      </c>
      <c r="J20" s="11" t="s">
        <v>453</v>
      </c>
      <c r="K20" s="11" t="s">
        <v>462</v>
      </c>
      <c r="L20" s="11" t="s">
        <v>236</v>
      </c>
      <c r="M20" s="11" t="s">
        <v>460</v>
      </c>
      <c r="N20" s="11"/>
    </row>
    <row r="21" spans="1:14" s="9" customFormat="1" x14ac:dyDescent="0.25">
      <c r="A21" s="11"/>
      <c r="B21" s="11"/>
      <c r="C21" s="11"/>
      <c r="D21" s="11"/>
      <c r="E21" s="11">
        <v>20</v>
      </c>
      <c r="F21" s="11" t="s">
        <v>75</v>
      </c>
      <c r="G21" s="11" t="s">
        <v>34</v>
      </c>
      <c r="H21" s="11">
        <v>1</v>
      </c>
      <c r="I21" s="11">
        <v>15</v>
      </c>
      <c r="J21" s="11" t="s">
        <v>463</v>
      </c>
      <c r="K21" s="11" t="s">
        <v>454</v>
      </c>
      <c r="L21" s="11" t="s">
        <v>475</v>
      </c>
      <c r="M21" s="11" t="s">
        <v>461</v>
      </c>
      <c r="N21" s="11"/>
    </row>
    <row r="22" spans="1:14" s="9" customFormat="1" x14ac:dyDescent="0.25">
      <c r="A22" s="11"/>
      <c r="B22" s="11"/>
      <c r="C22" s="11"/>
      <c r="D22" s="11"/>
      <c r="E22" s="11">
        <v>21</v>
      </c>
      <c r="F22" s="11" t="s">
        <v>76</v>
      </c>
      <c r="G22" s="11" t="s">
        <v>77</v>
      </c>
      <c r="H22" s="11">
        <v>1</v>
      </c>
      <c r="I22" s="11">
        <v>15</v>
      </c>
      <c r="J22" s="11" t="s">
        <v>78</v>
      </c>
      <c r="K22" s="11" t="s">
        <v>79</v>
      </c>
      <c r="L22" s="11" t="s">
        <v>80</v>
      </c>
      <c r="M22" s="11" t="s">
        <v>81</v>
      </c>
      <c r="N22" s="11"/>
    </row>
    <row r="23" spans="1:14" s="9" customFormat="1" x14ac:dyDescent="0.25">
      <c r="A23" s="11"/>
      <c r="B23" s="11"/>
      <c r="C23" s="11"/>
      <c r="D23" s="11"/>
      <c r="E23" s="11">
        <v>22</v>
      </c>
      <c r="F23" s="11" t="s">
        <v>82</v>
      </c>
      <c r="G23" s="11" t="s">
        <v>83</v>
      </c>
      <c r="H23" s="11">
        <v>1</v>
      </c>
      <c r="I23" s="11">
        <v>15</v>
      </c>
      <c r="J23" s="11" t="s">
        <v>84</v>
      </c>
      <c r="K23" s="11" t="s">
        <v>85</v>
      </c>
      <c r="L23" s="11" t="s">
        <v>86</v>
      </c>
      <c r="M23" s="11" t="s">
        <v>87</v>
      </c>
      <c r="N23" s="11"/>
    </row>
    <row r="24" spans="1:14" s="9" customFormat="1" x14ac:dyDescent="0.25">
      <c r="A24" s="11"/>
      <c r="B24" s="11"/>
      <c r="C24" s="11"/>
      <c r="D24" s="11"/>
      <c r="E24" s="11">
        <v>23</v>
      </c>
      <c r="F24" s="11" t="s">
        <v>88</v>
      </c>
      <c r="G24" s="11" t="s">
        <v>89</v>
      </c>
      <c r="H24" s="11">
        <v>1</v>
      </c>
      <c r="I24" s="11">
        <v>15</v>
      </c>
      <c r="J24" s="11" t="s">
        <v>90</v>
      </c>
      <c r="K24" s="11" t="s">
        <v>91</v>
      </c>
      <c r="L24" s="11" t="s">
        <v>92</v>
      </c>
      <c r="M24" s="11" t="s">
        <v>93</v>
      </c>
      <c r="N24" s="11"/>
    </row>
    <row r="25" spans="1:14" s="9" customFormat="1" x14ac:dyDescent="0.25">
      <c r="A25" s="11"/>
      <c r="B25" s="11"/>
      <c r="C25" s="11"/>
      <c r="D25" s="11"/>
      <c r="E25" s="11">
        <v>24</v>
      </c>
      <c r="F25" s="11" t="s">
        <v>94</v>
      </c>
      <c r="G25" s="11" t="s">
        <v>95</v>
      </c>
      <c r="H25" s="11">
        <v>1</v>
      </c>
      <c r="I25" s="11">
        <v>15</v>
      </c>
      <c r="J25" s="11" t="s">
        <v>96</v>
      </c>
      <c r="K25" s="11" t="s">
        <v>97</v>
      </c>
      <c r="L25" s="11" t="s">
        <v>98</v>
      </c>
      <c r="M25" s="11" t="s">
        <v>99</v>
      </c>
      <c r="N25" s="11"/>
    </row>
    <row r="26" spans="1:14" s="9" customFormat="1" x14ac:dyDescent="0.25">
      <c r="A26" s="11"/>
      <c r="B26" s="11"/>
      <c r="C26" s="11"/>
      <c r="D26" s="11"/>
      <c r="E26" s="11">
        <v>25</v>
      </c>
      <c r="F26" s="11" t="s">
        <v>100</v>
      </c>
      <c r="G26" s="11" t="s">
        <v>101</v>
      </c>
      <c r="H26" s="11">
        <v>1</v>
      </c>
      <c r="I26" s="11">
        <v>15</v>
      </c>
      <c r="J26" s="11" t="s">
        <v>102</v>
      </c>
      <c r="K26" s="11" t="s">
        <v>103</v>
      </c>
      <c r="L26" s="11" t="s">
        <v>104</v>
      </c>
      <c r="M26" s="11" t="s">
        <v>105</v>
      </c>
      <c r="N26" s="11"/>
    </row>
    <row r="27" spans="1:14" s="9" customFormat="1" x14ac:dyDescent="0.25">
      <c r="A27" s="11"/>
      <c r="B27" s="11"/>
      <c r="C27" s="11"/>
      <c r="D27" s="11"/>
      <c r="E27" s="11">
        <v>26</v>
      </c>
      <c r="F27" s="11" t="s">
        <v>106</v>
      </c>
      <c r="G27" s="11" t="s">
        <v>107</v>
      </c>
      <c r="H27" s="11">
        <v>1</v>
      </c>
      <c r="I27" s="11">
        <v>15</v>
      </c>
      <c r="J27" s="11" t="s">
        <v>465</v>
      </c>
      <c r="K27" s="11" t="s">
        <v>466</v>
      </c>
      <c r="L27" s="11" t="s">
        <v>108</v>
      </c>
      <c r="M27" s="11" t="s">
        <v>109</v>
      </c>
      <c r="N27" s="11"/>
    </row>
    <row r="28" spans="1:14" s="9" customFormat="1" x14ac:dyDescent="0.25">
      <c r="A28" s="11"/>
      <c r="B28" s="11"/>
      <c r="C28" s="11"/>
      <c r="D28" s="11"/>
      <c r="E28" s="11">
        <v>27</v>
      </c>
      <c r="F28" s="11" t="s">
        <v>110</v>
      </c>
      <c r="G28" s="11" t="s">
        <v>111</v>
      </c>
      <c r="H28" s="11">
        <v>1</v>
      </c>
      <c r="I28" s="11">
        <v>15</v>
      </c>
      <c r="J28" s="11" t="s">
        <v>112</v>
      </c>
      <c r="K28" s="11" t="s">
        <v>113</v>
      </c>
      <c r="L28" s="11" t="s">
        <v>114</v>
      </c>
      <c r="M28" s="11" t="s">
        <v>470</v>
      </c>
      <c r="N28" s="11"/>
    </row>
    <row r="29" spans="1:14" s="9" customFormat="1" x14ac:dyDescent="0.25">
      <c r="A29" s="11"/>
      <c r="B29" s="11"/>
      <c r="C29" s="11"/>
      <c r="D29" s="11"/>
      <c r="E29" s="11">
        <v>28</v>
      </c>
      <c r="F29" s="11" t="s">
        <v>115</v>
      </c>
      <c r="G29" s="11" t="s">
        <v>116</v>
      </c>
      <c r="H29" s="11">
        <v>1</v>
      </c>
      <c r="I29" s="11">
        <v>15</v>
      </c>
      <c r="J29" s="11" t="s">
        <v>117</v>
      </c>
      <c r="K29" s="11" t="s">
        <v>118</v>
      </c>
      <c r="L29" s="11" t="s">
        <v>119</v>
      </c>
      <c r="M29" s="11" t="s">
        <v>120</v>
      </c>
      <c r="N29" s="11"/>
    </row>
    <row r="30" spans="1:14" s="9" customFormat="1" x14ac:dyDescent="0.25">
      <c r="A30" s="11"/>
      <c r="B30" s="11"/>
      <c r="C30" s="11"/>
      <c r="D30" s="11"/>
      <c r="E30" s="11">
        <v>29</v>
      </c>
      <c r="F30" s="11" t="s">
        <v>121</v>
      </c>
      <c r="G30" s="11" t="s">
        <v>122</v>
      </c>
      <c r="H30" s="11">
        <v>1</v>
      </c>
      <c r="I30" s="11">
        <v>15</v>
      </c>
      <c r="J30" s="11" t="s">
        <v>123</v>
      </c>
      <c r="K30" s="11" t="s">
        <v>124</v>
      </c>
      <c r="L30" s="11" t="s">
        <v>1834</v>
      </c>
      <c r="M30" s="11" t="s">
        <v>125</v>
      </c>
      <c r="N30" s="11"/>
    </row>
    <row r="31" spans="1:14" s="9" customFormat="1" x14ac:dyDescent="0.25">
      <c r="A31" s="11"/>
      <c r="B31" s="11"/>
      <c r="C31" s="11"/>
      <c r="D31" s="11"/>
      <c r="E31" s="11">
        <v>30</v>
      </c>
      <c r="F31" s="11" t="s">
        <v>126</v>
      </c>
      <c r="G31" s="11" t="s">
        <v>127</v>
      </c>
      <c r="H31" s="11">
        <v>1</v>
      </c>
      <c r="I31" s="11">
        <v>15</v>
      </c>
      <c r="J31" s="11" t="s">
        <v>128</v>
      </c>
      <c r="K31" s="11" t="s">
        <v>129</v>
      </c>
      <c r="L31" s="11" t="s">
        <v>130</v>
      </c>
      <c r="M31" s="11" t="s">
        <v>471</v>
      </c>
      <c r="N31" s="11"/>
    </row>
    <row r="32" spans="1:14" s="9" customFormat="1" x14ac:dyDescent="0.25">
      <c r="A32" s="11"/>
      <c r="B32" s="11"/>
      <c r="C32" s="11"/>
      <c r="D32" s="11"/>
      <c r="E32" s="11">
        <v>31</v>
      </c>
      <c r="F32" s="11" t="s">
        <v>131</v>
      </c>
      <c r="G32" s="11" t="s">
        <v>132</v>
      </c>
      <c r="H32" s="11">
        <v>1</v>
      </c>
      <c r="I32" s="11">
        <v>15</v>
      </c>
      <c r="J32" s="11" t="s">
        <v>133</v>
      </c>
      <c r="K32" s="11" t="s">
        <v>467</v>
      </c>
      <c r="L32" s="11" t="s">
        <v>134</v>
      </c>
      <c r="M32" s="11" t="s">
        <v>135</v>
      </c>
      <c r="N32" s="11"/>
    </row>
    <row r="33" spans="1:14" s="9" customFormat="1" x14ac:dyDescent="0.25">
      <c r="A33" s="11"/>
      <c r="B33" s="11"/>
      <c r="C33" s="11"/>
      <c r="D33" s="11"/>
      <c r="E33" s="11">
        <v>32</v>
      </c>
      <c r="F33" s="11" t="s">
        <v>474</v>
      </c>
      <c r="G33" s="11" t="s">
        <v>136</v>
      </c>
      <c r="H33" s="11">
        <v>1</v>
      </c>
      <c r="I33" s="11">
        <v>15</v>
      </c>
      <c r="J33" s="11" t="s">
        <v>137</v>
      </c>
      <c r="K33" s="11" t="s">
        <v>138</v>
      </c>
      <c r="L33" s="11" t="s">
        <v>1833</v>
      </c>
      <c r="M33" s="11" t="s">
        <v>139</v>
      </c>
      <c r="N33" s="11"/>
    </row>
    <row r="34" spans="1:14" s="9" customFormat="1" x14ac:dyDescent="0.25">
      <c r="A34" s="11"/>
      <c r="B34" s="11"/>
      <c r="C34" s="11"/>
      <c r="D34" s="11"/>
      <c r="E34" s="11">
        <v>33</v>
      </c>
      <c r="F34" s="11" t="s">
        <v>323</v>
      </c>
      <c r="G34" s="11" t="s">
        <v>140</v>
      </c>
      <c r="H34" s="11">
        <v>1</v>
      </c>
      <c r="I34" s="11">
        <v>15</v>
      </c>
      <c r="J34" s="11" t="s">
        <v>141</v>
      </c>
      <c r="K34" s="11" t="s">
        <v>142</v>
      </c>
      <c r="L34" s="11" t="s">
        <v>143</v>
      </c>
      <c r="M34" s="11" t="s">
        <v>1835</v>
      </c>
      <c r="N34" s="11"/>
    </row>
    <row r="35" spans="1:14" s="10" customFormat="1" ht="30" x14ac:dyDescent="0.25">
      <c r="A35" s="11"/>
      <c r="B35" s="11"/>
      <c r="C35" s="12"/>
      <c r="D35" s="12"/>
      <c r="E35" s="12">
        <v>34</v>
      </c>
      <c r="F35" s="12" t="s">
        <v>324</v>
      </c>
      <c r="G35" s="12" t="s">
        <v>144</v>
      </c>
      <c r="H35" s="12">
        <v>1</v>
      </c>
      <c r="I35" s="11">
        <v>15</v>
      </c>
      <c r="J35" s="12" t="s">
        <v>145</v>
      </c>
      <c r="K35" s="12" t="s">
        <v>146</v>
      </c>
      <c r="L35" s="12" t="s">
        <v>147</v>
      </c>
      <c r="M35" s="12" t="s">
        <v>148</v>
      </c>
      <c r="N35" s="12"/>
    </row>
    <row r="36" spans="1:14" s="10" customFormat="1" ht="30" x14ac:dyDescent="0.25">
      <c r="A36" s="11"/>
      <c r="B36" s="11"/>
      <c r="C36" s="12"/>
      <c r="D36" s="12"/>
      <c r="E36" s="12">
        <v>35</v>
      </c>
      <c r="F36" s="12" t="s">
        <v>325</v>
      </c>
      <c r="G36" s="12" t="s">
        <v>149</v>
      </c>
      <c r="H36" s="12">
        <v>1</v>
      </c>
      <c r="I36" s="11">
        <v>15</v>
      </c>
      <c r="J36" s="12" t="s">
        <v>150</v>
      </c>
      <c r="K36" s="12" t="s">
        <v>468</v>
      </c>
      <c r="L36" s="12" t="s">
        <v>151</v>
      </c>
      <c r="M36" s="12" t="s">
        <v>472</v>
      </c>
      <c r="N36" s="12"/>
    </row>
    <row r="37" spans="1:14" s="10" customFormat="1" ht="30" x14ac:dyDescent="0.25">
      <c r="A37" s="11"/>
      <c r="B37" s="11"/>
      <c r="C37" s="12"/>
      <c r="D37" s="12"/>
      <c r="E37" s="12">
        <v>36</v>
      </c>
      <c r="F37" s="12" t="s">
        <v>326</v>
      </c>
      <c r="G37" s="12" t="s">
        <v>152</v>
      </c>
      <c r="H37" s="12">
        <v>1</v>
      </c>
      <c r="I37" s="11">
        <v>15</v>
      </c>
      <c r="J37" s="12" t="s">
        <v>153</v>
      </c>
      <c r="K37" s="12" t="s">
        <v>154</v>
      </c>
      <c r="L37" s="12" t="s">
        <v>155</v>
      </c>
      <c r="M37" s="12" t="s">
        <v>156</v>
      </c>
      <c r="N37" s="12"/>
    </row>
    <row r="38" spans="1:14" s="10" customFormat="1" ht="30" x14ac:dyDescent="0.25">
      <c r="A38" s="11"/>
      <c r="B38" s="11"/>
      <c r="C38" s="12"/>
      <c r="D38" s="12"/>
      <c r="E38" s="12">
        <v>37</v>
      </c>
      <c r="F38" s="12" t="s">
        <v>327</v>
      </c>
      <c r="G38" s="12" t="s">
        <v>157</v>
      </c>
      <c r="H38" s="12">
        <v>1</v>
      </c>
      <c r="I38" s="11">
        <v>15</v>
      </c>
      <c r="J38" s="12" t="s">
        <v>158</v>
      </c>
      <c r="K38" s="12" t="s">
        <v>159</v>
      </c>
      <c r="L38" s="12" t="s">
        <v>160</v>
      </c>
      <c r="M38" s="12" t="s">
        <v>161</v>
      </c>
      <c r="N38" s="12"/>
    </row>
    <row r="39" spans="1:14" s="10" customFormat="1" ht="30" x14ac:dyDescent="0.25">
      <c r="A39" s="11"/>
      <c r="B39" s="11"/>
      <c r="C39" s="12"/>
      <c r="D39" s="12"/>
      <c r="E39" s="12">
        <v>38</v>
      </c>
      <c r="F39" s="12" t="s">
        <v>162</v>
      </c>
      <c r="G39" s="12" t="s">
        <v>163</v>
      </c>
      <c r="H39" s="12">
        <v>1</v>
      </c>
      <c r="I39" s="11">
        <v>15</v>
      </c>
      <c r="J39" s="12" t="s">
        <v>164</v>
      </c>
      <c r="K39" s="12" t="s">
        <v>165</v>
      </c>
      <c r="L39" s="12" t="s">
        <v>166</v>
      </c>
      <c r="M39" s="12" t="s">
        <v>167</v>
      </c>
      <c r="N39" s="12"/>
    </row>
    <row r="40" spans="1:14" s="10" customFormat="1" ht="30" x14ac:dyDescent="0.25">
      <c r="A40" s="11"/>
      <c r="B40" s="11"/>
      <c r="C40" s="12"/>
      <c r="D40" s="12"/>
      <c r="E40" s="12">
        <v>39</v>
      </c>
      <c r="F40" s="12" t="s">
        <v>328</v>
      </c>
      <c r="G40" s="12" t="s">
        <v>168</v>
      </c>
      <c r="H40" s="12">
        <v>1</v>
      </c>
      <c r="I40" s="11">
        <v>15</v>
      </c>
      <c r="J40" s="12" t="s">
        <v>473</v>
      </c>
      <c r="K40" s="12" t="s">
        <v>169</v>
      </c>
      <c r="L40" s="12" t="s">
        <v>170</v>
      </c>
      <c r="M40" s="12" t="s">
        <v>171</v>
      </c>
      <c r="N40" s="12"/>
    </row>
    <row r="41" spans="1:14" s="10" customFormat="1" ht="30" x14ac:dyDescent="0.25">
      <c r="A41" s="11"/>
      <c r="B41" s="11"/>
      <c r="C41" s="12"/>
      <c r="D41" s="12"/>
      <c r="E41" s="12">
        <v>40</v>
      </c>
      <c r="F41" s="12" t="s">
        <v>329</v>
      </c>
      <c r="G41" s="12" t="s">
        <v>172</v>
      </c>
      <c r="H41" s="12">
        <v>1</v>
      </c>
      <c r="I41" s="11">
        <v>15</v>
      </c>
      <c r="J41" s="12" t="s">
        <v>173</v>
      </c>
      <c r="K41" s="12" t="s">
        <v>174</v>
      </c>
      <c r="L41" s="12" t="s">
        <v>175</v>
      </c>
      <c r="M41" s="12" t="s">
        <v>176</v>
      </c>
      <c r="N41" s="12"/>
    </row>
    <row r="42" spans="1:14" x14ac:dyDescent="0.25">
      <c r="A42" s="13"/>
      <c r="B42" s="13"/>
      <c r="C42" s="13">
        <v>2</v>
      </c>
      <c r="D42" s="13" t="s">
        <v>35</v>
      </c>
      <c r="E42" s="13">
        <v>1</v>
      </c>
      <c r="F42" s="15" t="s">
        <v>557</v>
      </c>
      <c r="G42" s="13" t="s">
        <v>1655</v>
      </c>
      <c r="H42" s="15">
        <v>1</v>
      </c>
      <c r="I42" s="15">
        <v>8</v>
      </c>
      <c r="J42" s="15" t="s">
        <v>237</v>
      </c>
      <c r="K42" s="15" t="s">
        <v>257</v>
      </c>
      <c r="L42" s="15" t="s">
        <v>277</v>
      </c>
      <c r="M42" s="15" t="s">
        <v>297</v>
      </c>
    </row>
    <row r="43" spans="1:14" x14ac:dyDescent="0.25">
      <c r="A43" s="13"/>
      <c r="B43" s="13"/>
      <c r="C43" s="13"/>
      <c r="D43" s="13" t="s">
        <v>1872</v>
      </c>
      <c r="E43" s="13">
        <v>2</v>
      </c>
      <c r="F43" s="15" t="s">
        <v>558</v>
      </c>
      <c r="G43" s="13" t="s">
        <v>1656</v>
      </c>
      <c r="H43" s="15">
        <v>1</v>
      </c>
      <c r="I43" s="15">
        <v>8</v>
      </c>
      <c r="J43" s="15" t="s">
        <v>238</v>
      </c>
      <c r="K43" s="15" t="s">
        <v>258</v>
      </c>
      <c r="L43" s="15" t="s">
        <v>278</v>
      </c>
      <c r="M43" s="15" t="s">
        <v>298</v>
      </c>
    </row>
    <row r="44" spans="1:14" x14ac:dyDescent="0.25">
      <c r="A44" s="13"/>
      <c r="B44" s="13"/>
      <c r="C44" s="13"/>
      <c r="D44" s="11" t="s">
        <v>16</v>
      </c>
      <c r="E44" s="13">
        <v>3</v>
      </c>
      <c r="F44" s="15" t="s">
        <v>559</v>
      </c>
      <c r="G44" s="13" t="s">
        <v>1657</v>
      </c>
      <c r="H44" s="15">
        <v>1</v>
      </c>
      <c r="I44" s="15">
        <v>8</v>
      </c>
      <c r="J44" s="15" t="s">
        <v>239</v>
      </c>
      <c r="K44" s="15" t="s">
        <v>259</v>
      </c>
      <c r="L44" s="15" t="s">
        <v>279</v>
      </c>
      <c r="M44" s="15" t="s">
        <v>299</v>
      </c>
    </row>
    <row r="45" spans="1:14" x14ac:dyDescent="0.25">
      <c r="A45" s="13"/>
      <c r="B45" s="13"/>
      <c r="C45" s="13"/>
      <c r="D45" s="13"/>
      <c r="E45" s="13">
        <v>4</v>
      </c>
      <c r="F45" s="15" t="s">
        <v>560</v>
      </c>
      <c r="G45" s="13" t="s">
        <v>1658</v>
      </c>
      <c r="H45" s="15">
        <v>1</v>
      </c>
      <c r="I45" s="15">
        <v>8</v>
      </c>
      <c r="J45" s="15" t="s">
        <v>240</v>
      </c>
      <c r="K45" s="15" t="s">
        <v>260</v>
      </c>
      <c r="L45" s="15" t="s">
        <v>280</v>
      </c>
      <c r="M45" s="15" t="s">
        <v>300</v>
      </c>
    </row>
    <row r="46" spans="1:14" x14ac:dyDescent="0.25">
      <c r="A46" s="13"/>
      <c r="B46" s="13"/>
      <c r="C46" s="13"/>
      <c r="D46" s="13"/>
      <c r="E46" s="13">
        <v>5</v>
      </c>
      <c r="F46" s="15" t="s">
        <v>561</v>
      </c>
      <c r="G46" s="13" t="s">
        <v>1659</v>
      </c>
      <c r="H46" s="15">
        <v>1</v>
      </c>
      <c r="I46" s="15">
        <v>8</v>
      </c>
      <c r="J46" s="15" t="s">
        <v>241</v>
      </c>
      <c r="K46" s="15" t="s">
        <v>261</v>
      </c>
      <c r="L46" s="15" t="s">
        <v>281</v>
      </c>
      <c r="M46" s="15" t="s">
        <v>301</v>
      </c>
    </row>
    <row r="47" spans="1:14" x14ac:dyDescent="0.25">
      <c r="A47" s="13"/>
      <c r="B47" s="13"/>
      <c r="C47" s="13"/>
      <c r="D47" s="13"/>
      <c r="E47" s="13">
        <v>6</v>
      </c>
      <c r="F47" s="15" t="s">
        <v>562</v>
      </c>
      <c r="G47" s="13" t="s">
        <v>1660</v>
      </c>
      <c r="H47" s="15">
        <v>1</v>
      </c>
      <c r="I47" s="15">
        <v>8</v>
      </c>
      <c r="J47" s="15" t="s">
        <v>242</v>
      </c>
      <c r="K47" s="15" t="s">
        <v>262</v>
      </c>
      <c r="L47" s="15" t="s">
        <v>282</v>
      </c>
      <c r="M47" s="15" t="s">
        <v>302</v>
      </c>
    </row>
    <row r="48" spans="1:14" x14ac:dyDescent="0.25">
      <c r="A48" s="13"/>
      <c r="B48" s="13"/>
      <c r="C48" s="13"/>
      <c r="D48" s="13"/>
      <c r="E48" s="13">
        <v>7</v>
      </c>
      <c r="F48" s="15" t="s">
        <v>556</v>
      </c>
      <c r="G48" s="13" t="s">
        <v>1661</v>
      </c>
      <c r="H48" s="15">
        <v>1</v>
      </c>
      <c r="I48" s="15">
        <v>8</v>
      </c>
      <c r="J48" s="15" t="s">
        <v>243</v>
      </c>
      <c r="K48" s="15" t="s">
        <v>263</v>
      </c>
      <c r="L48" s="15" t="s">
        <v>283</v>
      </c>
      <c r="M48" s="15" t="s">
        <v>303</v>
      </c>
    </row>
    <row r="49" spans="1:13" x14ac:dyDescent="0.25">
      <c r="A49" s="13"/>
      <c r="B49" s="13"/>
      <c r="C49" s="13"/>
      <c r="D49" s="13"/>
      <c r="E49" s="13">
        <v>8</v>
      </c>
      <c r="F49" s="15" t="s">
        <v>563</v>
      </c>
      <c r="G49" s="13" t="s">
        <v>1662</v>
      </c>
      <c r="H49" s="15">
        <v>1</v>
      </c>
      <c r="I49" s="15">
        <v>8</v>
      </c>
      <c r="J49" s="15" t="s">
        <v>244</v>
      </c>
      <c r="K49" s="15" t="s">
        <v>264</v>
      </c>
      <c r="L49" s="15" t="s">
        <v>284</v>
      </c>
      <c r="M49" s="15" t="s">
        <v>304</v>
      </c>
    </row>
    <row r="50" spans="1:13" x14ac:dyDescent="0.25">
      <c r="A50" s="13"/>
      <c r="B50" s="13"/>
      <c r="C50" s="13"/>
      <c r="D50" s="13"/>
      <c r="E50" s="13">
        <v>9</v>
      </c>
      <c r="F50" s="15" t="s">
        <v>177</v>
      </c>
      <c r="G50" s="13" t="s">
        <v>1663</v>
      </c>
      <c r="H50" s="15">
        <v>1</v>
      </c>
      <c r="I50" s="15">
        <v>8</v>
      </c>
      <c r="J50" s="15" t="s">
        <v>245</v>
      </c>
      <c r="K50" s="15" t="s">
        <v>265</v>
      </c>
      <c r="L50" s="15" t="s">
        <v>285</v>
      </c>
      <c r="M50" s="15" t="s">
        <v>305</v>
      </c>
    </row>
    <row r="51" spans="1:13" x14ac:dyDescent="0.25">
      <c r="A51" s="13"/>
      <c r="B51" s="13"/>
      <c r="C51" s="13"/>
      <c r="D51" s="13"/>
      <c r="E51" s="13">
        <v>10</v>
      </c>
      <c r="F51" s="15" t="s">
        <v>178</v>
      </c>
      <c r="G51" s="15" t="s">
        <v>598</v>
      </c>
      <c r="H51" s="15">
        <v>1</v>
      </c>
      <c r="I51" s="15">
        <v>8</v>
      </c>
      <c r="J51" s="15" t="s">
        <v>246</v>
      </c>
      <c r="K51" s="15" t="s">
        <v>266</v>
      </c>
      <c r="L51" s="15" t="s">
        <v>286</v>
      </c>
      <c r="M51" s="15" t="s">
        <v>306</v>
      </c>
    </row>
    <row r="52" spans="1:13" x14ac:dyDescent="0.25">
      <c r="A52" s="13"/>
      <c r="B52" s="13"/>
      <c r="C52" s="13"/>
      <c r="D52" s="13"/>
      <c r="E52" s="13">
        <v>11</v>
      </c>
      <c r="F52" s="15" t="s">
        <v>179</v>
      </c>
      <c r="G52" s="15" t="s">
        <v>599</v>
      </c>
      <c r="H52" s="15">
        <v>1</v>
      </c>
      <c r="I52" s="15">
        <v>8</v>
      </c>
      <c r="J52" s="15" t="s">
        <v>247</v>
      </c>
      <c r="K52" s="15" t="s">
        <v>267</v>
      </c>
      <c r="L52" s="15" t="s">
        <v>287</v>
      </c>
      <c r="M52" s="15" t="s">
        <v>307</v>
      </c>
    </row>
    <row r="53" spans="1:13" x14ac:dyDescent="0.25">
      <c r="A53" s="13"/>
      <c r="B53" s="13"/>
      <c r="C53" s="13"/>
      <c r="D53" s="13"/>
      <c r="E53" s="13">
        <v>12</v>
      </c>
      <c r="F53" s="15" t="s">
        <v>555</v>
      </c>
      <c r="G53" s="15" t="s">
        <v>600</v>
      </c>
      <c r="H53" s="15">
        <v>1</v>
      </c>
      <c r="I53" s="15">
        <v>8</v>
      </c>
      <c r="J53" s="15" t="s">
        <v>248</v>
      </c>
      <c r="K53" s="15" t="s">
        <v>268</v>
      </c>
      <c r="L53" s="15" t="s">
        <v>288</v>
      </c>
      <c r="M53" s="15" t="s">
        <v>308</v>
      </c>
    </row>
    <row r="54" spans="1:13" x14ac:dyDescent="0.25">
      <c r="A54" s="13"/>
      <c r="B54" s="13"/>
      <c r="C54" s="13"/>
      <c r="D54" s="13"/>
      <c r="E54" s="13">
        <v>13</v>
      </c>
      <c r="F54" s="15" t="s">
        <v>180</v>
      </c>
      <c r="G54" s="15" t="s">
        <v>601</v>
      </c>
      <c r="H54" s="15">
        <v>1</v>
      </c>
      <c r="I54" s="15">
        <v>8</v>
      </c>
      <c r="J54" s="15" t="s">
        <v>249</v>
      </c>
      <c r="K54" s="15" t="s">
        <v>269</v>
      </c>
      <c r="L54" s="15" t="s">
        <v>289</v>
      </c>
      <c r="M54" s="15" t="s">
        <v>309</v>
      </c>
    </row>
    <row r="55" spans="1:13" x14ac:dyDescent="0.25">
      <c r="A55" s="13"/>
      <c r="B55" s="13"/>
      <c r="C55" s="13"/>
      <c r="D55" s="13"/>
      <c r="E55" s="13">
        <v>14</v>
      </c>
      <c r="F55" s="15" t="s">
        <v>181</v>
      </c>
      <c r="G55" s="15" t="s">
        <v>602</v>
      </c>
      <c r="H55" s="15">
        <v>1</v>
      </c>
      <c r="I55" s="15">
        <v>8</v>
      </c>
      <c r="J55" s="15" t="s">
        <v>250</v>
      </c>
      <c r="K55" s="15" t="s">
        <v>270</v>
      </c>
      <c r="L55" s="15" t="s">
        <v>290</v>
      </c>
      <c r="M55" s="15" t="s">
        <v>310</v>
      </c>
    </row>
    <row r="56" spans="1:13" x14ac:dyDescent="0.25">
      <c r="A56" s="13"/>
      <c r="B56" s="13"/>
      <c r="C56" s="13"/>
      <c r="D56" s="13"/>
      <c r="E56" s="13">
        <v>15</v>
      </c>
      <c r="F56" s="15" t="s">
        <v>182</v>
      </c>
      <c r="G56" s="15" t="s">
        <v>603</v>
      </c>
      <c r="H56" s="15">
        <v>1</v>
      </c>
      <c r="I56" s="15">
        <v>8</v>
      </c>
      <c r="J56" s="15" t="s">
        <v>251</v>
      </c>
      <c r="K56" s="15" t="s">
        <v>271</v>
      </c>
      <c r="L56" s="15" t="s">
        <v>291</v>
      </c>
      <c r="M56" s="15" t="s">
        <v>311</v>
      </c>
    </row>
    <row r="57" spans="1:13" x14ac:dyDescent="0.25">
      <c r="A57" s="13"/>
      <c r="B57" s="13"/>
      <c r="C57" s="13"/>
      <c r="D57" s="13"/>
      <c r="E57" s="13">
        <v>16</v>
      </c>
      <c r="F57" s="15" t="s">
        <v>183</v>
      </c>
      <c r="G57" s="15" t="s">
        <v>604</v>
      </c>
      <c r="H57" s="15">
        <v>1</v>
      </c>
      <c r="I57" s="15">
        <v>8</v>
      </c>
      <c r="J57" s="15" t="s">
        <v>252</v>
      </c>
      <c r="K57" s="15" t="s">
        <v>272</v>
      </c>
      <c r="L57" s="15" t="s">
        <v>292</v>
      </c>
      <c r="M57" s="15" t="s">
        <v>312</v>
      </c>
    </row>
    <row r="58" spans="1:13" x14ac:dyDescent="0.25">
      <c r="A58" s="13"/>
      <c r="B58" s="13"/>
      <c r="C58" s="13"/>
      <c r="D58" s="13"/>
      <c r="E58" s="13">
        <v>17</v>
      </c>
      <c r="F58" s="15" t="s">
        <v>184</v>
      </c>
      <c r="G58" s="15" t="s">
        <v>605</v>
      </c>
      <c r="H58" s="15">
        <v>1</v>
      </c>
      <c r="I58" s="15">
        <v>8</v>
      </c>
      <c r="J58" s="15" t="s">
        <v>253</v>
      </c>
      <c r="K58" s="15" t="s">
        <v>273</v>
      </c>
      <c r="L58" s="15" t="s">
        <v>293</v>
      </c>
      <c r="M58" s="15" t="s">
        <v>313</v>
      </c>
    </row>
    <row r="59" spans="1:13" x14ac:dyDescent="0.25">
      <c r="A59" s="13"/>
      <c r="B59" s="13"/>
      <c r="C59" s="13"/>
      <c r="D59" s="13"/>
      <c r="E59" s="13">
        <v>18</v>
      </c>
      <c r="F59" s="15" t="s">
        <v>185</v>
      </c>
      <c r="G59" s="15" t="s">
        <v>606</v>
      </c>
      <c r="H59" s="15">
        <v>1</v>
      </c>
      <c r="I59" s="15">
        <v>8</v>
      </c>
      <c r="J59" s="15" t="s">
        <v>254</v>
      </c>
      <c r="K59" s="15" t="s">
        <v>274</v>
      </c>
      <c r="L59" s="15" t="s">
        <v>294</v>
      </c>
      <c r="M59" s="15" t="s">
        <v>314</v>
      </c>
    </row>
    <row r="60" spans="1:13" x14ac:dyDescent="0.25">
      <c r="A60" s="13"/>
      <c r="B60" s="13"/>
      <c r="C60" s="13"/>
      <c r="D60" s="13"/>
      <c r="E60" s="13">
        <v>19</v>
      </c>
      <c r="F60" s="15" t="s">
        <v>186</v>
      </c>
      <c r="G60" s="15" t="s">
        <v>607</v>
      </c>
      <c r="H60" s="15">
        <v>1</v>
      </c>
      <c r="I60" s="15">
        <v>8</v>
      </c>
      <c r="J60" s="15" t="s">
        <v>255</v>
      </c>
      <c r="K60" s="15" t="s">
        <v>275</v>
      </c>
      <c r="L60" s="15" t="s">
        <v>295</v>
      </c>
      <c r="M60" s="15" t="s">
        <v>315</v>
      </c>
    </row>
    <row r="61" spans="1:13" x14ac:dyDescent="0.25">
      <c r="A61" s="13"/>
      <c r="B61" s="13"/>
      <c r="C61" s="13"/>
      <c r="D61" s="13"/>
      <c r="E61" s="13">
        <v>20</v>
      </c>
      <c r="F61" s="13" t="s">
        <v>187</v>
      </c>
      <c r="G61" s="15" t="s">
        <v>608</v>
      </c>
      <c r="H61" s="15">
        <v>1</v>
      </c>
      <c r="I61" s="15">
        <v>8</v>
      </c>
      <c r="J61" s="15" t="s">
        <v>256</v>
      </c>
      <c r="K61" s="15" t="s">
        <v>276</v>
      </c>
      <c r="L61" s="15" t="s">
        <v>296</v>
      </c>
      <c r="M61" s="15" t="s">
        <v>316</v>
      </c>
    </row>
    <row r="62" spans="1:13" x14ac:dyDescent="0.25">
      <c r="A62" s="13"/>
      <c r="B62" s="13"/>
      <c r="C62" s="13"/>
      <c r="D62" s="13"/>
      <c r="E62" s="13">
        <v>21</v>
      </c>
      <c r="F62" s="15" t="s">
        <v>564</v>
      </c>
      <c r="G62" s="15" t="s">
        <v>609</v>
      </c>
      <c r="H62" s="15">
        <v>1</v>
      </c>
      <c r="I62" s="15">
        <v>8</v>
      </c>
      <c r="J62" s="15" t="s">
        <v>478</v>
      </c>
      <c r="K62" s="15" t="s">
        <v>496</v>
      </c>
      <c r="L62" s="15" t="s">
        <v>476</v>
      </c>
      <c r="M62" s="15" t="s">
        <v>533</v>
      </c>
    </row>
    <row r="63" spans="1:13" x14ac:dyDescent="0.25">
      <c r="A63" s="13"/>
      <c r="B63" s="13"/>
      <c r="C63" s="13"/>
      <c r="D63" s="13"/>
      <c r="E63" s="13">
        <v>22</v>
      </c>
      <c r="F63" s="15" t="s">
        <v>565</v>
      </c>
      <c r="G63" s="15" t="s">
        <v>610</v>
      </c>
      <c r="H63" s="15">
        <v>1</v>
      </c>
      <c r="I63" s="15">
        <v>8</v>
      </c>
      <c r="J63" s="15" t="s">
        <v>479</v>
      </c>
      <c r="K63" s="15" t="s">
        <v>497</v>
      </c>
      <c r="L63" s="15" t="s">
        <v>515</v>
      </c>
      <c r="M63" s="15" t="s">
        <v>534</v>
      </c>
    </row>
    <row r="64" spans="1:13" x14ac:dyDescent="0.25">
      <c r="A64" s="13"/>
      <c r="B64" s="13"/>
      <c r="C64" s="13"/>
      <c r="D64" s="13"/>
      <c r="E64" s="13">
        <v>23</v>
      </c>
      <c r="F64" s="15" t="s">
        <v>566</v>
      </c>
      <c r="G64" s="15" t="s">
        <v>611</v>
      </c>
      <c r="H64" s="15">
        <v>1</v>
      </c>
      <c r="I64" s="15">
        <v>8</v>
      </c>
      <c r="J64" s="15" t="s">
        <v>480</v>
      </c>
      <c r="K64" s="15" t="s">
        <v>498</v>
      </c>
      <c r="L64" s="15" t="s">
        <v>516</v>
      </c>
      <c r="M64" s="15" t="s">
        <v>535</v>
      </c>
    </row>
    <row r="65" spans="1:13" x14ac:dyDescent="0.25">
      <c r="A65" s="13"/>
      <c r="B65" s="13"/>
      <c r="C65" s="13"/>
      <c r="D65" s="13"/>
      <c r="E65" s="13">
        <v>24</v>
      </c>
      <c r="F65" s="15" t="s">
        <v>567</v>
      </c>
      <c r="G65" s="15" t="s">
        <v>612</v>
      </c>
      <c r="H65" s="15">
        <v>1</v>
      </c>
      <c r="I65" s="15">
        <v>8</v>
      </c>
      <c r="J65" s="15" t="s">
        <v>481</v>
      </c>
      <c r="K65" s="13" t="s">
        <v>499</v>
      </c>
      <c r="L65" s="15" t="s">
        <v>517</v>
      </c>
      <c r="M65" s="15" t="s">
        <v>536</v>
      </c>
    </row>
    <row r="66" spans="1:13" x14ac:dyDescent="0.25">
      <c r="A66" s="13"/>
      <c r="B66" s="13"/>
      <c r="C66" s="13"/>
      <c r="D66" s="13"/>
      <c r="E66" s="13">
        <v>25</v>
      </c>
      <c r="F66" s="15" t="s">
        <v>568</v>
      </c>
      <c r="G66" s="15" t="s">
        <v>613</v>
      </c>
      <c r="H66" s="15">
        <v>1</v>
      </c>
      <c r="I66" s="15">
        <v>8</v>
      </c>
      <c r="J66" s="15" t="s">
        <v>482</v>
      </c>
      <c r="K66" s="15" t="s">
        <v>500</v>
      </c>
      <c r="L66" s="15" t="s">
        <v>518</v>
      </c>
      <c r="M66" s="15" t="s">
        <v>537</v>
      </c>
    </row>
    <row r="67" spans="1:13" x14ac:dyDescent="0.25">
      <c r="A67" s="13"/>
      <c r="B67" s="13"/>
      <c r="C67" s="13"/>
      <c r="D67" s="13"/>
      <c r="E67" s="13">
        <v>26</v>
      </c>
      <c r="F67" s="15" t="s">
        <v>569</v>
      </c>
      <c r="G67" s="15" t="s">
        <v>614</v>
      </c>
      <c r="H67" s="15">
        <v>1</v>
      </c>
      <c r="I67" s="15">
        <v>8</v>
      </c>
      <c r="J67" s="15" t="s">
        <v>483</v>
      </c>
      <c r="K67" s="15" t="s">
        <v>501</v>
      </c>
      <c r="L67" s="15" t="s">
        <v>519</v>
      </c>
      <c r="M67" s="15" t="s">
        <v>538</v>
      </c>
    </row>
    <row r="68" spans="1:13" x14ac:dyDescent="0.25">
      <c r="A68" s="13"/>
      <c r="B68" s="13"/>
      <c r="C68" s="13"/>
      <c r="D68" s="13"/>
      <c r="E68" s="13">
        <v>27</v>
      </c>
      <c r="F68" s="15" t="s">
        <v>570</v>
      </c>
      <c r="G68" s="15" t="s">
        <v>615</v>
      </c>
      <c r="H68" s="15">
        <v>1</v>
      </c>
      <c r="I68" s="15">
        <v>8</v>
      </c>
      <c r="J68" s="15" t="s">
        <v>477</v>
      </c>
      <c r="K68" s="15" t="s">
        <v>502</v>
      </c>
      <c r="L68" s="15" t="s">
        <v>520</v>
      </c>
      <c r="M68" s="15" t="s">
        <v>539</v>
      </c>
    </row>
    <row r="69" spans="1:13" x14ac:dyDescent="0.25">
      <c r="A69" s="13"/>
      <c r="B69" s="13"/>
      <c r="C69" s="13"/>
      <c r="D69" s="13"/>
      <c r="E69" s="13">
        <v>28</v>
      </c>
      <c r="F69" s="15" t="s">
        <v>571</v>
      </c>
      <c r="G69" s="15" t="s">
        <v>616</v>
      </c>
      <c r="H69" s="15">
        <v>1</v>
      </c>
      <c r="I69" s="15">
        <v>8</v>
      </c>
      <c r="J69" s="15" t="s">
        <v>484</v>
      </c>
      <c r="K69" s="15" t="s">
        <v>503</v>
      </c>
      <c r="L69" s="15" t="s">
        <v>521</v>
      </c>
      <c r="M69" s="15" t="s">
        <v>540</v>
      </c>
    </row>
    <row r="70" spans="1:13" x14ac:dyDescent="0.25">
      <c r="A70" s="13"/>
      <c r="B70" s="13"/>
      <c r="C70" s="13"/>
      <c r="D70" s="13"/>
      <c r="E70" s="13">
        <v>29</v>
      </c>
      <c r="F70" s="15" t="s">
        <v>572</v>
      </c>
      <c r="G70" s="15" t="s">
        <v>617</v>
      </c>
      <c r="H70" s="15">
        <v>1</v>
      </c>
      <c r="I70" s="15">
        <v>8</v>
      </c>
      <c r="J70" s="15" t="s">
        <v>485</v>
      </c>
      <c r="K70" s="15" t="s">
        <v>504</v>
      </c>
      <c r="L70" s="15" t="s">
        <v>523</v>
      </c>
      <c r="M70" s="15" t="s">
        <v>541</v>
      </c>
    </row>
    <row r="71" spans="1:13" x14ac:dyDescent="0.25">
      <c r="A71" s="13"/>
      <c r="B71" s="13"/>
      <c r="C71" s="13"/>
      <c r="D71" s="13"/>
      <c r="E71" s="13">
        <v>30</v>
      </c>
      <c r="F71" s="15" t="s">
        <v>573</v>
      </c>
      <c r="G71" s="15" t="s">
        <v>618</v>
      </c>
      <c r="H71" s="15">
        <v>1</v>
      </c>
      <c r="I71" s="15">
        <v>8</v>
      </c>
      <c r="J71" s="15" t="s">
        <v>486</v>
      </c>
      <c r="K71" s="15" t="s">
        <v>553</v>
      </c>
      <c r="L71" s="15" t="s">
        <v>522</v>
      </c>
      <c r="M71" s="15" t="s">
        <v>542</v>
      </c>
    </row>
    <row r="72" spans="1:13" x14ac:dyDescent="0.25">
      <c r="A72" s="13"/>
      <c r="B72" s="13"/>
      <c r="C72" s="13"/>
      <c r="D72" s="13"/>
      <c r="E72" s="13">
        <v>31</v>
      </c>
      <c r="F72" s="15" t="s">
        <v>574</v>
      </c>
      <c r="G72" s="15" t="s">
        <v>597</v>
      </c>
      <c r="H72" s="15">
        <v>1</v>
      </c>
      <c r="I72" s="15">
        <v>8</v>
      </c>
      <c r="J72" s="15" t="s">
        <v>487</v>
      </c>
      <c r="K72" s="15" t="s">
        <v>505</v>
      </c>
      <c r="L72" s="15" t="s">
        <v>524</v>
      </c>
      <c r="M72" s="15" t="s">
        <v>543</v>
      </c>
    </row>
    <row r="73" spans="1:13" x14ac:dyDescent="0.25">
      <c r="A73" s="13"/>
      <c r="B73" s="13"/>
      <c r="C73" s="13"/>
      <c r="D73" s="13"/>
      <c r="E73" s="13">
        <v>32</v>
      </c>
      <c r="F73" s="15" t="s">
        <v>575</v>
      </c>
      <c r="G73" s="15" t="s">
        <v>596</v>
      </c>
      <c r="H73" s="15">
        <v>1</v>
      </c>
      <c r="I73" s="15">
        <v>8</v>
      </c>
      <c r="J73" s="15" t="s">
        <v>488</v>
      </c>
      <c r="K73" s="15" t="s">
        <v>506</v>
      </c>
      <c r="L73" s="15" t="s">
        <v>525</v>
      </c>
      <c r="M73" s="15" t="s">
        <v>544</v>
      </c>
    </row>
    <row r="74" spans="1:13" x14ac:dyDescent="0.25">
      <c r="A74" s="13"/>
      <c r="B74" s="13"/>
      <c r="C74" s="13"/>
      <c r="D74" s="13"/>
      <c r="E74" s="13">
        <v>33</v>
      </c>
      <c r="F74" s="15" t="s">
        <v>576</v>
      </c>
      <c r="G74" s="15" t="s">
        <v>595</v>
      </c>
      <c r="H74" s="15">
        <v>1</v>
      </c>
      <c r="I74" s="15">
        <v>8</v>
      </c>
      <c r="J74" s="15" t="s">
        <v>489</v>
      </c>
      <c r="K74" s="15" t="s">
        <v>507</v>
      </c>
      <c r="L74" s="15" t="s">
        <v>526</v>
      </c>
      <c r="M74" s="15" t="s">
        <v>545</v>
      </c>
    </row>
    <row r="75" spans="1:13" x14ac:dyDescent="0.25">
      <c r="A75" s="13"/>
      <c r="B75" s="13"/>
      <c r="C75" s="13"/>
      <c r="D75" s="13"/>
      <c r="E75" s="13">
        <v>34</v>
      </c>
      <c r="F75" s="15" t="s">
        <v>577</v>
      </c>
      <c r="G75" s="15" t="s">
        <v>594</v>
      </c>
      <c r="H75" s="15">
        <v>1</v>
      </c>
      <c r="I75" s="15">
        <v>8</v>
      </c>
      <c r="J75" s="15" t="s">
        <v>490</v>
      </c>
      <c r="K75" s="15" t="s">
        <v>508</v>
      </c>
      <c r="L75" s="15" t="s">
        <v>554</v>
      </c>
      <c r="M75" s="15" t="s">
        <v>546</v>
      </c>
    </row>
    <row r="76" spans="1:13" x14ac:dyDescent="0.25">
      <c r="A76" s="13"/>
      <c r="B76" s="13"/>
      <c r="C76" s="13"/>
      <c r="D76" s="13"/>
      <c r="E76" s="13">
        <v>35</v>
      </c>
      <c r="F76" s="15" t="s">
        <v>578</v>
      </c>
      <c r="G76" s="15" t="s">
        <v>593</v>
      </c>
      <c r="H76" s="15">
        <v>1</v>
      </c>
      <c r="I76" s="15">
        <v>8</v>
      </c>
      <c r="J76" s="15" t="s">
        <v>491</v>
      </c>
      <c r="K76" s="15" t="s">
        <v>509</v>
      </c>
      <c r="L76" s="15" t="s">
        <v>527</v>
      </c>
      <c r="M76" s="15" t="s">
        <v>547</v>
      </c>
    </row>
    <row r="77" spans="1:13" x14ac:dyDescent="0.25">
      <c r="A77" s="13"/>
      <c r="B77" s="13"/>
      <c r="C77" s="13"/>
      <c r="D77" s="13"/>
      <c r="E77" s="13">
        <v>36</v>
      </c>
      <c r="F77" s="15" t="s">
        <v>579</v>
      </c>
      <c r="G77" s="15" t="s">
        <v>592</v>
      </c>
      <c r="H77" s="15">
        <v>1</v>
      </c>
      <c r="I77" s="15">
        <v>8</v>
      </c>
      <c r="J77" s="15" t="s">
        <v>492</v>
      </c>
      <c r="K77" s="15" t="s">
        <v>510</v>
      </c>
      <c r="L77" s="15" t="s">
        <v>528</v>
      </c>
      <c r="M77" s="15" t="s">
        <v>548</v>
      </c>
    </row>
    <row r="78" spans="1:13" x14ac:dyDescent="0.25">
      <c r="A78" s="13"/>
      <c r="B78" s="13"/>
      <c r="C78" s="13"/>
      <c r="D78" s="13"/>
      <c r="E78" s="13">
        <v>37</v>
      </c>
      <c r="F78" s="15" t="s">
        <v>580</v>
      </c>
      <c r="G78" s="15" t="s">
        <v>591</v>
      </c>
      <c r="H78" s="15">
        <v>1</v>
      </c>
      <c r="I78" s="15">
        <v>8</v>
      </c>
      <c r="J78" s="15" t="s">
        <v>493</v>
      </c>
      <c r="K78" s="15" t="s">
        <v>511</v>
      </c>
      <c r="L78" s="15" t="s">
        <v>529</v>
      </c>
      <c r="M78" s="15" t="s">
        <v>549</v>
      </c>
    </row>
    <row r="79" spans="1:13" x14ac:dyDescent="0.25">
      <c r="A79" s="13"/>
      <c r="B79" s="13"/>
      <c r="C79" s="13"/>
      <c r="D79" s="13"/>
      <c r="E79" s="13">
        <v>38</v>
      </c>
      <c r="F79" s="15" t="s">
        <v>162</v>
      </c>
      <c r="G79" s="15" t="s">
        <v>590</v>
      </c>
      <c r="H79" s="15">
        <v>1</v>
      </c>
      <c r="I79" s="15">
        <v>8</v>
      </c>
      <c r="J79" s="15" t="s">
        <v>494</v>
      </c>
      <c r="K79" s="15" t="s">
        <v>512</v>
      </c>
      <c r="L79" s="15" t="s">
        <v>530</v>
      </c>
      <c r="M79" s="15" t="s">
        <v>550</v>
      </c>
    </row>
    <row r="80" spans="1:13" x14ac:dyDescent="0.25">
      <c r="A80" s="13"/>
      <c r="B80" s="13"/>
      <c r="C80" s="13"/>
      <c r="D80" s="13"/>
      <c r="E80" s="13">
        <v>39</v>
      </c>
      <c r="F80" s="15" t="s">
        <v>581</v>
      </c>
      <c r="G80" s="15" t="s">
        <v>589</v>
      </c>
      <c r="H80" s="15">
        <v>1</v>
      </c>
      <c r="I80" s="15">
        <v>8</v>
      </c>
      <c r="J80" s="15" t="s">
        <v>583</v>
      </c>
      <c r="K80" s="15" t="s">
        <v>513</v>
      </c>
      <c r="L80" s="15" t="s">
        <v>531</v>
      </c>
      <c r="M80" s="15" t="s">
        <v>551</v>
      </c>
    </row>
    <row r="81" spans="1:13" x14ac:dyDescent="0.25">
      <c r="A81" s="13"/>
      <c r="B81" s="13"/>
      <c r="C81" s="13"/>
      <c r="D81" s="13"/>
      <c r="E81" s="13">
        <v>40</v>
      </c>
      <c r="F81" s="15" t="s">
        <v>582</v>
      </c>
      <c r="G81" s="15" t="s">
        <v>588</v>
      </c>
      <c r="H81" s="15">
        <v>1</v>
      </c>
      <c r="I81" s="15">
        <v>8</v>
      </c>
      <c r="J81" s="15" t="s">
        <v>495</v>
      </c>
      <c r="K81" s="15" t="s">
        <v>514</v>
      </c>
      <c r="L81" s="15" t="s">
        <v>532</v>
      </c>
      <c r="M81" s="15" t="s">
        <v>552</v>
      </c>
    </row>
    <row r="82" spans="1:13" x14ac:dyDescent="0.25">
      <c r="A82" s="14"/>
      <c r="B82" s="14"/>
      <c r="C82" s="14">
        <v>3</v>
      </c>
      <c r="D82" s="14" t="s">
        <v>188</v>
      </c>
      <c r="E82" s="14">
        <v>1</v>
      </c>
      <c r="F82" s="21" t="s">
        <v>189</v>
      </c>
      <c r="G82" s="14" t="s">
        <v>902</v>
      </c>
      <c r="H82" s="14">
        <v>1</v>
      </c>
      <c r="I82" s="14">
        <v>12</v>
      </c>
      <c r="J82" s="14" t="s">
        <v>702</v>
      </c>
      <c r="K82" s="14" t="s">
        <v>877</v>
      </c>
      <c r="L82" s="14" t="s">
        <v>878</v>
      </c>
      <c r="M82" s="14" t="s">
        <v>834</v>
      </c>
    </row>
    <row r="83" spans="1:13" x14ac:dyDescent="0.25">
      <c r="A83" s="14"/>
      <c r="B83" s="14"/>
      <c r="C83" s="14"/>
      <c r="D83" s="14" t="s">
        <v>1872</v>
      </c>
      <c r="E83" s="14">
        <v>2</v>
      </c>
      <c r="F83" s="21" t="s">
        <v>57</v>
      </c>
      <c r="G83" s="14" t="s">
        <v>903</v>
      </c>
      <c r="H83" s="14">
        <v>1</v>
      </c>
      <c r="I83" s="14">
        <v>12</v>
      </c>
      <c r="J83" s="14" t="s">
        <v>703</v>
      </c>
      <c r="K83" s="14" t="s">
        <v>735</v>
      </c>
      <c r="L83" s="14" t="s">
        <v>769</v>
      </c>
      <c r="M83" s="14" t="s">
        <v>879</v>
      </c>
    </row>
    <row r="84" spans="1:13" x14ac:dyDescent="0.25">
      <c r="A84" s="14"/>
      <c r="B84" s="14"/>
      <c r="C84" s="14"/>
      <c r="D84" s="14" t="s">
        <v>16</v>
      </c>
      <c r="E84" s="14">
        <v>3</v>
      </c>
      <c r="F84" s="21" t="s">
        <v>58</v>
      </c>
      <c r="G84" s="14" t="s">
        <v>904</v>
      </c>
      <c r="H84" s="14">
        <v>1</v>
      </c>
      <c r="I84" s="14">
        <v>12</v>
      </c>
      <c r="J84" s="14" t="s">
        <v>704</v>
      </c>
      <c r="K84" s="14" t="s">
        <v>736</v>
      </c>
      <c r="L84" s="14" t="s">
        <v>880</v>
      </c>
      <c r="M84" s="14" t="s">
        <v>881</v>
      </c>
    </row>
    <row r="85" spans="1:13" x14ac:dyDescent="0.25">
      <c r="A85" s="14"/>
      <c r="B85" s="14"/>
      <c r="C85" s="14"/>
      <c r="D85" s="14"/>
      <c r="E85" s="14">
        <v>4</v>
      </c>
      <c r="F85" s="21" t="s">
        <v>190</v>
      </c>
      <c r="G85" s="14" t="s">
        <v>905</v>
      </c>
      <c r="H85" s="14">
        <v>1</v>
      </c>
      <c r="I85" s="14">
        <v>12</v>
      </c>
      <c r="J85" s="14" t="s">
        <v>882</v>
      </c>
      <c r="K85" s="14" t="s">
        <v>768</v>
      </c>
      <c r="L85" s="14" t="s">
        <v>770</v>
      </c>
      <c r="M85" s="14" t="s">
        <v>833</v>
      </c>
    </row>
    <row r="86" spans="1:13" x14ac:dyDescent="0.25">
      <c r="A86" s="14"/>
      <c r="B86" s="14"/>
      <c r="C86" s="14"/>
      <c r="D86" s="14"/>
      <c r="E86" s="14">
        <v>5</v>
      </c>
      <c r="F86" s="21" t="s">
        <v>191</v>
      </c>
      <c r="G86" s="14" t="s">
        <v>906</v>
      </c>
      <c r="H86" s="14">
        <v>1</v>
      </c>
      <c r="I86" s="14">
        <v>12</v>
      </c>
      <c r="J86" s="14" t="s">
        <v>883</v>
      </c>
      <c r="K86" s="14" t="s">
        <v>767</v>
      </c>
      <c r="L86" s="14" t="s">
        <v>771</v>
      </c>
      <c r="M86" s="14" t="s">
        <v>832</v>
      </c>
    </row>
    <row r="87" spans="1:13" x14ac:dyDescent="0.25">
      <c r="A87" s="14"/>
      <c r="B87" s="14"/>
      <c r="C87" s="14"/>
      <c r="D87" s="14"/>
      <c r="E87" s="14">
        <v>6</v>
      </c>
      <c r="F87" s="21" t="s">
        <v>192</v>
      </c>
      <c r="G87" s="14" t="s">
        <v>907</v>
      </c>
      <c r="H87" s="14">
        <v>1</v>
      </c>
      <c r="I87" s="14">
        <v>12</v>
      </c>
      <c r="J87" s="14" t="s">
        <v>884</v>
      </c>
      <c r="K87" s="14" t="s">
        <v>766</v>
      </c>
      <c r="L87" s="14" t="s">
        <v>772</v>
      </c>
      <c r="M87" s="14" t="s">
        <v>885</v>
      </c>
    </row>
    <row r="88" spans="1:13" x14ac:dyDescent="0.25">
      <c r="A88" s="14"/>
      <c r="B88" s="14"/>
      <c r="C88" s="14"/>
      <c r="D88" s="14"/>
      <c r="E88" s="14">
        <v>7</v>
      </c>
      <c r="F88" s="21" t="s">
        <v>193</v>
      </c>
      <c r="G88" s="14" t="s">
        <v>908</v>
      </c>
      <c r="H88" s="14">
        <v>1</v>
      </c>
      <c r="I88" s="14">
        <v>12</v>
      </c>
      <c r="J88" s="14" t="s">
        <v>886</v>
      </c>
      <c r="K88" s="14" t="s">
        <v>765</v>
      </c>
      <c r="L88" s="14" t="s">
        <v>887</v>
      </c>
      <c r="M88" s="14" t="s">
        <v>888</v>
      </c>
    </row>
    <row r="89" spans="1:13" x14ac:dyDescent="0.25">
      <c r="A89" s="14"/>
      <c r="B89" s="14"/>
      <c r="C89" s="14"/>
      <c r="D89" s="14"/>
      <c r="E89" s="14">
        <v>8</v>
      </c>
      <c r="F89" s="21" t="s">
        <v>194</v>
      </c>
      <c r="G89" s="14" t="s">
        <v>909</v>
      </c>
      <c r="H89" s="14">
        <v>1</v>
      </c>
      <c r="I89" s="14">
        <v>12</v>
      </c>
      <c r="J89" s="14" t="s">
        <v>705</v>
      </c>
      <c r="K89" s="14" t="s">
        <v>889</v>
      </c>
      <c r="L89" s="14" t="s">
        <v>773</v>
      </c>
      <c r="M89" s="14" t="s">
        <v>890</v>
      </c>
    </row>
    <row r="90" spans="1:13" x14ac:dyDescent="0.25">
      <c r="A90" s="14"/>
      <c r="B90" s="14"/>
      <c r="C90" s="14"/>
      <c r="D90" s="14"/>
      <c r="E90" s="14">
        <v>9</v>
      </c>
      <c r="F90" s="21" t="s">
        <v>195</v>
      </c>
      <c r="G90" s="14" t="s">
        <v>910</v>
      </c>
      <c r="H90" s="14">
        <v>1</v>
      </c>
      <c r="I90" s="14">
        <v>12</v>
      </c>
      <c r="J90" s="14" t="s">
        <v>706</v>
      </c>
      <c r="K90" s="14" t="s">
        <v>891</v>
      </c>
      <c r="L90" s="14" t="s">
        <v>774</v>
      </c>
      <c r="M90" s="14" t="s">
        <v>892</v>
      </c>
    </row>
    <row r="91" spans="1:13" x14ac:dyDescent="0.25">
      <c r="A91" s="14"/>
      <c r="B91" s="14"/>
      <c r="C91" s="14"/>
      <c r="D91" s="14"/>
      <c r="E91" s="14">
        <v>10</v>
      </c>
      <c r="F91" s="21" t="s">
        <v>196</v>
      </c>
      <c r="G91" s="14" t="s">
        <v>626</v>
      </c>
      <c r="H91" s="14">
        <v>1</v>
      </c>
      <c r="I91" s="14">
        <v>12</v>
      </c>
      <c r="J91" s="14" t="s">
        <v>707</v>
      </c>
      <c r="K91" s="14" t="s">
        <v>764</v>
      </c>
      <c r="L91" s="14" t="s">
        <v>775</v>
      </c>
      <c r="M91" s="14" t="s">
        <v>831</v>
      </c>
    </row>
    <row r="92" spans="1:13" x14ac:dyDescent="0.25">
      <c r="A92" s="14"/>
      <c r="B92" s="14"/>
      <c r="C92" s="14"/>
      <c r="D92" s="14"/>
      <c r="E92" s="14">
        <v>11</v>
      </c>
      <c r="F92" s="21" t="s">
        <v>197</v>
      </c>
      <c r="G92" s="14" t="s">
        <v>625</v>
      </c>
      <c r="H92" s="14">
        <v>1</v>
      </c>
      <c r="I92" s="14">
        <v>12</v>
      </c>
      <c r="J92" s="14" t="s">
        <v>708</v>
      </c>
      <c r="K92" s="14" t="s">
        <v>763</v>
      </c>
      <c r="L92" s="14" t="s">
        <v>893</v>
      </c>
      <c r="M92" s="14" t="s">
        <v>830</v>
      </c>
    </row>
    <row r="93" spans="1:13" x14ac:dyDescent="0.25">
      <c r="A93" s="14"/>
      <c r="B93" s="14"/>
      <c r="C93" s="14"/>
      <c r="D93" s="14"/>
      <c r="E93" s="14">
        <v>12</v>
      </c>
      <c r="F93" s="21" t="s">
        <v>198</v>
      </c>
      <c r="G93" s="14" t="s">
        <v>624</v>
      </c>
      <c r="H93" s="14">
        <v>1</v>
      </c>
      <c r="I93" s="14">
        <v>12</v>
      </c>
      <c r="J93" s="14" t="s">
        <v>709</v>
      </c>
      <c r="K93" s="14" t="s">
        <v>762</v>
      </c>
      <c r="L93" s="14" t="s">
        <v>776</v>
      </c>
      <c r="M93" s="14" t="s">
        <v>829</v>
      </c>
    </row>
    <row r="94" spans="1:13" x14ac:dyDescent="0.25">
      <c r="A94" s="14"/>
      <c r="B94" s="14"/>
      <c r="C94" s="14"/>
      <c r="D94" s="14"/>
      <c r="E94" s="14">
        <v>13</v>
      </c>
      <c r="F94" s="21" t="s">
        <v>199</v>
      </c>
      <c r="G94" s="14" t="s">
        <v>623</v>
      </c>
      <c r="H94" s="14">
        <v>1</v>
      </c>
      <c r="I94" s="14">
        <v>12</v>
      </c>
      <c r="J94" s="14" t="s">
        <v>894</v>
      </c>
      <c r="K94" s="14" t="s">
        <v>895</v>
      </c>
      <c r="L94" s="14" t="s">
        <v>777</v>
      </c>
      <c r="M94" s="14" t="s">
        <v>896</v>
      </c>
    </row>
    <row r="95" spans="1:13" x14ac:dyDescent="0.25">
      <c r="A95" s="14"/>
      <c r="B95" s="14"/>
      <c r="C95" s="14"/>
      <c r="D95" s="14"/>
      <c r="E95" s="14">
        <v>14</v>
      </c>
      <c r="F95" s="21" t="s">
        <v>200</v>
      </c>
      <c r="G95" s="14" t="s">
        <v>622</v>
      </c>
      <c r="H95" s="14">
        <v>1</v>
      </c>
      <c r="I95" s="14">
        <v>12</v>
      </c>
      <c r="J95" s="14" t="s">
        <v>710</v>
      </c>
      <c r="K95" s="14" t="s">
        <v>761</v>
      </c>
      <c r="L95" s="14" t="s">
        <v>778</v>
      </c>
      <c r="M95" s="14" t="s">
        <v>897</v>
      </c>
    </row>
    <row r="96" spans="1:13" x14ac:dyDescent="0.25">
      <c r="A96" s="14"/>
      <c r="B96" s="14"/>
      <c r="C96" s="14"/>
      <c r="D96" s="14"/>
      <c r="E96" s="14">
        <v>15</v>
      </c>
      <c r="F96" s="21" t="s">
        <v>201</v>
      </c>
      <c r="G96" s="14" t="s">
        <v>621</v>
      </c>
      <c r="H96" s="14">
        <v>1</v>
      </c>
      <c r="I96" s="14">
        <v>12</v>
      </c>
      <c r="J96" s="14" t="s">
        <v>711</v>
      </c>
      <c r="K96" s="14" t="s">
        <v>898</v>
      </c>
      <c r="L96" s="14" t="s">
        <v>779</v>
      </c>
      <c r="M96" s="14" t="s">
        <v>899</v>
      </c>
    </row>
    <row r="97" spans="1:13" x14ac:dyDescent="0.25">
      <c r="A97" s="14"/>
      <c r="B97" s="14"/>
      <c r="C97" s="14"/>
      <c r="D97" s="14"/>
      <c r="E97" s="14">
        <v>16</v>
      </c>
      <c r="F97" s="21" t="s">
        <v>202</v>
      </c>
      <c r="G97" s="14" t="s">
        <v>620</v>
      </c>
      <c r="H97" s="14">
        <v>1</v>
      </c>
      <c r="I97" s="14">
        <v>12</v>
      </c>
      <c r="J97" s="14" t="s">
        <v>712</v>
      </c>
      <c r="K97" s="14" t="s">
        <v>760</v>
      </c>
      <c r="L97" s="14" t="s">
        <v>780</v>
      </c>
      <c r="M97" s="14" t="s">
        <v>828</v>
      </c>
    </row>
    <row r="98" spans="1:13" x14ac:dyDescent="0.25">
      <c r="A98" s="14"/>
      <c r="B98" s="14"/>
      <c r="C98" s="14"/>
      <c r="D98" s="14"/>
      <c r="E98" s="14">
        <v>17</v>
      </c>
      <c r="F98" s="21" t="s">
        <v>455</v>
      </c>
      <c r="G98" s="14" t="s">
        <v>619</v>
      </c>
      <c r="H98" s="14">
        <v>1</v>
      </c>
      <c r="I98" s="14">
        <v>12</v>
      </c>
      <c r="J98" s="14" t="s">
        <v>713</v>
      </c>
      <c r="K98" s="14" t="s">
        <v>759</v>
      </c>
      <c r="L98" s="14" t="s">
        <v>781</v>
      </c>
      <c r="M98" s="14" t="s">
        <v>827</v>
      </c>
    </row>
    <row r="99" spans="1:13" x14ac:dyDescent="0.25">
      <c r="A99" s="14"/>
      <c r="B99" s="14"/>
      <c r="C99" s="14"/>
      <c r="D99" s="14"/>
      <c r="E99" s="14">
        <v>18</v>
      </c>
      <c r="F99" s="21" t="s">
        <v>203</v>
      </c>
      <c r="G99" s="14" t="s">
        <v>627</v>
      </c>
      <c r="H99" s="14">
        <v>1</v>
      </c>
      <c r="I99" s="14">
        <v>12</v>
      </c>
      <c r="J99" s="14" t="s">
        <v>714</v>
      </c>
      <c r="K99" s="14" t="s">
        <v>758</v>
      </c>
      <c r="L99" s="14" t="s">
        <v>790</v>
      </c>
      <c r="M99" s="14" t="s">
        <v>826</v>
      </c>
    </row>
    <row r="100" spans="1:13" x14ac:dyDescent="0.25">
      <c r="A100" s="14"/>
      <c r="B100" s="14"/>
      <c r="C100" s="14"/>
      <c r="D100" s="14"/>
      <c r="E100" s="14">
        <v>19</v>
      </c>
      <c r="F100" s="21" t="s">
        <v>186</v>
      </c>
      <c r="G100" s="14" t="s">
        <v>628</v>
      </c>
      <c r="H100" s="14">
        <v>1</v>
      </c>
      <c r="I100" s="14">
        <v>12</v>
      </c>
      <c r="J100" s="14" t="s">
        <v>875</v>
      </c>
      <c r="K100" s="14" t="s">
        <v>876</v>
      </c>
      <c r="L100" s="14" t="s">
        <v>791</v>
      </c>
      <c r="M100" s="14" t="s">
        <v>825</v>
      </c>
    </row>
    <row r="101" spans="1:13" x14ac:dyDescent="0.25">
      <c r="A101" s="14"/>
      <c r="B101" s="14"/>
      <c r="C101" s="14"/>
      <c r="D101" s="14"/>
      <c r="E101" s="14">
        <v>20</v>
      </c>
      <c r="F101" s="21" t="s">
        <v>75</v>
      </c>
      <c r="G101" s="14" t="s">
        <v>629</v>
      </c>
      <c r="H101" s="14">
        <v>1</v>
      </c>
      <c r="I101" s="14">
        <v>12</v>
      </c>
      <c r="J101" s="14" t="s">
        <v>900</v>
      </c>
      <c r="K101" s="14" t="s">
        <v>757</v>
      </c>
      <c r="L101" s="14" t="s">
        <v>792</v>
      </c>
      <c r="M101" s="14" t="s">
        <v>824</v>
      </c>
    </row>
    <row r="102" spans="1:13" x14ac:dyDescent="0.25">
      <c r="A102" s="14"/>
      <c r="B102" s="14"/>
      <c r="C102" s="14"/>
      <c r="D102" s="14"/>
      <c r="E102" s="14">
        <v>21</v>
      </c>
      <c r="F102" s="21" t="s">
        <v>683</v>
      </c>
      <c r="G102" s="14" t="s">
        <v>630</v>
      </c>
      <c r="H102" s="14">
        <v>1</v>
      </c>
      <c r="I102" s="14">
        <v>12</v>
      </c>
      <c r="J102" s="14" t="s">
        <v>715</v>
      </c>
      <c r="K102" s="14" t="s">
        <v>756</v>
      </c>
      <c r="L102" s="14" t="s">
        <v>793</v>
      </c>
      <c r="M102" s="14" t="s">
        <v>823</v>
      </c>
    </row>
    <row r="103" spans="1:13" x14ac:dyDescent="0.25">
      <c r="A103" s="14"/>
      <c r="B103" s="14"/>
      <c r="C103" s="14"/>
      <c r="D103" s="14"/>
      <c r="E103" s="14">
        <v>22</v>
      </c>
      <c r="F103" s="21" t="s">
        <v>684</v>
      </c>
      <c r="G103" s="14" t="s">
        <v>631</v>
      </c>
      <c r="H103" s="14">
        <v>1</v>
      </c>
      <c r="I103" s="14">
        <v>12</v>
      </c>
      <c r="J103" s="14" t="s">
        <v>716</v>
      </c>
      <c r="K103" s="14" t="s">
        <v>755</v>
      </c>
      <c r="L103" s="14" t="s">
        <v>794</v>
      </c>
      <c r="M103" s="14" t="s">
        <v>822</v>
      </c>
    </row>
    <row r="104" spans="1:13" x14ac:dyDescent="0.25">
      <c r="A104" s="14"/>
      <c r="B104" s="14"/>
      <c r="C104" s="14"/>
      <c r="D104" s="14"/>
      <c r="E104" s="14">
        <v>23</v>
      </c>
      <c r="F104" s="21" t="s">
        <v>685</v>
      </c>
      <c r="G104" s="14" t="s">
        <v>632</v>
      </c>
      <c r="H104" s="14">
        <v>1</v>
      </c>
      <c r="I104" s="14">
        <v>12</v>
      </c>
      <c r="J104" s="14" t="s">
        <v>717</v>
      </c>
      <c r="K104" s="14" t="s">
        <v>754</v>
      </c>
      <c r="L104" s="14" t="s">
        <v>795</v>
      </c>
      <c r="M104" s="14" t="s">
        <v>821</v>
      </c>
    </row>
    <row r="105" spans="1:13" x14ac:dyDescent="0.25">
      <c r="A105" s="14"/>
      <c r="B105" s="14"/>
      <c r="C105" s="14"/>
      <c r="D105" s="14"/>
      <c r="E105" s="14">
        <v>24</v>
      </c>
      <c r="F105" s="21" t="s">
        <v>686</v>
      </c>
      <c r="G105" s="14" t="s">
        <v>633</v>
      </c>
      <c r="H105" s="14">
        <v>1</v>
      </c>
      <c r="I105" s="14">
        <v>12</v>
      </c>
      <c r="J105" s="14" t="s">
        <v>718</v>
      </c>
      <c r="K105" s="14" t="s">
        <v>753</v>
      </c>
      <c r="L105" s="14" t="s">
        <v>796</v>
      </c>
      <c r="M105" s="14" t="s">
        <v>820</v>
      </c>
    </row>
    <row r="106" spans="1:13" x14ac:dyDescent="0.25">
      <c r="A106" s="14"/>
      <c r="B106" s="14"/>
      <c r="C106" s="14"/>
      <c r="D106" s="14"/>
      <c r="E106" s="14">
        <v>25</v>
      </c>
      <c r="F106" s="21" t="s">
        <v>687</v>
      </c>
      <c r="G106" s="14" t="s">
        <v>634</v>
      </c>
      <c r="H106" s="14">
        <v>1</v>
      </c>
      <c r="I106" s="14">
        <v>12</v>
      </c>
      <c r="J106" s="14" t="s">
        <v>719</v>
      </c>
      <c r="K106" s="14" t="s">
        <v>752</v>
      </c>
      <c r="L106" s="14" t="s">
        <v>797</v>
      </c>
      <c r="M106" s="14" t="s">
        <v>819</v>
      </c>
    </row>
    <row r="107" spans="1:13" x14ac:dyDescent="0.25">
      <c r="A107" s="14"/>
      <c r="B107" s="14"/>
      <c r="C107" s="14"/>
      <c r="D107" s="14"/>
      <c r="E107" s="14">
        <v>26</v>
      </c>
      <c r="F107" s="21" t="s">
        <v>688</v>
      </c>
      <c r="G107" s="14" t="s">
        <v>635</v>
      </c>
      <c r="H107" s="14">
        <v>1</v>
      </c>
      <c r="I107" s="14">
        <v>12</v>
      </c>
      <c r="J107" s="14" t="s">
        <v>720</v>
      </c>
      <c r="K107" s="14" t="s">
        <v>751</v>
      </c>
      <c r="L107" s="14" t="s">
        <v>798</v>
      </c>
      <c r="M107" s="14" t="s">
        <v>818</v>
      </c>
    </row>
    <row r="108" spans="1:13" x14ac:dyDescent="0.25">
      <c r="A108" s="14"/>
      <c r="B108" s="14"/>
      <c r="C108" s="14"/>
      <c r="D108" s="14"/>
      <c r="E108" s="14">
        <v>27</v>
      </c>
      <c r="F108" s="21" t="s">
        <v>689</v>
      </c>
      <c r="G108" s="14" t="s">
        <v>636</v>
      </c>
      <c r="H108" s="14">
        <v>1</v>
      </c>
      <c r="I108" s="14">
        <v>12</v>
      </c>
      <c r="J108" s="14" t="s">
        <v>721</v>
      </c>
      <c r="K108" s="14" t="s">
        <v>750</v>
      </c>
      <c r="L108" s="14" t="s">
        <v>799</v>
      </c>
      <c r="M108" s="14" t="s">
        <v>817</v>
      </c>
    </row>
    <row r="109" spans="1:13" x14ac:dyDescent="0.25">
      <c r="A109" s="14"/>
      <c r="B109" s="14"/>
      <c r="C109" s="14"/>
      <c r="D109" s="14"/>
      <c r="E109" s="14">
        <v>28</v>
      </c>
      <c r="F109" s="21" t="s">
        <v>690</v>
      </c>
      <c r="G109" s="14" t="s">
        <v>637</v>
      </c>
      <c r="H109" s="14">
        <v>1</v>
      </c>
      <c r="I109" s="14">
        <v>12</v>
      </c>
      <c r="J109" s="14" t="s">
        <v>722</v>
      </c>
      <c r="K109" s="14" t="s">
        <v>749</v>
      </c>
      <c r="L109" s="14" t="s">
        <v>800</v>
      </c>
      <c r="M109" s="14" t="s">
        <v>816</v>
      </c>
    </row>
    <row r="110" spans="1:13" x14ac:dyDescent="0.25">
      <c r="A110" s="14"/>
      <c r="B110" s="14"/>
      <c r="C110" s="14"/>
      <c r="D110" s="14"/>
      <c r="E110" s="14">
        <v>29</v>
      </c>
      <c r="F110" s="21" t="s">
        <v>691</v>
      </c>
      <c r="G110" s="14" t="s">
        <v>638</v>
      </c>
      <c r="H110" s="14">
        <v>1</v>
      </c>
      <c r="I110" s="14">
        <v>12</v>
      </c>
      <c r="J110" s="14" t="s">
        <v>723</v>
      </c>
      <c r="K110" s="14" t="s">
        <v>748</v>
      </c>
      <c r="L110" s="14" t="s">
        <v>801</v>
      </c>
      <c r="M110" s="14" t="s">
        <v>815</v>
      </c>
    </row>
    <row r="111" spans="1:13" x14ac:dyDescent="0.25">
      <c r="A111" s="14"/>
      <c r="B111" s="14"/>
      <c r="C111" s="14"/>
      <c r="D111" s="14"/>
      <c r="E111" s="14">
        <v>30</v>
      </c>
      <c r="F111" s="21" t="s">
        <v>692</v>
      </c>
      <c r="G111" s="14" t="s">
        <v>639</v>
      </c>
      <c r="H111" s="14">
        <v>1</v>
      </c>
      <c r="I111" s="14">
        <v>12</v>
      </c>
      <c r="J111" s="14" t="s">
        <v>724</v>
      </c>
      <c r="K111" s="14" t="s">
        <v>747</v>
      </c>
      <c r="L111" s="14" t="s">
        <v>802</v>
      </c>
      <c r="M111" s="14" t="s">
        <v>814</v>
      </c>
    </row>
    <row r="112" spans="1:13" x14ac:dyDescent="0.25">
      <c r="A112" s="14"/>
      <c r="B112" s="14"/>
      <c r="C112" s="14"/>
      <c r="D112" s="14"/>
      <c r="E112" s="14">
        <v>31</v>
      </c>
      <c r="F112" s="21" t="s">
        <v>693</v>
      </c>
      <c r="G112" s="14" t="s">
        <v>640</v>
      </c>
      <c r="H112" s="14">
        <v>1</v>
      </c>
      <c r="I112" s="14">
        <v>12</v>
      </c>
      <c r="J112" s="14" t="s">
        <v>725</v>
      </c>
      <c r="K112" s="14" t="s">
        <v>746</v>
      </c>
      <c r="L112" s="14" t="s">
        <v>803</v>
      </c>
      <c r="M112" s="14" t="s">
        <v>813</v>
      </c>
    </row>
    <row r="113" spans="1:13" x14ac:dyDescent="0.25">
      <c r="A113" s="14"/>
      <c r="B113" s="14"/>
      <c r="C113" s="14"/>
      <c r="D113" s="14"/>
      <c r="E113" s="14">
        <v>32</v>
      </c>
      <c r="F113" s="21" t="s">
        <v>474</v>
      </c>
      <c r="G113" s="14" t="s">
        <v>641</v>
      </c>
      <c r="H113" s="14">
        <v>1</v>
      </c>
      <c r="I113" s="14">
        <v>12</v>
      </c>
      <c r="J113" s="14" t="s">
        <v>726</v>
      </c>
      <c r="K113" s="14" t="s">
        <v>745</v>
      </c>
      <c r="L113" s="14" t="s">
        <v>804</v>
      </c>
      <c r="M113" s="14" t="s">
        <v>812</v>
      </c>
    </row>
    <row r="114" spans="1:13" x14ac:dyDescent="0.25">
      <c r="A114" s="14"/>
      <c r="B114" s="14"/>
      <c r="C114" s="14"/>
      <c r="D114" s="14"/>
      <c r="E114" s="14">
        <v>33</v>
      </c>
      <c r="F114" s="21" t="s">
        <v>694</v>
      </c>
      <c r="G114" s="14" t="s">
        <v>642</v>
      </c>
      <c r="H114" s="14">
        <v>1</v>
      </c>
      <c r="I114" s="14">
        <v>12</v>
      </c>
      <c r="J114" s="14" t="s">
        <v>727</v>
      </c>
      <c r="K114" s="14" t="s">
        <v>744</v>
      </c>
      <c r="L114" s="14" t="s">
        <v>789</v>
      </c>
      <c r="M114" s="14" t="s">
        <v>811</v>
      </c>
    </row>
    <row r="115" spans="1:13" x14ac:dyDescent="0.25">
      <c r="A115" s="14"/>
      <c r="B115" s="14"/>
      <c r="C115" s="14"/>
      <c r="D115" s="14"/>
      <c r="E115" s="14">
        <v>34</v>
      </c>
      <c r="F115" s="21" t="s">
        <v>695</v>
      </c>
      <c r="G115" s="14" t="s">
        <v>643</v>
      </c>
      <c r="H115" s="14">
        <v>1</v>
      </c>
      <c r="I115" s="14">
        <v>12</v>
      </c>
      <c r="J115" s="14" t="s">
        <v>728</v>
      </c>
      <c r="K115" s="14" t="s">
        <v>743</v>
      </c>
      <c r="L115" s="14" t="s">
        <v>788</v>
      </c>
      <c r="M115" s="14" t="s">
        <v>810</v>
      </c>
    </row>
    <row r="116" spans="1:13" x14ac:dyDescent="0.25">
      <c r="A116" s="14"/>
      <c r="B116" s="14"/>
      <c r="C116" s="14"/>
      <c r="D116" s="14"/>
      <c r="E116" s="14">
        <v>35</v>
      </c>
      <c r="F116" s="21" t="s">
        <v>696</v>
      </c>
      <c r="G116" s="14" t="s">
        <v>644</v>
      </c>
      <c r="H116" s="14">
        <v>1</v>
      </c>
      <c r="I116" s="14">
        <v>12</v>
      </c>
      <c r="J116" s="14" t="s">
        <v>729</v>
      </c>
      <c r="K116" s="14" t="s">
        <v>742</v>
      </c>
      <c r="L116" s="14" t="s">
        <v>787</v>
      </c>
      <c r="M116" s="14" t="s">
        <v>809</v>
      </c>
    </row>
    <row r="117" spans="1:13" x14ac:dyDescent="0.25">
      <c r="A117" s="14"/>
      <c r="B117" s="14"/>
      <c r="C117" s="14"/>
      <c r="D117" s="14"/>
      <c r="E117" s="14">
        <v>36</v>
      </c>
      <c r="F117" s="21" t="s">
        <v>697</v>
      </c>
      <c r="G117" s="14" t="s">
        <v>645</v>
      </c>
      <c r="H117" s="14">
        <v>1</v>
      </c>
      <c r="I117" s="14">
        <v>12</v>
      </c>
      <c r="J117" s="14" t="s">
        <v>730</v>
      </c>
      <c r="K117" s="14" t="s">
        <v>741</v>
      </c>
      <c r="L117" s="14" t="s">
        <v>786</v>
      </c>
      <c r="M117" s="14" t="s">
        <v>808</v>
      </c>
    </row>
    <row r="118" spans="1:13" x14ac:dyDescent="0.25">
      <c r="A118" s="14"/>
      <c r="B118" s="14"/>
      <c r="C118" s="14"/>
      <c r="D118" s="14"/>
      <c r="E118" s="14">
        <v>37</v>
      </c>
      <c r="F118" s="21" t="s">
        <v>698</v>
      </c>
      <c r="G118" s="14" t="s">
        <v>646</v>
      </c>
      <c r="H118" s="14">
        <v>1</v>
      </c>
      <c r="I118" s="14">
        <v>12</v>
      </c>
      <c r="J118" s="14" t="s">
        <v>731</v>
      </c>
      <c r="K118" s="14" t="s">
        <v>740</v>
      </c>
      <c r="L118" s="14" t="s">
        <v>785</v>
      </c>
      <c r="M118" s="14" t="s">
        <v>807</v>
      </c>
    </row>
    <row r="119" spans="1:13" x14ac:dyDescent="0.25">
      <c r="A119" s="14"/>
      <c r="B119" s="14"/>
      <c r="C119" s="14"/>
      <c r="D119" s="14"/>
      <c r="E119" s="14">
        <v>38</v>
      </c>
      <c r="F119" s="21" t="s">
        <v>699</v>
      </c>
      <c r="G119" s="14" t="s">
        <v>647</v>
      </c>
      <c r="H119" s="14">
        <v>1</v>
      </c>
      <c r="I119" s="14">
        <v>12</v>
      </c>
      <c r="J119" s="14" t="s">
        <v>732</v>
      </c>
      <c r="K119" s="14" t="s">
        <v>739</v>
      </c>
      <c r="L119" s="14" t="s">
        <v>784</v>
      </c>
      <c r="M119" s="14" t="s">
        <v>806</v>
      </c>
    </row>
    <row r="120" spans="1:13" x14ac:dyDescent="0.25">
      <c r="A120" s="14"/>
      <c r="B120" s="14"/>
      <c r="C120" s="14"/>
      <c r="D120" s="14"/>
      <c r="E120" s="14">
        <v>39</v>
      </c>
      <c r="F120" s="21" t="s">
        <v>700</v>
      </c>
      <c r="G120" s="14" t="s">
        <v>648</v>
      </c>
      <c r="H120" s="14">
        <v>1</v>
      </c>
      <c r="I120" s="14">
        <v>12</v>
      </c>
      <c r="J120" s="14" t="s">
        <v>733</v>
      </c>
      <c r="K120" s="14" t="s">
        <v>738</v>
      </c>
      <c r="L120" s="14" t="s">
        <v>783</v>
      </c>
      <c r="M120" s="14" t="s">
        <v>805</v>
      </c>
    </row>
    <row r="121" spans="1:13" x14ac:dyDescent="0.25">
      <c r="A121" s="14"/>
      <c r="B121" s="14"/>
      <c r="C121" s="14"/>
      <c r="D121" s="14"/>
      <c r="E121" s="14">
        <v>40</v>
      </c>
      <c r="F121" s="21" t="s">
        <v>701</v>
      </c>
      <c r="G121" s="14" t="s">
        <v>649</v>
      </c>
      <c r="H121" s="14">
        <v>1</v>
      </c>
      <c r="I121" s="14">
        <v>12</v>
      </c>
      <c r="J121" s="14" t="s">
        <v>734</v>
      </c>
      <c r="K121" s="14" t="s">
        <v>737</v>
      </c>
      <c r="L121" s="14" t="s">
        <v>782</v>
      </c>
      <c r="M121" s="14" t="s">
        <v>901</v>
      </c>
    </row>
    <row r="122" spans="1:13" x14ac:dyDescent="0.25">
      <c r="A122" s="2"/>
      <c r="B122" s="16"/>
      <c r="C122" s="16">
        <v>4</v>
      </c>
      <c r="D122" s="16" t="s">
        <v>330</v>
      </c>
      <c r="E122" s="16">
        <v>1</v>
      </c>
      <c r="F122" s="17" t="s">
        <v>835</v>
      </c>
      <c r="G122" s="16" t="s">
        <v>911</v>
      </c>
      <c r="H122" s="16">
        <v>1</v>
      </c>
      <c r="I122" s="16">
        <v>12</v>
      </c>
      <c r="J122" s="17" t="s">
        <v>920</v>
      </c>
      <c r="K122" s="17" t="s">
        <v>960</v>
      </c>
      <c r="L122" s="17" t="s">
        <v>1000</v>
      </c>
      <c r="M122" s="17" t="s">
        <v>1040</v>
      </c>
    </row>
    <row r="123" spans="1:13" x14ac:dyDescent="0.25">
      <c r="A123" s="2"/>
      <c r="B123" s="16"/>
      <c r="C123" s="16"/>
      <c r="D123" s="16" t="s">
        <v>1872</v>
      </c>
      <c r="E123" s="16">
        <v>2</v>
      </c>
      <c r="F123" s="17" t="s">
        <v>836</v>
      </c>
      <c r="G123" s="16" t="s">
        <v>912</v>
      </c>
      <c r="H123" s="16">
        <v>1</v>
      </c>
      <c r="I123" s="16">
        <v>12</v>
      </c>
      <c r="J123" s="17" t="s">
        <v>921</v>
      </c>
      <c r="K123" s="17" t="s">
        <v>961</v>
      </c>
      <c r="L123" s="17" t="s">
        <v>1001</v>
      </c>
      <c r="M123" s="17" t="s">
        <v>1041</v>
      </c>
    </row>
    <row r="124" spans="1:13" x14ac:dyDescent="0.25">
      <c r="A124" s="2"/>
      <c r="B124" s="16"/>
      <c r="C124" s="16"/>
      <c r="D124" s="16" t="s">
        <v>16</v>
      </c>
      <c r="E124" s="16">
        <v>3</v>
      </c>
      <c r="F124" s="17" t="s">
        <v>837</v>
      </c>
      <c r="G124" s="16" t="s">
        <v>913</v>
      </c>
      <c r="H124" s="16">
        <v>1</v>
      </c>
      <c r="I124" s="16">
        <v>12</v>
      </c>
      <c r="J124" s="17" t="s">
        <v>922</v>
      </c>
      <c r="K124" s="17" t="s">
        <v>962</v>
      </c>
      <c r="L124" s="17" t="s">
        <v>1002</v>
      </c>
      <c r="M124" s="17" t="s">
        <v>1042</v>
      </c>
    </row>
    <row r="125" spans="1:13" x14ac:dyDescent="0.25">
      <c r="A125" s="2"/>
      <c r="B125" s="16"/>
      <c r="C125" s="16"/>
      <c r="D125" s="16"/>
      <c r="E125" s="16">
        <v>4</v>
      </c>
      <c r="F125" s="17" t="s">
        <v>838</v>
      </c>
      <c r="G125" s="16" t="s">
        <v>914</v>
      </c>
      <c r="H125" s="16">
        <v>1</v>
      </c>
      <c r="I125" s="16">
        <v>12</v>
      </c>
      <c r="J125" s="17" t="s">
        <v>923</v>
      </c>
      <c r="K125" s="17" t="s">
        <v>963</v>
      </c>
      <c r="L125" s="17" t="s">
        <v>1003</v>
      </c>
      <c r="M125" s="17" t="s">
        <v>1043</v>
      </c>
    </row>
    <row r="126" spans="1:13" x14ac:dyDescent="0.25">
      <c r="A126" s="2"/>
      <c r="B126" s="16"/>
      <c r="C126" s="16"/>
      <c r="D126" s="16"/>
      <c r="E126" s="16">
        <v>5</v>
      </c>
      <c r="F126" s="17" t="s">
        <v>839</v>
      </c>
      <c r="G126" s="16" t="s">
        <v>915</v>
      </c>
      <c r="H126" s="16">
        <v>1</v>
      </c>
      <c r="I126" s="16">
        <v>12</v>
      </c>
      <c r="J126" s="17" t="s">
        <v>924</v>
      </c>
      <c r="K126" s="17" t="s">
        <v>964</v>
      </c>
      <c r="L126" s="17" t="s">
        <v>1004</v>
      </c>
      <c r="M126" s="17" t="s">
        <v>1044</v>
      </c>
    </row>
    <row r="127" spans="1:13" x14ac:dyDescent="0.25">
      <c r="A127" s="2"/>
      <c r="B127" s="16"/>
      <c r="C127" s="16"/>
      <c r="D127" s="16"/>
      <c r="E127" s="16">
        <v>6</v>
      </c>
      <c r="F127" s="17" t="s">
        <v>840</v>
      </c>
      <c r="G127" s="16" t="s">
        <v>916</v>
      </c>
      <c r="H127" s="16">
        <v>1</v>
      </c>
      <c r="I127" s="16">
        <v>12</v>
      </c>
      <c r="J127" s="17" t="s">
        <v>925</v>
      </c>
      <c r="K127" s="17" t="s">
        <v>965</v>
      </c>
      <c r="L127" s="17" t="s">
        <v>1005</v>
      </c>
      <c r="M127" s="17" t="s">
        <v>1045</v>
      </c>
    </row>
    <row r="128" spans="1:13" x14ac:dyDescent="0.25">
      <c r="A128" s="2"/>
      <c r="B128" s="16"/>
      <c r="C128" s="16"/>
      <c r="D128" s="16"/>
      <c r="E128" s="16">
        <v>7</v>
      </c>
      <c r="F128" s="17" t="s">
        <v>841</v>
      </c>
      <c r="G128" s="16" t="s">
        <v>917</v>
      </c>
      <c r="H128" s="16">
        <v>1</v>
      </c>
      <c r="I128" s="16">
        <v>12</v>
      </c>
      <c r="J128" s="17" t="s">
        <v>926</v>
      </c>
      <c r="K128" s="17" t="s">
        <v>966</v>
      </c>
      <c r="L128" s="17" t="s">
        <v>1006</v>
      </c>
      <c r="M128" s="17" t="s">
        <v>1046</v>
      </c>
    </row>
    <row r="129" spans="1:13" x14ac:dyDescent="0.25">
      <c r="A129" s="2"/>
      <c r="B129" s="16"/>
      <c r="C129" s="16"/>
      <c r="D129" s="16"/>
      <c r="E129" s="16">
        <v>8</v>
      </c>
      <c r="F129" s="17" t="s">
        <v>842</v>
      </c>
      <c r="G129" s="16" t="s">
        <v>918</v>
      </c>
      <c r="H129" s="16">
        <v>1</v>
      </c>
      <c r="I129" s="16">
        <v>12</v>
      </c>
      <c r="J129" s="17" t="s">
        <v>927</v>
      </c>
      <c r="K129" s="17" t="s">
        <v>967</v>
      </c>
      <c r="L129" s="17" t="s">
        <v>1007</v>
      </c>
      <c r="M129" s="17" t="s">
        <v>1047</v>
      </c>
    </row>
    <row r="130" spans="1:13" x14ac:dyDescent="0.25">
      <c r="A130" s="2"/>
      <c r="B130" s="16"/>
      <c r="C130" s="16"/>
      <c r="D130" s="16"/>
      <c r="E130" s="16">
        <v>9</v>
      </c>
      <c r="F130" s="17" t="s">
        <v>843</v>
      </c>
      <c r="G130" s="16" t="s">
        <v>919</v>
      </c>
      <c r="H130" s="16">
        <v>1</v>
      </c>
      <c r="I130" s="16">
        <v>12</v>
      </c>
      <c r="J130" s="17" t="s">
        <v>928</v>
      </c>
      <c r="K130" s="17" t="s">
        <v>968</v>
      </c>
      <c r="L130" s="17" t="s">
        <v>1008</v>
      </c>
      <c r="M130" s="17" t="s">
        <v>1048</v>
      </c>
    </row>
    <row r="131" spans="1:13" x14ac:dyDescent="0.25">
      <c r="A131" s="2"/>
      <c r="B131" s="16"/>
      <c r="C131" s="16"/>
      <c r="D131" s="16"/>
      <c r="E131" s="16">
        <v>10</v>
      </c>
      <c r="F131" s="17" t="s">
        <v>65</v>
      </c>
      <c r="G131" s="16" t="s">
        <v>844</v>
      </c>
      <c r="H131" s="16">
        <v>1</v>
      </c>
      <c r="I131" s="16">
        <v>12</v>
      </c>
      <c r="J131" s="17" t="s">
        <v>929</v>
      </c>
      <c r="K131" s="17" t="s">
        <v>969</v>
      </c>
      <c r="L131" s="17" t="s">
        <v>1009</v>
      </c>
      <c r="M131" s="17" t="s">
        <v>1049</v>
      </c>
    </row>
    <row r="132" spans="1:13" x14ac:dyDescent="0.25">
      <c r="A132" s="2"/>
      <c r="B132" s="16"/>
      <c r="C132" s="16"/>
      <c r="D132" s="16"/>
      <c r="E132" s="16">
        <v>11</v>
      </c>
      <c r="F132" s="17" t="s">
        <v>1222</v>
      </c>
      <c r="G132" s="16" t="s">
        <v>845</v>
      </c>
      <c r="H132" s="16">
        <v>1</v>
      </c>
      <c r="I132" s="16">
        <v>12</v>
      </c>
      <c r="J132" s="17" t="s">
        <v>930</v>
      </c>
      <c r="K132" s="17" t="s">
        <v>970</v>
      </c>
      <c r="L132" s="17" t="s">
        <v>1010</v>
      </c>
      <c r="M132" s="17" t="s">
        <v>1050</v>
      </c>
    </row>
    <row r="133" spans="1:13" x14ac:dyDescent="0.25">
      <c r="A133" s="2"/>
      <c r="B133" s="16"/>
      <c r="C133" s="16"/>
      <c r="D133" s="16"/>
      <c r="E133" s="16">
        <v>12</v>
      </c>
      <c r="F133" s="17" t="s">
        <v>1223</v>
      </c>
      <c r="G133" s="16" t="s">
        <v>846</v>
      </c>
      <c r="H133" s="16">
        <v>1</v>
      </c>
      <c r="I133" s="16">
        <v>12</v>
      </c>
      <c r="J133" s="17" t="s">
        <v>931</v>
      </c>
      <c r="K133" s="17" t="s">
        <v>971</v>
      </c>
      <c r="L133" s="17" t="s">
        <v>1011</v>
      </c>
      <c r="M133" s="17" t="s">
        <v>1051</v>
      </c>
    </row>
    <row r="134" spans="1:13" x14ac:dyDescent="0.25">
      <c r="A134" s="2"/>
      <c r="B134" s="16"/>
      <c r="C134" s="16"/>
      <c r="D134" s="16"/>
      <c r="E134" s="16">
        <v>13</v>
      </c>
      <c r="F134" s="17" t="s">
        <v>1224</v>
      </c>
      <c r="G134" s="16" t="s">
        <v>847</v>
      </c>
      <c r="H134" s="16">
        <v>1</v>
      </c>
      <c r="I134" s="16">
        <v>12</v>
      </c>
      <c r="J134" s="17" t="s">
        <v>932</v>
      </c>
      <c r="K134" s="17" t="s">
        <v>972</v>
      </c>
      <c r="L134" s="17" t="s">
        <v>1012</v>
      </c>
      <c r="M134" s="17" t="s">
        <v>1052</v>
      </c>
    </row>
    <row r="135" spans="1:13" x14ac:dyDescent="0.25">
      <c r="B135" s="18"/>
      <c r="C135" s="16"/>
      <c r="D135" s="16"/>
      <c r="E135" s="16">
        <v>14</v>
      </c>
      <c r="F135" s="17" t="s">
        <v>1225</v>
      </c>
      <c r="G135" s="16" t="s">
        <v>848</v>
      </c>
      <c r="H135" s="16">
        <v>1</v>
      </c>
      <c r="I135" s="16">
        <v>12</v>
      </c>
      <c r="J135" s="17" t="s">
        <v>933</v>
      </c>
      <c r="K135" s="17" t="s">
        <v>973</v>
      </c>
      <c r="L135" s="17" t="s">
        <v>1013</v>
      </c>
      <c r="M135" s="17" t="s">
        <v>1053</v>
      </c>
    </row>
    <row r="136" spans="1:13" x14ac:dyDescent="0.25">
      <c r="B136" s="18"/>
      <c r="C136" s="16"/>
      <c r="D136" s="16"/>
      <c r="E136" s="16">
        <v>15</v>
      </c>
      <c r="F136" s="17" t="s">
        <v>1226</v>
      </c>
      <c r="G136" s="16" t="s">
        <v>849</v>
      </c>
      <c r="H136" s="16">
        <v>1</v>
      </c>
      <c r="I136" s="16">
        <v>12</v>
      </c>
      <c r="J136" s="17" t="s">
        <v>934</v>
      </c>
      <c r="K136" s="17" t="s">
        <v>974</v>
      </c>
      <c r="L136" s="17" t="s">
        <v>1014</v>
      </c>
      <c r="M136" s="17" t="s">
        <v>1054</v>
      </c>
    </row>
    <row r="137" spans="1:13" x14ac:dyDescent="0.25">
      <c r="B137" s="18"/>
      <c r="C137" s="16"/>
      <c r="D137" s="16"/>
      <c r="E137" s="16">
        <v>16</v>
      </c>
      <c r="F137" s="17" t="s">
        <v>1227</v>
      </c>
      <c r="G137" s="16" t="s">
        <v>850</v>
      </c>
      <c r="H137" s="16">
        <v>1</v>
      </c>
      <c r="I137" s="16">
        <v>12</v>
      </c>
      <c r="J137" s="17" t="s">
        <v>935</v>
      </c>
      <c r="K137" s="17" t="s">
        <v>975</v>
      </c>
      <c r="L137" s="17" t="s">
        <v>1015</v>
      </c>
      <c r="M137" s="17" t="s">
        <v>1055</v>
      </c>
    </row>
    <row r="138" spans="1:13" x14ac:dyDescent="0.25">
      <c r="B138" s="18"/>
      <c r="C138" s="16"/>
      <c r="D138" s="16"/>
      <c r="E138" s="16">
        <v>17</v>
      </c>
      <c r="F138" s="17" t="s">
        <v>1228</v>
      </c>
      <c r="G138" s="16" t="s">
        <v>851</v>
      </c>
      <c r="H138" s="16">
        <v>1</v>
      </c>
      <c r="I138" s="16">
        <v>12</v>
      </c>
      <c r="J138" s="17" t="s">
        <v>936</v>
      </c>
      <c r="K138" s="17" t="s">
        <v>976</v>
      </c>
      <c r="L138" s="17" t="s">
        <v>1016</v>
      </c>
      <c r="M138" s="17" t="s">
        <v>1056</v>
      </c>
    </row>
    <row r="139" spans="1:13" x14ac:dyDescent="0.25">
      <c r="B139" s="18"/>
      <c r="C139" s="16"/>
      <c r="D139" s="16"/>
      <c r="E139" s="16">
        <v>18</v>
      </c>
      <c r="F139" s="17" t="s">
        <v>1229</v>
      </c>
      <c r="G139" s="16" t="s">
        <v>852</v>
      </c>
      <c r="H139" s="16">
        <v>1</v>
      </c>
      <c r="I139" s="16">
        <v>12</v>
      </c>
      <c r="J139" s="17" t="s">
        <v>937</v>
      </c>
      <c r="K139" s="17" t="s">
        <v>977</v>
      </c>
      <c r="L139" s="17" t="s">
        <v>1017</v>
      </c>
      <c r="M139" s="17" t="s">
        <v>1057</v>
      </c>
    </row>
    <row r="140" spans="1:13" x14ac:dyDescent="0.25">
      <c r="B140" s="18"/>
      <c r="C140" s="16"/>
      <c r="D140" s="16"/>
      <c r="E140" s="16">
        <v>19</v>
      </c>
      <c r="F140" s="17" t="s">
        <v>1230</v>
      </c>
      <c r="G140" s="16" t="s">
        <v>853</v>
      </c>
      <c r="H140" s="16">
        <v>1</v>
      </c>
      <c r="I140" s="16">
        <v>12</v>
      </c>
      <c r="J140" s="17" t="s">
        <v>938</v>
      </c>
      <c r="K140" s="17" t="s">
        <v>978</v>
      </c>
      <c r="L140" s="17" t="s">
        <v>1018</v>
      </c>
      <c r="M140" s="17" t="s">
        <v>1058</v>
      </c>
    </row>
    <row r="141" spans="1:13" x14ac:dyDescent="0.25">
      <c r="B141" s="18"/>
      <c r="C141" s="16"/>
      <c r="D141" s="16"/>
      <c r="E141" s="16">
        <v>20</v>
      </c>
      <c r="F141" s="17" t="s">
        <v>1231</v>
      </c>
      <c r="G141" s="16" t="s">
        <v>854</v>
      </c>
      <c r="H141" s="16">
        <v>1</v>
      </c>
      <c r="I141" s="16">
        <v>12</v>
      </c>
      <c r="J141" s="17" t="s">
        <v>939</v>
      </c>
      <c r="K141" s="17" t="s">
        <v>979</v>
      </c>
      <c r="L141" s="17" t="s">
        <v>1019</v>
      </c>
      <c r="M141" s="17" t="s">
        <v>1059</v>
      </c>
    </row>
    <row r="142" spans="1:13" x14ac:dyDescent="0.25">
      <c r="B142" s="18"/>
      <c r="C142" s="16"/>
      <c r="D142" s="16"/>
      <c r="E142" s="16">
        <v>21</v>
      </c>
      <c r="F142" s="17" t="s">
        <v>1232</v>
      </c>
      <c r="G142" s="16" t="s">
        <v>855</v>
      </c>
      <c r="H142" s="16">
        <v>1</v>
      </c>
      <c r="I142" s="16">
        <v>12</v>
      </c>
      <c r="J142" s="17" t="s">
        <v>940</v>
      </c>
      <c r="K142" s="17" t="s">
        <v>980</v>
      </c>
      <c r="L142" s="17" t="s">
        <v>1020</v>
      </c>
      <c r="M142" s="17" t="s">
        <v>1060</v>
      </c>
    </row>
    <row r="143" spans="1:13" x14ac:dyDescent="0.25">
      <c r="B143" s="18"/>
      <c r="C143" s="16"/>
      <c r="D143" s="16"/>
      <c r="E143" s="16">
        <v>22</v>
      </c>
      <c r="F143" s="17" t="s">
        <v>1233</v>
      </c>
      <c r="G143" s="16" t="s">
        <v>856</v>
      </c>
      <c r="H143" s="16">
        <v>1</v>
      </c>
      <c r="I143" s="16">
        <v>12</v>
      </c>
      <c r="J143" s="17" t="s">
        <v>941</v>
      </c>
      <c r="K143" s="17" t="s">
        <v>981</v>
      </c>
      <c r="L143" s="17" t="s">
        <v>1021</v>
      </c>
      <c r="M143" s="17" t="s">
        <v>1061</v>
      </c>
    </row>
    <row r="144" spans="1:13" x14ac:dyDescent="0.25">
      <c r="B144" s="18"/>
      <c r="C144" s="16"/>
      <c r="D144" s="16"/>
      <c r="E144" s="16">
        <v>23</v>
      </c>
      <c r="F144" s="17" t="s">
        <v>1234</v>
      </c>
      <c r="G144" s="16" t="s">
        <v>857</v>
      </c>
      <c r="H144" s="16">
        <v>1</v>
      </c>
      <c r="I144" s="16">
        <v>12</v>
      </c>
      <c r="J144" s="17" t="s">
        <v>942</v>
      </c>
      <c r="K144" s="17" t="s">
        <v>982</v>
      </c>
      <c r="L144" s="17" t="s">
        <v>1022</v>
      </c>
      <c r="M144" s="17" t="s">
        <v>1062</v>
      </c>
    </row>
    <row r="145" spans="2:13" x14ac:dyDescent="0.25">
      <c r="B145" s="18"/>
      <c r="C145" s="18"/>
      <c r="D145" s="18"/>
      <c r="E145" s="16">
        <v>24</v>
      </c>
      <c r="F145" s="17" t="s">
        <v>1235</v>
      </c>
      <c r="G145" s="16" t="s">
        <v>858</v>
      </c>
      <c r="H145" s="16">
        <v>1</v>
      </c>
      <c r="I145" s="16">
        <v>12</v>
      </c>
      <c r="J145" s="17" t="s">
        <v>943</v>
      </c>
      <c r="K145" s="17" t="s">
        <v>983</v>
      </c>
      <c r="L145" s="17" t="s">
        <v>1023</v>
      </c>
      <c r="M145" s="17" t="s">
        <v>1063</v>
      </c>
    </row>
    <row r="146" spans="2:13" x14ac:dyDescent="0.25">
      <c r="B146" s="18"/>
      <c r="C146" s="18"/>
      <c r="D146" s="18"/>
      <c r="E146" s="16">
        <v>25</v>
      </c>
      <c r="F146" s="17" t="s">
        <v>1236</v>
      </c>
      <c r="G146" s="16" t="s">
        <v>859</v>
      </c>
      <c r="H146" s="16">
        <v>1</v>
      </c>
      <c r="I146" s="16">
        <v>12</v>
      </c>
      <c r="J146" s="17" t="s">
        <v>944</v>
      </c>
      <c r="K146" s="17" t="s">
        <v>984</v>
      </c>
      <c r="L146" s="17" t="s">
        <v>1024</v>
      </c>
      <c r="M146" s="17" t="s">
        <v>1064</v>
      </c>
    </row>
    <row r="147" spans="2:13" x14ac:dyDescent="0.25">
      <c r="B147" s="18"/>
      <c r="C147" s="18"/>
      <c r="D147" s="18"/>
      <c r="E147" s="16">
        <v>26</v>
      </c>
      <c r="F147" s="17" t="s">
        <v>1237</v>
      </c>
      <c r="G147" s="16" t="s">
        <v>860</v>
      </c>
      <c r="H147" s="16">
        <v>1</v>
      </c>
      <c r="I147" s="16">
        <v>12</v>
      </c>
      <c r="J147" s="17" t="s">
        <v>945</v>
      </c>
      <c r="K147" s="17" t="s">
        <v>985</v>
      </c>
      <c r="L147" s="17" t="s">
        <v>1025</v>
      </c>
      <c r="M147" s="17" t="s">
        <v>1065</v>
      </c>
    </row>
    <row r="148" spans="2:13" x14ac:dyDescent="0.25">
      <c r="B148" s="18"/>
      <c r="C148" s="18"/>
      <c r="D148" s="18"/>
      <c r="E148" s="16">
        <v>27</v>
      </c>
      <c r="F148" s="17" t="s">
        <v>689</v>
      </c>
      <c r="G148" s="16" t="s">
        <v>861</v>
      </c>
      <c r="H148" s="16">
        <v>1</v>
      </c>
      <c r="I148" s="16">
        <v>12</v>
      </c>
      <c r="J148" s="17" t="s">
        <v>946</v>
      </c>
      <c r="K148" s="17" t="s">
        <v>986</v>
      </c>
      <c r="L148" s="17" t="s">
        <v>1026</v>
      </c>
      <c r="M148" s="17" t="s">
        <v>1066</v>
      </c>
    </row>
    <row r="149" spans="2:13" x14ac:dyDescent="0.25">
      <c r="B149" s="18"/>
      <c r="C149" s="18"/>
      <c r="D149" s="18"/>
      <c r="E149" s="16">
        <v>28</v>
      </c>
      <c r="F149" s="17" t="s">
        <v>1238</v>
      </c>
      <c r="G149" s="16" t="s">
        <v>862</v>
      </c>
      <c r="H149" s="16">
        <v>1</v>
      </c>
      <c r="I149" s="16">
        <v>12</v>
      </c>
      <c r="J149" s="17" t="s">
        <v>947</v>
      </c>
      <c r="K149" s="17" t="s">
        <v>987</v>
      </c>
      <c r="L149" s="17" t="s">
        <v>1027</v>
      </c>
      <c r="M149" s="17" t="s">
        <v>1067</v>
      </c>
    </row>
    <row r="150" spans="2:13" x14ac:dyDescent="0.25">
      <c r="B150" s="18"/>
      <c r="C150" s="18"/>
      <c r="D150" s="18"/>
      <c r="E150" s="16">
        <v>29</v>
      </c>
      <c r="F150" s="17" t="s">
        <v>1239</v>
      </c>
      <c r="G150" s="16" t="s">
        <v>863</v>
      </c>
      <c r="H150" s="16">
        <v>1</v>
      </c>
      <c r="I150" s="16">
        <v>12</v>
      </c>
      <c r="J150" s="17" t="s">
        <v>948</v>
      </c>
      <c r="K150" s="17" t="s">
        <v>988</v>
      </c>
      <c r="L150" s="17" t="s">
        <v>1028</v>
      </c>
      <c r="M150" s="17" t="s">
        <v>1068</v>
      </c>
    </row>
    <row r="151" spans="2:13" x14ac:dyDescent="0.25">
      <c r="B151" s="18"/>
      <c r="C151" s="18"/>
      <c r="D151" s="18"/>
      <c r="E151" s="16">
        <v>30</v>
      </c>
      <c r="F151" s="17" t="s">
        <v>1240</v>
      </c>
      <c r="G151" s="16" t="s">
        <v>864</v>
      </c>
      <c r="H151" s="16">
        <v>1</v>
      </c>
      <c r="I151" s="16">
        <v>12</v>
      </c>
      <c r="J151" s="17" t="s">
        <v>949</v>
      </c>
      <c r="K151" s="17" t="s">
        <v>989</v>
      </c>
      <c r="L151" s="17" t="s">
        <v>1029</v>
      </c>
      <c r="M151" s="17" t="s">
        <v>1069</v>
      </c>
    </row>
    <row r="152" spans="2:13" x14ac:dyDescent="0.25">
      <c r="B152" s="18"/>
      <c r="C152" s="18"/>
      <c r="D152" s="18"/>
      <c r="E152" s="16">
        <v>31</v>
      </c>
      <c r="F152" s="17" t="s">
        <v>1241</v>
      </c>
      <c r="G152" s="16" t="s">
        <v>865</v>
      </c>
      <c r="H152" s="16">
        <v>1</v>
      </c>
      <c r="I152" s="16">
        <v>12</v>
      </c>
      <c r="J152" s="17" t="s">
        <v>950</v>
      </c>
      <c r="K152" s="17" t="s">
        <v>990</v>
      </c>
      <c r="L152" s="17" t="s">
        <v>1030</v>
      </c>
      <c r="M152" s="17" t="s">
        <v>1070</v>
      </c>
    </row>
    <row r="153" spans="2:13" x14ac:dyDescent="0.25">
      <c r="B153" s="18"/>
      <c r="C153" s="18"/>
      <c r="D153" s="18"/>
      <c r="E153" s="16">
        <v>32</v>
      </c>
      <c r="F153" s="17" t="s">
        <v>1242</v>
      </c>
      <c r="G153" s="16" t="s">
        <v>866</v>
      </c>
      <c r="H153" s="16">
        <v>1</v>
      </c>
      <c r="I153" s="16">
        <v>12</v>
      </c>
      <c r="J153" s="17" t="s">
        <v>951</v>
      </c>
      <c r="K153" s="17" t="s">
        <v>991</v>
      </c>
      <c r="L153" s="17" t="s">
        <v>1031</v>
      </c>
      <c r="M153" s="17" t="s">
        <v>1071</v>
      </c>
    </row>
    <row r="154" spans="2:13" x14ac:dyDescent="0.25">
      <c r="B154" s="18"/>
      <c r="C154" s="18"/>
      <c r="D154" s="18"/>
      <c r="E154" s="16">
        <v>33</v>
      </c>
      <c r="F154" s="17" t="s">
        <v>1243</v>
      </c>
      <c r="G154" s="16" t="s">
        <v>867</v>
      </c>
      <c r="H154" s="16">
        <v>1</v>
      </c>
      <c r="I154" s="16">
        <v>12</v>
      </c>
      <c r="J154" s="17" t="s">
        <v>952</v>
      </c>
      <c r="K154" s="17" t="s">
        <v>992</v>
      </c>
      <c r="L154" s="17" t="s">
        <v>1032</v>
      </c>
      <c r="M154" s="17" t="s">
        <v>1072</v>
      </c>
    </row>
    <row r="155" spans="2:13" x14ac:dyDescent="0.25">
      <c r="B155" s="18"/>
      <c r="C155" s="18"/>
      <c r="D155" s="18"/>
      <c r="E155" s="16">
        <v>34</v>
      </c>
      <c r="F155" s="17" t="s">
        <v>1244</v>
      </c>
      <c r="G155" s="16" t="s">
        <v>868</v>
      </c>
      <c r="H155" s="16">
        <v>1</v>
      </c>
      <c r="I155" s="16">
        <v>12</v>
      </c>
      <c r="J155" s="17" t="s">
        <v>953</v>
      </c>
      <c r="K155" s="17" t="s">
        <v>993</v>
      </c>
      <c r="L155" s="17" t="s">
        <v>1033</v>
      </c>
      <c r="M155" s="17" t="s">
        <v>1073</v>
      </c>
    </row>
    <row r="156" spans="2:13" x14ac:dyDescent="0.25">
      <c r="B156" s="18"/>
      <c r="C156" s="18"/>
      <c r="D156" s="18"/>
      <c r="E156" s="16">
        <v>35</v>
      </c>
      <c r="F156" s="17" t="s">
        <v>1245</v>
      </c>
      <c r="G156" s="16" t="s">
        <v>869</v>
      </c>
      <c r="H156" s="16">
        <v>1</v>
      </c>
      <c r="I156" s="16">
        <v>12</v>
      </c>
      <c r="J156" s="17" t="s">
        <v>954</v>
      </c>
      <c r="K156" s="17" t="s">
        <v>994</v>
      </c>
      <c r="L156" s="17" t="s">
        <v>1034</v>
      </c>
      <c r="M156" s="17" t="s">
        <v>1074</v>
      </c>
    </row>
    <row r="157" spans="2:13" x14ac:dyDescent="0.25">
      <c r="B157" s="18"/>
      <c r="C157" s="18"/>
      <c r="D157" s="18"/>
      <c r="E157" s="16">
        <v>36</v>
      </c>
      <c r="F157" s="17" t="s">
        <v>1246</v>
      </c>
      <c r="G157" s="16" t="s">
        <v>870</v>
      </c>
      <c r="H157" s="16">
        <v>1</v>
      </c>
      <c r="I157" s="16">
        <v>12</v>
      </c>
      <c r="J157" s="17" t="s">
        <v>955</v>
      </c>
      <c r="K157" s="17" t="s">
        <v>995</v>
      </c>
      <c r="L157" s="17" t="s">
        <v>1035</v>
      </c>
      <c r="M157" s="17" t="s">
        <v>1298</v>
      </c>
    </row>
    <row r="158" spans="2:13" x14ac:dyDescent="0.25">
      <c r="B158" s="18"/>
      <c r="C158" s="18"/>
      <c r="D158" s="18"/>
      <c r="E158" s="16">
        <v>37</v>
      </c>
      <c r="F158" s="17" t="s">
        <v>580</v>
      </c>
      <c r="G158" s="16" t="s">
        <v>871</v>
      </c>
      <c r="H158" s="16">
        <v>1</v>
      </c>
      <c r="I158" s="16">
        <v>12</v>
      </c>
      <c r="J158" s="17" t="s">
        <v>956</v>
      </c>
      <c r="K158" s="17" t="s">
        <v>996</v>
      </c>
      <c r="L158" s="17" t="s">
        <v>1036</v>
      </c>
      <c r="M158" s="17" t="s">
        <v>1075</v>
      </c>
    </row>
    <row r="159" spans="2:13" x14ac:dyDescent="0.25">
      <c r="B159" s="18"/>
      <c r="C159" s="18"/>
      <c r="D159" s="18"/>
      <c r="E159" s="16">
        <v>38</v>
      </c>
      <c r="F159" s="17" t="s">
        <v>1247</v>
      </c>
      <c r="G159" s="16" t="s">
        <v>872</v>
      </c>
      <c r="H159" s="16">
        <v>1</v>
      </c>
      <c r="I159" s="16">
        <v>12</v>
      </c>
      <c r="J159" s="17" t="s">
        <v>957</v>
      </c>
      <c r="K159" s="17" t="s">
        <v>997</v>
      </c>
      <c r="L159" s="17" t="s">
        <v>1037</v>
      </c>
      <c r="M159" s="17" t="s">
        <v>1076</v>
      </c>
    </row>
    <row r="160" spans="2:13" x14ac:dyDescent="0.25">
      <c r="B160" s="18"/>
      <c r="C160" s="18"/>
      <c r="D160" s="18"/>
      <c r="E160" s="16">
        <v>39</v>
      </c>
      <c r="F160" s="17" t="s">
        <v>581</v>
      </c>
      <c r="G160" s="16" t="s">
        <v>873</v>
      </c>
      <c r="H160" s="16">
        <v>1</v>
      </c>
      <c r="I160" s="16">
        <v>12</v>
      </c>
      <c r="J160" s="17" t="s">
        <v>958</v>
      </c>
      <c r="K160" s="17" t="s">
        <v>998</v>
      </c>
      <c r="L160" s="17" t="s">
        <v>1038</v>
      </c>
      <c r="M160" s="17" t="s">
        <v>1077</v>
      </c>
    </row>
    <row r="161" spans="1:14" x14ac:dyDescent="0.25">
      <c r="B161" s="24"/>
      <c r="C161" s="24"/>
      <c r="D161" s="24"/>
      <c r="E161" s="25">
        <v>40</v>
      </c>
      <c r="F161" s="26" t="s">
        <v>1248</v>
      </c>
      <c r="G161" s="25" t="s">
        <v>874</v>
      </c>
      <c r="H161" s="25">
        <v>1</v>
      </c>
      <c r="I161" s="25">
        <v>12</v>
      </c>
      <c r="J161" s="26" t="s">
        <v>959</v>
      </c>
      <c r="K161" s="26" t="s">
        <v>999</v>
      </c>
      <c r="L161" s="26" t="s">
        <v>1039</v>
      </c>
      <c r="M161" s="26" t="s">
        <v>1078</v>
      </c>
    </row>
    <row r="162" spans="1:14" x14ac:dyDescent="0.25">
      <c r="A162" s="27"/>
      <c r="B162" s="27"/>
      <c r="C162" s="28">
        <v>5</v>
      </c>
      <c r="D162" s="28" t="s">
        <v>1249</v>
      </c>
      <c r="E162" s="28">
        <v>1</v>
      </c>
      <c r="F162" s="29" t="s">
        <v>835</v>
      </c>
      <c r="G162" s="28" t="s">
        <v>1250</v>
      </c>
      <c r="H162" s="28">
        <v>1</v>
      </c>
      <c r="I162" s="28">
        <v>12</v>
      </c>
      <c r="J162" s="28" t="s">
        <v>1299</v>
      </c>
      <c r="K162" s="28" t="s">
        <v>1318</v>
      </c>
      <c r="L162" s="28" t="s">
        <v>1337</v>
      </c>
      <c r="M162" s="28" t="s">
        <v>1356</v>
      </c>
      <c r="N162" s="2" t="str">
        <f>CONCATENATE("D. ",M162)</f>
        <v>D. D. You should not go with Alan to the match.</v>
      </c>
    </row>
    <row r="163" spans="1:14" x14ac:dyDescent="0.25">
      <c r="A163" s="27"/>
      <c r="B163" s="27"/>
      <c r="C163" s="28"/>
      <c r="D163" s="28" t="s">
        <v>1872</v>
      </c>
      <c r="E163" s="28">
        <v>2</v>
      </c>
      <c r="F163" s="29" t="s">
        <v>836</v>
      </c>
      <c r="G163" s="28" t="s">
        <v>1251</v>
      </c>
      <c r="H163" s="28">
        <v>1</v>
      </c>
      <c r="I163" s="28">
        <v>12</v>
      </c>
      <c r="J163" s="28" t="s">
        <v>1300</v>
      </c>
      <c r="K163" s="28" t="s">
        <v>1319</v>
      </c>
      <c r="L163" s="28" t="s">
        <v>1338</v>
      </c>
      <c r="M163" s="28" t="s">
        <v>1357</v>
      </c>
      <c r="N163" s="2" t="str">
        <f t="shared" ref="N163:N179" si="0">CONCATENATE("D. ",M163)</f>
        <v>D. D. I can cook great Chinese food.</v>
      </c>
    </row>
    <row r="164" spans="1:14" x14ac:dyDescent="0.25">
      <c r="A164" s="27"/>
      <c r="B164" s="27"/>
      <c r="C164" s="28"/>
      <c r="D164" s="28" t="s">
        <v>16</v>
      </c>
      <c r="E164" s="28">
        <v>3</v>
      </c>
      <c r="F164" s="29" t="s">
        <v>837</v>
      </c>
      <c r="G164" s="28" t="s">
        <v>1252</v>
      </c>
      <c r="H164" s="28">
        <v>1</v>
      </c>
      <c r="I164" s="28">
        <v>12</v>
      </c>
      <c r="J164" s="28" t="s">
        <v>1301</v>
      </c>
      <c r="K164" s="28" t="s">
        <v>1320</v>
      </c>
      <c r="L164" s="28" t="s">
        <v>1339</v>
      </c>
      <c r="M164" s="28" t="s">
        <v>1358</v>
      </c>
      <c r="N164" s="2" t="str">
        <f t="shared" si="0"/>
        <v>D. D. The intelligence unit will discover a cell soon.</v>
      </c>
    </row>
    <row r="165" spans="1:14" x14ac:dyDescent="0.25">
      <c r="A165" s="27"/>
      <c r="B165" s="27"/>
      <c r="C165" s="28"/>
      <c r="D165" s="28"/>
      <c r="E165" s="28">
        <v>4</v>
      </c>
      <c r="F165" s="29" t="s">
        <v>838</v>
      </c>
      <c r="G165" s="28" t="s">
        <v>1253</v>
      </c>
      <c r="H165" s="28">
        <v>1</v>
      </c>
      <c r="I165" s="28">
        <v>12</v>
      </c>
      <c r="J165" s="28" t="s">
        <v>1302</v>
      </c>
      <c r="K165" s="28" t="s">
        <v>1321</v>
      </c>
      <c r="L165" s="28" t="s">
        <v>1340</v>
      </c>
      <c r="M165" s="28" t="s">
        <v>1359</v>
      </c>
      <c r="N165" s="2" t="str">
        <f t="shared" si="0"/>
        <v>D. D. Gold is necessary for space engineering.</v>
      </c>
    </row>
    <row r="166" spans="1:14" x14ac:dyDescent="0.25">
      <c r="A166" s="27"/>
      <c r="B166" s="27"/>
      <c r="C166" s="28"/>
      <c r="D166" s="28"/>
      <c r="E166" s="28">
        <v>5</v>
      </c>
      <c r="F166" s="29" t="s">
        <v>839</v>
      </c>
      <c r="G166" s="28" t="s">
        <v>1254</v>
      </c>
      <c r="H166" s="28">
        <v>1</v>
      </c>
      <c r="I166" s="28">
        <v>12</v>
      </c>
      <c r="J166" s="28" t="s">
        <v>1303</v>
      </c>
      <c r="K166" s="28" t="s">
        <v>1322</v>
      </c>
      <c r="L166" s="28" t="s">
        <v>1341</v>
      </c>
      <c r="M166" s="28" t="s">
        <v>1360</v>
      </c>
      <c r="N166" s="2" t="str">
        <f t="shared" si="0"/>
        <v xml:space="preserve">D. D. It’s becoming harder for people to get by on their salary. </v>
      </c>
    </row>
    <row r="167" spans="1:14" x14ac:dyDescent="0.25">
      <c r="A167" s="27"/>
      <c r="B167" s="27"/>
      <c r="C167" s="28"/>
      <c r="D167" s="28"/>
      <c r="E167" s="28">
        <v>6</v>
      </c>
      <c r="F167" s="29" t="s">
        <v>840</v>
      </c>
      <c r="G167" s="28" t="s">
        <v>1255</v>
      </c>
      <c r="H167" s="28">
        <v>1</v>
      </c>
      <c r="I167" s="28">
        <v>12</v>
      </c>
      <c r="J167" s="28" t="s">
        <v>1304</v>
      </c>
      <c r="K167" s="28" t="s">
        <v>1323</v>
      </c>
      <c r="L167" s="28" t="s">
        <v>1342</v>
      </c>
      <c r="M167" s="28" t="s">
        <v>1361</v>
      </c>
      <c r="N167" s="2" t="str">
        <f t="shared" si="0"/>
        <v xml:space="preserve">D. D. Someone was overcharged for the classes.  </v>
      </c>
    </row>
    <row r="168" spans="1:14" x14ac:dyDescent="0.25">
      <c r="A168" s="27"/>
      <c r="B168" s="27"/>
      <c r="C168" s="28"/>
      <c r="D168" s="28"/>
      <c r="E168" s="28">
        <v>7</v>
      </c>
      <c r="F168" s="29" t="s">
        <v>1289</v>
      </c>
      <c r="G168" s="28" t="s">
        <v>1256</v>
      </c>
      <c r="H168" s="28">
        <v>1</v>
      </c>
      <c r="I168" s="28">
        <v>12</v>
      </c>
      <c r="J168" s="28" t="s">
        <v>1305</v>
      </c>
      <c r="K168" s="28" t="s">
        <v>1324</v>
      </c>
      <c r="L168" s="28" t="s">
        <v>1343</v>
      </c>
      <c r="M168" s="28" t="s">
        <v>1362</v>
      </c>
      <c r="N168" s="2" t="str">
        <f t="shared" si="0"/>
        <v xml:space="preserve">D. D. What are you offering the people who work for you? </v>
      </c>
    </row>
    <row r="169" spans="1:14" x14ac:dyDescent="0.25">
      <c r="A169" s="27"/>
      <c r="B169" s="27"/>
      <c r="C169" s="28"/>
      <c r="D169" s="28"/>
      <c r="E169" s="28">
        <v>8</v>
      </c>
      <c r="F169" s="29" t="s">
        <v>1290</v>
      </c>
      <c r="G169" s="28" t="s">
        <v>1257</v>
      </c>
      <c r="H169" s="28">
        <v>1</v>
      </c>
      <c r="I169" s="28">
        <v>12</v>
      </c>
      <c r="J169" s="28" t="s">
        <v>1306</v>
      </c>
      <c r="K169" s="28" t="s">
        <v>1325</v>
      </c>
      <c r="L169" s="28" t="s">
        <v>1344</v>
      </c>
      <c r="M169" s="28" t="s">
        <v>1363</v>
      </c>
      <c r="N169" s="2" t="str">
        <f t="shared" si="0"/>
        <v>D. D. The governing powers are seeking more information.</v>
      </c>
    </row>
    <row r="170" spans="1:14" x14ac:dyDescent="0.25">
      <c r="A170" s="27"/>
      <c r="B170" s="27"/>
      <c r="C170" s="28"/>
      <c r="D170" s="28"/>
      <c r="E170" s="28">
        <v>9</v>
      </c>
      <c r="F170" s="29" t="s">
        <v>1291</v>
      </c>
      <c r="G170" s="28" t="s">
        <v>1258</v>
      </c>
      <c r="H170" s="28">
        <v>1</v>
      </c>
      <c r="I170" s="28">
        <v>12</v>
      </c>
      <c r="J170" s="28" t="s">
        <v>1307</v>
      </c>
      <c r="K170" s="28" t="s">
        <v>1326</v>
      </c>
      <c r="L170" s="28" t="s">
        <v>1345</v>
      </c>
      <c r="M170" s="28" t="s">
        <v>1364</v>
      </c>
      <c r="N170" s="2" t="str">
        <f t="shared" si="0"/>
        <v>D. D. The name of the person who sold it to him.</v>
      </c>
    </row>
    <row r="171" spans="1:14" x14ac:dyDescent="0.25">
      <c r="A171" s="27"/>
      <c r="B171" s="27"/>
      <c r="C171" s="28"/>
      <c r="D171" s="28"/>
      <c r="E171" s="28">
        <v>10</v>
      </c>
      <c r="F171" s="29" t="s">
        <v>178</v>
      </c>
      <c r="G171" s="28" t="s">
        <v>1259</v>
      </c>
      <c r="H171" s="28">
        <v>1</v>
      </c>
      <c r="I171" s="28">
        <v>12</v>
      </c>
      <c r="J171" s="28" t="s">
        <v>1308</v>
      </c>
      <c r="K171" s="28" t="s">
        <v>1327</v>
      </c>
      <c r="L171" s="28" t="s">
        <v>1346</v>
      </c>
      <c r="M171" s="28" t="s">
        <v>1365</v>
      </c>
      <c r="N171" s="2" t="str">
        <f t="shared" si="0"/>
        <v>D. D. He is working on a plan to spend the summer in Greece.</v>
      </c>
    </row>
    <row r="172" spans="1:14" x14ac:dyDescent="0.25">
      <c r="A172" s="27"/>
      <c r="B172" s="27"/>
      <c r="C172" s="28"/>
      <c r="D172" s="28"/>
      <c r="E172" s="28">
        <v>11</v>
      </c>
      <c r="F172" s="29" t="s">
        <v>197</v>
      </c>
      <c r="G172" s="28" t="s">
        <v>1260</v>
      </c>
      <c r="H172" s="28">
        <v>1</v>
      </c>
      <c r="I172" s="28">
        <v>12</v>
      </c>
      <c r="J172" s="28" t="s">
        <v>1309</v>
      </c>
      <c r="K172" s="28" t="s">
        <v>1328</v>
      </c>
      <c r="L172" s="28" t="s">
        <v>1347</v>
      </c>
      <c r="M172" s="28" t="s">
        <v>1366</v>
      </c>
      <c r="N172" s="2" t="str">
        <f t="shared" si="0"/>
        <v xml:space="preserve">D. D. She has some information for him. </v>
      </c>
    </row>
    <row r="173" spans="1:14" x14ac:dyDescent="0.25">
      <c r="A173" s="27"/>
      <c r="B173" s="27"/>
      <c r="C173" s="28"/>
      <c r="D173" s="28"/>
      <c r="E173" s="28">
        <v>12</v>
      </c>
      <c r="F173" s="29" t="s">
        <v>1292</v>
      </c>
      <c r="G173" s="28" t="s">
        <v>1261</v>
      </c>
      <c r="H173" s="28">
        <v>1</v>
      </c>
      <c r="I173" s="28">
        <v>12</v>
      </c>
      <c r="J173" s="28" t="s">
        <v>1310</v>
      </c>
      <c r="K173" s="28" t="s">
        <v>1329</v>
      </c>
      <c r="L173" s="28" t="s">
        <v>1348</v>
      </c>
      <c r="M173" s="28" t="s">
        <v>1367</v>
      </c>
      <c r="N173" s="2" t="str">
        <f t="shared" si="0"/>
        <v xml:space="preserve">D. D. Turn off the computer. </v>
      </c>
    </row>
    <row r="174" spans="1:14" x14ac:dyDescent="0.25">
      <c r="A174" s="27"/>
      <c r="B174" s="27"/>
      <c r="C174" s="28"/>
      <c r="D174" s="28"/>
      <c r="E174" s="28">
        <v>13</v>
      </c>
      <c r="F174" s="29" t="s">
        <v>1224</v>
      </c>
      <c r="G174" s="28" t="s">
        <v>1262</v>
      </c>
      <c r="H174" s="28">
        <v>1</v>
      </c>
      <c r="I174" s="28">
        <v>12</v>
      </c>
      <c r="J174" s="28" t="s">
        <v>1311</v>
      </c>
      <c r="K174" s="28" t="s">
        <v>1330</v>
      </c>
      <c r="L174" s="28" t="s">
        <v>1349</v>
      </c>
      <c r="M174" s="28" t="s">
        <v>1368</v>
      </c>
      <c r="N174" s="2" t="str">
        <f t="shared" si="0"/>
        <v>D. D. They can’t stay there for the night.</v>
      </c>
    </row>
    <row r="175" spans="1:14" x14ac:dyDescent="0.25">
      <c r="A175" s="27"/>
      <c r="B175" s="27"/>
      <c r="C175" s="28"/>
      <c r="D175" s="28"/>
      <c r="E175" s="28">
        <v>14</v>
      </c>
      <c r="F175" s="29" t="s">
        <v>1293</v>
      </c>
      <c r="G175" s="28" t="s">
        <v>1263</v>
      </c>
      <c r="H175" s="28">
        <v>1</v>
      </c>
      <c r="I175" s="28">
        <v>12</v>
      </c>
      <c r="J175" s="28" t="s">
        <v>1312</v>
      </c>
      <c r="K175" s="28" t="s">
        <v>1331</v>
      </c>
      <c r="L175" s="28" t="s">
        <v>1350</v>
      </c>
      <c r="M175" s="28" t="s">
        <v>1369</v>
      </c>
      <c r="N175" s="2" t="str">
        <f t="shared" si="0"/>
        <v>D. D. The father and his son are different.</v>
      </c>
    </row>
    <row r="176" spans="1:14" x14ac:dyDescent="0.25">
      <c r="A176" s="27"/>
      <c r="B176" s="27"/>
      <c r="C176" s="28"/>
      <c r="D176" s="28"/>
      <c r="E176" s="28">
        <v>15</v>
      </c>
      <c r="F176" s="29" t="s">
        <v>1226</v>
      </c>
      <c r="G176" s="28" t="s">
        <v>1264</v>
      </c>
      <c r="H176" s="28">
        <v>1</v>
      </c>
      <c r="I176" s="28">
        <v>12</v>
      </c>
      <c r="J176" s="28" t="s">
        <v>1313</v>
      </c>
      <c r="K176" s="28" t="s">
        <v>1332</v>
      </c>
      <c r="L176" s="28" t="s">
        <v>1351</v>
      </c>
      <c r="M176" s="28" t="s">
        <v>1370</v>
      </c>
      <c r="N176" s="2" t="str">
        <f t="shared" si="0"/>
        <v>D. D. Swiss skis are the best.</v>
      </c>
    </row>
    <row r="177" spans="1:14" x14ac:dyDescent="0.25">
      <c r="A177" s="27"/>
      <c r="B177" s="27"/>
      <c r="C177" s="28"/>
      <c r="D177" s="28"/>
      <c r="E177" s="28">
        <v>16</v>
      </c>
      <c r="F177" s="29" t="s">
        <v>1294</v>
      </c>
      <c r="G177" s="28" t="s">
        <v>1265</v>
      </c>
      <c r="H177" s="28">
        <v>1</v>
      </c>
      <c r="I177" s="28">
        <v>12</v>
      </c>
      <c r="J177" s="28" t="s">
        <v>1314</v>
      </c>
      <c r="K177" s="28" t="s">
        <v>1333</v>
      </c>
      <c r="L177" s="28" t="s">
        <v>1352</v>
      </c>
      <c r="M177" s="28" t="s">
        <v>1371</v>
      </c>
      <c r="N177" s="2" t="str">
        <f t="shared" si="0"/>
        <v>D. D. Jack’s new job is a dream come true.</v>
      </c>
    </row>
    <row r="178" spans="1:14" x14ac:dyDescent="0.25">
      <c r="A178" s="27"/>
      <c r="B178" s="27"/>
      <c r="C178" s="28"/>
      <c r="D178" s="28"/>
      <c r="E178" s="28">
        <v>17</v>
      </c>
      <c r="F178" s="29" t="s">
        <v>1295</v>
      </c>
      <c r="G178" s="28" t="s">
        <v>1266</v>
      </c>
      <c r="H178" s="28">
        <v>1</v>
      </c>
      <c r="I178" s="28">
        <v>12</v>
      </c>
      <c r="J178" s="28" t="s">
        <v>1315</v>
      </c>
      <c r="K178" s="28" t="s">
        <v>1334</v>
      </c>
      <c r="L178" s="28" t="s">
        <v>1353</v>
      </c>
      <c r="M178" s="28" t="s">
        <v>1372</v>
      </c>
      <c r="N178" s="2" t="str">
        <f t="shared" si="0"/>
        <v xml:space="preserve">D. D. She needs to be careful about spending money.  </v>
      </c>
    </row>
    <row r="179" spans="1:14" x14ac:dyDescent="0.25">
      <c r="A179" s="27"/>
      <c r="B179" s="27"/>
      <c r="C179" s="28"/>
      <c r="D179" s="28"/>
      <c r="E179" s="28">
        <v>18</v>
      </c>
      <c r="F179" s="29" t="s">
        <v>1296</v>
      </c>
      <c r="G179" s="28" t="s">
        <v>1267</v>
      </c>
      <c r="H179" s="28">
        <v>1</v>
      </c>
      <c r="I179" s="28">
        <v>12</v>
      </c>
      <c r="J179" s="28" t="s">
        <v>1316</v>
      </c>
      <c r="K179" s="28" t="s">
        <v>1335</v>
      </c>
      <c r="L179" s="28" t="s">
        <v>1354</v>
      </c>
      <c r="M179" s="28" t="s">
        <v>1373</v>
      </c>
      <c r="N179" s="2" t="str">
        <f t="shared" si="0"/>
        <v>D. D. Tom’s speech had no beginning or end.</v>
      </c>
    </row>
    <row r="180" spans="1:14" x14ac:dyDescent="0.25">
      <c r="A180" s="27"/>
      <c r="B180" s="27"/>
      <c r="C180" s="28"/>
      <c r="D180" s="28"/>
      <c r="E180" s="28">
        <v>19</v>
      </c>
      <c r="F180" s="29" t="s">
        <v>1297</v>
      </c>
      <c r="G180" s="28" t="s">
        <v>1268</v>
      </c>
      <c r="H180" s="28">
        <v>1</v>
      </c>
      <c r="I180" s="28">
        <v>12</v>
      </c>
      <c r="J180" s="28" t="s">
        <v>1317</v>
      </c>
      <c r="K180" s="28" t="s">
        <v>1336</v>
      </c>
      <c r="L180" s="28" t="s">
        <v>1355</v>
      </c>
      <c r="M180" s="28" t="s">
        <v>1374</v>
      </c>
      <c r="N180" s="2" t="str">
        <f>CONCATENATE("A. ",J180)</f>
        <v xml:space="preserve">A. A. Both speakers have passed the test. </v>
      </c>
    </row>
    <row r="181" spans="1:14" x14ac:dyDescent="0.25">
      <c r="A181" s="27"/>
      <c r="B181" s="27"/>
      <c r="C181" s="28"/>
      <c r="D181" s="28"/>
      <c r="E181" s="28">
        <v>20</v>
      </c>
      <c r="F181" s="29" t="s">
        <v>1231</v>
      </c>
      <c r="G181" s="28" t="s">
        <v>1269</v>
      </c>
      <c r="H181" s="28">
        <v>1</v>
      </c>
      <c r="I181" s="28">
        <v>12</v>
      </c>
      <c r="J181" s="28" t="s">
        <v>1438</v>
      </c>
      <c r="K181" s="28" t="s">
        <v>1417</v>
      </c>
      <c r="L181" s="28" t="s">
        <v>1396</v>
      </c>
      <c r="M181" s="28" t="s">
        <v>1375</v>
      </c>
      <c r="N181" s="2" t="str">
        <f>CONCATENATE("A. ",J181)</f>
        <v>A. A. The project manager will be sad to leave the company</v>
      </c>
    </row>
    <row r="182" spans="1:14" x14ac:dyDescent="0.25">
      <c r="A182" s="27"/>
      <c r="B182" s="27"/>
      <c r="C182" s="28"/>
      <c r="D182" s="28"/>
      <c r="E182" s="28">
        <v>21</v>
      </c>
      <c r="F182" s="29" t="s">
        <v>1478</v>
      </c>
      <c r="G182" s="28" t="s">
        <v>1270</v>
      </c>
      <c r="H182" s="28">
        <v>1</v>
      </c>
      <c r="I182" s="28">
        <v>12</v>
      </c>
      <c r="J182" s="28" t="s">
        <v>1439</v>
      </c>
      <c r="K182" s="28" t="s">
        <v>1418</v>
      </c>
      <c r="L182" s="28" t="s">
        <v>1397</v>
      </c>
      <c r="M182" s="28" t="s">
        <v>1376</v>
      </c>
      <c r="N182" s="2" t="str">
        <f t="shared" ref="N182:N201" si="1">CONCATENATE("A. ",J182)</f>
        <v>A. A. Are similar to their rivals</v>
      </c>
    </row>
    <row r="183" spans="1:14" x14ac:dyDescent="0.25">
      <c r="A183" s="27"/>
      <c r="B183" s="27"/>
      <c r="C183" s="28"/>
      <c r="D183" s="28"/>
      <c r="E183" s="28">
        <v>22</v>
      </c>
      <c r="F183" s="29" t="s">
        <v>1459</v>
      </c>
      <c r="G183" s="28" t="s">
        <v>1271</v>
      </c>
      <c r="H183" s="28">
        <v>1</v>
      </c>
      <c r="I183" s="28">
        <v>12</v>
      </c>
      <c r="J183" s="28" t="s">
        <v>1440</v>
      </c>
      <c r="K183" s="28" t="s">
        <v>1419</v>
      </c>
      <c r="L183" s="28" t="s">
        <v>1398</v>
      </c>
      <c r="M183" s="28" t="s">
        <v>1377</v>
      </c>
      <c r="N183" s="2" t="str">
        <f t="shared" si="1"/>
        <v>A. A. The vote in Congress takes place in less than two months</v>
      </c>
    </row>
    <row r="184" spans="1:14" x14ac:dyDescent="0.25">
      <c r="A184" s="27"/>
      <c r="B184" s="27"/>
      <c r="C184" s="28"/>
      <c r="D184" s="28"/>
      <c r="E184" s="28">
        <v>23</v>
      </c>
      <c r="F184" s="29" t="s">
        <v>1460</v>
      </c>
      <c r="G184" s="28" t="s">
        <v>1480</v>
      </c>
      <c r="H184" s="28">
        <v>1</v>
      </c>
      <c r="I184" s="28">
        <v>12</v>
      </c>
      <c r="J184" s="28" t="s">
        <v>1441</v>
      </c>
      <c r="K184" s="28" t="s">
        <v>1420</v>
      </c>
      <c r="L184" s="28" t="s">
        <v>1399</v>
      </c>
      <c r="M184" s="28" t="s">
        <v>1378</v>
      </c>
      <c r="N184" s="2" t="str">
        <f t="shared" si="1"/>
        <v>A. A. 1000 tourists had to get out quickly</v>
      </c>
    </row>
    <row r="185" spans="1:14" x14ac:dyDescent="0.25">
      <c r="A185" s="27"/>
      <c r="B185" s="27"/>
      <c r="C185" s="27"/>
      <c r="D185" s="27"/>
      <c r="E185" s="28">
        <v>24</v>
      </c>
      <c r="F185" s="29" t="s">
        <v>1479</v>
      </c>
      <c r="G185" s="28" t="s">
        <v>1272</v>
      </c>
      <c r="H185" s="28">
        <v>1</v>
      </c>
      <c r="I185" s="28">
        <v>12</v>
      </c>
      <c r="J185" s="28" t="s">
        <v>1442</v>
      </c>
      <c r="K185" s="28" t="s">
        <v>1421</v>
      </c>
      <c r="L185" s="28" t="s">
        <v>1400</v>
      </c>
      <c r="M185" s="28" t="s">
        <v>1379</v>
      </c>
      <c r="N185" s="2" t="str">
        <f t="shared" si="1"/>
        <v>A. A. The boat is headed for Cyprus</v>
      </c>
    </row>
    <row r="186" spans="1:14" x14ac:dyDescent="0.25">
      <c r="A186" s="27"/>
      <c r="B186" s="27"/>
      <c r="C186" s="27"/>
      <c r="D186" s="27"/>
      <c r="E186" s="28">
        <v>25</v>
      </c>
      <c r="F186" s="29" t="s">
        <v>1461</v>
      </c>
      <c r="G186" s="28" t="s">
        <v>1273</v>
      </c>
      <c r="H186" s="28">
        <v>1</v>
      </c>
      <c r="I186" s="28">
        <v>12</v>
      </c>
      <c r="J186" s="28" t="s">
        <v>1443</v>
      </c>
      <c r="K186" s="28" t="s">
        <v>1422</v>
      </c>
      <c r="L186" s="28" t="s">
        <v>1401</v>
      </c>
      <c r="M186" s="28" t="s">
        <v>1380</v>
      </c>
      <c r="N186" s="2" t="str">
        <f t="shared" si="1"/>
        <v>A. A. The head of NATO sent a message to Afghan officials</v>
      </c>
    </row>
    <row r="187" spans="1:14" x14ac:dyDescent="0.25">
      <c r="A187" s="27"/>
      <c r="B187" s="27"/>
      <c r="C187" s="27"/>
      <c r="D187" s="27"/>
      <c r="E187" s="28">
        <v>26</v>
      </c>
      <c r="F187" s="29" t="s">
        <v>1462</v>
      </c>
      <c r="G187" s="28" t="s">
        <v>1274</v>
      </c>
      <c r="H187" s="28">
        <v>1</v>
      </c>
      <c r="I187" s="28">
        <v>12</v>
      </c>
      <c r="J187" s="28" t="s">
        <v>1444</v>
      </c>
      <c r="K187" s="28" t="s">
        <v>1423</v>
      </c>
      <c r="L187" s="28" t="s">
        <v>1402</v>
      </c>
      <c r="M187" s="28" t="s">
        <v>1381</v>
      </c>
      <c r="N187" s="2" t="str">
        <f t="shared" si="1"/>
        <v>A. A. The handling of the recession</v>
      </c>
    </row>
    <row r="188" spans="1:14" x14ac:dyDescent="0.25">
      <c r="A188" s="27"/>
      <c r="B188" s="27"/>
      <c r="C188" s="27"/>
      <c r="D188" s="27"/>
      <c r="E188" s="28">
        <v>27</v>
      </c>
      <c r="F188" s="29" t="s">
        <v>1463</v>
      </c>
      <c r="G188" s="28" t="s">
        <v>1275</v>
      </c>
      <c r="H188" s="28">
        <v>1</v>
      </c>
      <c r="I188" s="28">
        <v>12</v>
      </c>
      <c r="J188" s="28" t="s">
        <v>1445</v>
      </c>
      <c r="K188" s="28" t="s">
        <v>1424</v>
      </c>
      <c r="L188" s="28" t="s">
        <v>1403</v>
      </c>
      <c r="M188" s="28" t="s">
        <v>1382</v>
      </c>
      <c r="N188" s="2" t="str">
        <f t="shared" si="1"/>
        <v>A. A. Access to HIV drugs is in line with objectives</v>
      </c>
    </row>
    <row r="189" spans="1:14" x14ac:dyDescent="0.25">
      <c r="A189" s="27"/>
      <c r="B189" s="27"/>
      <c r="C189" s="27"/>
      <c r="D189" s="27"/>
      <c r="E189" s="28">
        <v>28</v>
      </c>
      <c r="F189" s="29" t="s">
        <v>1464</v>
      </c>
      <c r="G189" s="28" t="s">
        <v>1276</v>
      </c>
      <c r="H189" s="28">
        <v>1</v>
      </c>
      <c r="I189" s="28">
        <v>12</v>
      </c>
      <c r="J189" s="28" t="s">
        <v>1446</v>
      </c>
      <c r="K189" s="28" t="s">
        <v>1425</v>
      </c>
      <c r="L189" s="28" t="s">
        <v>1404</v>
      </c>
      <c r="M189" s="28" t="s">
        <v>1383</v>
      </c>
      <c r="N189" s="2" t="str">
        <f t="shared" si="1"/>
        <v>A. A. They have given billions of dollars to China</v>
      </c>
    </row>
    <row r="190" spans="1:14" x14ac:dyDescent="0.25">
      <c r="A190" s="27"/>
      <c r="B190" s="27"/>
      <c r="C190" s="27"/>
      <c r="D190" s="27"/>
      <c r="E190" s="28">
        <v>29</v>
      </c>
      <c r="F190" s="29" t="s">
        <v>1465</v>
      </c>
      <c r="G190" s="28" t="s">
        <v>1277</v>
      </c>
      <c r="H190" s="28">
        <v>1</v>
      </c>
      <c r="I190" s="28">
        <v>12</v>
      </c>
      <c r="J190" s="28" t="s">
        <v>1447</v>
      </c>
      <c r="K190" s="28" t="s">
        <v>1426</v>
      </c>
      <c r="L190" s="28" t="s">
        <v>1405</v>
      </c>
      <c r="M190" s="28" t="s">
        <v>1384</v>
      </c>
      <c r="N190" s="2" t="str">
        <f t="shared" si="1"/>
        <v>A. A. Human error caused the crash</v>
      </c>
    </row>
    <row r="191" spans="1:14" x14ac:dyDescent="0.25">
      <c r="A191" s="27"/>
      <c r="B191" s="27"/>
      <c r="C191" s="27"/>
      <c r="D191" s="27"/>
      <c r="E191" s="28">
        <v>30</v>
      </c>
      <c r="F191" s="29" t="s">
        <v>1466</v>
      </c>
      <c r="G191" s="28" t="s">
        <v>1278</v>
      </c>
      <c r="H191" s="28">
        <v>1</v>
      </c>
      <c r="I191" s="28">
        <v>12</v>
      </c>
      <c r="J191" s="28" t="s">
        <v>1448</v>
      </c>
      <c r="K191" s="28" t="s">
        <v>1427</v>
      </c>
      <c r="L191" s="28" t="s">
        <v>1406</v>
      </c>
      <c r="M191" s="28" t="s">
        <v>1385</v>
      </c>
      <c r="N191" s="2" t="str">
        <f t="shared" si="1"/>
        <v>A. A. People are tired of Bill Clinton</v>
      </c>
    </row>
    <row r="192" spans="1:14" x14ac:dyDescent="0.25">
      <c r="A192" s="27"/>
      <c r="B192" s="27"/>
      <c r="C192" s="27"/>
      <c r="D192" s="27"/>
      <c r="E192" s="28">
        <v>31</v>
      </c>
      <c r="F192" s="29" t="s">
        <v>1467</v>
      </c>
      <c r="G192" s="28" t="s">
        <v>1279</v>
      </c>
      <c r="H192" s="28">
        <v>1</v>
      </c>
      <c r="I192" s="28">
        <v>12</v>
      </c>
      <c r="J192" s="28" t="s">
        <v>1449</v>
      </c>
      <c r="K192" s="28" t="s">
        <v>1428</v>
      </c>
      <c r="L192" s="28" t="s">
        <v>1407</v>
      </c>
      <c r="M192" s="28" t="s">
        <v>1386</v>
      </c>
      <c r="N192" s="2" t="str">
        <f t="shared" si="1"/>
        <v>A. A. Thirty three per cent of people have a bank account</v>
      </c>
    </row>
    <row r="193" spans="1:14" x14ac:dyDescent="0.25">
      <c r="A193" s="27"/>
      <c r="B193" s="27"/>
      <c r="C193" s="27"/>
      <c r="D193" s="27"/>
      <c r="E193" s="28">
        <v>32</v>
      </c>
      <c r="F193" s="29" t="s">
        <v>1468</v>
      </c>
      <c r="G193" s="28" t="s">
        <v>1280</v>
      </c>
      <c r="H193" s="28">
        <v>1</v>
      </c>
      <c r="I193" s="28">
        <v>12</v>
      </c>
      <c r="J193" s="28" t="s">
        <v>1450</v>
      </c>
      <c r="K193" s="28" t="s">
        <v>1429</v>
      </c>
      <c r="L193" s="28" t="s">
        <v>1408</v>
      </c>
      <c r="M193" s="28" t="s">
        <v>1387</v>
      </c>
      <c r="N193" s="2" t="str">
        <f t="shared" si="1"/>
        <v>A. A. Joan Sutherland was sixty when she toured Australia</v>
      </c>
    </row>
    <row r="194" spans="1:14" x14ac:dyDescent="0.25">
      <c r="A194" s="27"/>
      <c r="B194" s="27"/>
      <c r="C194" s="27"/>
      <c r="D194" s="27"/>
      <c r="E194" s="28">
        <v>33</v>
      </c>
      <c r="F194" s="29" t="s">
        <v>1469</v>
      </c>
      <c r="G194" s="28" t="s">
        <v>1281</v>
      </c>
      <c r="H194" s="28">
        <v>1</v>
      </c>
      <c r="I194" s="28">
        <v>12</v>
      </c>
      <c r="J194" s="28" t="s">
        <v>1451</v>
      </c>
      <c r="K194" s="28" t="s">
        <v>1430</v>
      </c>
      <c r="L194" s="28" t="s">
        <v>1409</v>
      </c>
      <c r="M194" s="28" t="s">
        <v>1388</v>
      </c>
      <c r="N194" s="2" t="str">
        <f t="shared" si="1"/>
        <v>A. A. They lost a billion pounds in two years</v>
      </c>
    </row>
    <row r="195" spans="1:14" x14ac:dyDescent="0.25">
      <c r="A195" s="27"/>
      <c r="B195" s="27"/>
      <c r="C195" s="27"/>
      <c r="D195" s="27"/>
      <c r="E195" s="28">
        <v>34</v>
      </c>
      <c r="F195" s="29" t="s">
        <v>1470</v>
      </c>
      <c r="G195" s="28" t="s">
        <v>1282</v>
      </c>
      <c r="H195" s="28">
        <v>1</v>
      </c>
      <c r="I195" s="28">
        <v>12</v>
      </c>
      <c r="J195" s="28" t="s">
        <v>1452</v>
      </c>
      <c r="K195" s="28" t="s">
        <v>1431</v>
      </c>
      <c r="L195" s="28" t="s">
        <v>1410</v>
      </c>
      <c r="M195" s="28" t="s">
        <v>1389</v>
      </c>
      <c r="N195" s="2" t="str">
        <f t="shared" si="1"/>
        <v>A. A. They have been the target of criticism and complaints</v>
      </c>
    </row>
    <row r="196" spans="1:14" x14ac:dyDescent="0.25">
      <c r="A196" s="27"/>
      <c r="B196" s="27"/>
      <c r="C196" s="27"/>
      <c r="D196" s="27"/>
      <c r="E196" s="28">
        <v>35</v>
      </c>
      <c r="F196" s="29" t="s">
        <v>1471</v>
      </c>
      <c r="G196" s="28" t="s">
        <v>1283</v>
      </c>
      <c r="H196" s="28">
        <v>1</v>
      </c>
      <c r="I196" s="28">
        <v>12</v>
      </c>
      <c r="J196" s="28" t="s">
        <v>1453</v>
      </c>
      <c r="K196" s="28" t="s">
        <v>1432</v>
      </c>
      <c r="L196" s="28" t="s">
        <v>1411</v>
      </c>
      <c r="M196" s="28" t="s">
        <v>1390</v>
      </c>
      <c r="N196" s="2" t="str">
        <f>CONCATENATE("A. ",J196)</f>
        <v>A. A. A referendum will take place when both sides have marked their territory</v>
      </c>
    </row>
    <row r="197" spans="1:14" x14ac:dyDescent="0.25">
      <c r="A197" s="27"/>
      <c r="B197" s="27"/>
      <c r="C197" s="27"/>
      <c r="D197" s="27"/>
      <c r="E197" s="28">
        <v>36</v>
      </c>
      <c r="F197" s="29" t="s">
        <v>1472</v>
      </c>
      <c r="G197" s="28" t="s">
        <v>1284</v>
      </c>
      <c r="H197" s="28">
        <v>1</v>
      </c>
      <c r="I197" s="28">
        <v>12</v>
      </c>
      <c r="J197" s="28" t="s">
        <v>1454</v>
      </c>
      <c r="K197" s="28" t="s">
        <v>1433</v>
      </c>
      <c r="L197" s="28" t="s">
        <v>1412</v>
      </c>
      <c r="M197" s="28" t="s">
        <v>1391</v>
      </c>
      <c r="N197" s="2" t="str">
        <f t="shared" si="1"/>
        <v>A. A. The US  have launched attacks on Pakistani soldiers</v>
      </c>
    </row>
    <row r="198" spans="1:14" x14ac:dyDescent="0.25">
      <c r="A198" s="27"/>
      <c r="B198" s="27"/>
      <c r="C198" s="27"/>
      <c r="D198" s="27"/>
      <c r="E198" s="28">
        <v>37</v>
      </c>
      <c r="F198" s="29" t="s">
        <v>1473</v>
      </c>
      <c r="G198" s="28" t="s">
        <v>1285</v>
      </c>
      <c r="H198" s="28">
        <v>1</v>
      </c>
      <c r="I198" s="28">
        <v>12</v>
      </c>
      <c r="J198" s="28" t="s">
        <v>1455</v>
      </c>
      <c r="K198" s="28" t="s">
        <v>1434</v>
      </c>
      <c r="L198" s="28" t="s">
        <v>1413</v>
      </c>
      <c r="M198" s="28" t="s">
        <v>1392</v>
      </c>
      <c r="N198" s="2" t="str">
        <f t="shared" si="1"/>
        <v>A. A. A grenade hit a convoy of British soldiers</v>
      </c>
    </row>
    <row r="199" spans="1:14" x14ac:dyDescent="0.25">
      <c r="A199" s="27"/>
      <c r="B199" s="27"/>
      <c r="C199" s="27"/>
      <c r="D199" s="27"/>
      <c r="E199" s="28">
        <v>38</v>
      </c>
      <c r="F199" s="29" t="s">
        <v>1474</v>
      </c>
      <c r="G199" s="28" t="s">
        <v>1286</v>
      </c>
      <c r="H199" s="28">
        <v>1</v>
      </c>
      <c r="I199" s="28">
        <v>12</v>
      </c>
      <c r="J199" s="28" t="s">
        <v>1456</v>
      </c>
      <c r="K199" s="28" t="s">
        <v>1435</v>
      </c>
      <c r="L199" s="28" t="s">
        <v>1414</v>
      </c>
      <c r="M199" s="28" t="s">
        <v>1393</v>
      </c>
      <c r="N199" s="2" t="str">
        <f t="shared" si="1"/>
        <v>A. A. Prevent poor people from entering bars</v>
      </c>
    </row>
    <row r="200" spans="1:14" x14ac:dyDescent="0.25">
      <c r="A200" s="27"/>
      <c r="B200" s="27"/>
      <c r="C200" s="27"/>
      <c r="D200" s="27"/>
      <c r="E200" s="28">
        <v>39</v>
      </c>
      <c r="F200" s="29" t="s">
        <v>1476</v>
      </c>
      <c r="G200" s="28" t="s">
        <v>1287</v>
      </c>
      <c r="H200" s="28">
        <v>1</v>
      </c>
      <c r="I200" s="28">
        <v>12</v>
      </c>
      <c r="J200" s="28" t="s">
        <v>1457</v>
      </c>
      <c r="K200" s="28" t="s">
        <v>1436</v>
      </c>
      <c r="L200" s="28" t="s">
        <v>1415</v>
      </c>
      <c r="M200" s="28" t="s">
        <v>1394</v>
      </c>
      <c r="N200" s="2" t="str">
        <f t="shared" si="1"/>
        <v>A. A. They will soon disappear</v>
      </c>
    </row>
    <row r="201" spans="1:14" x14ac:dyDescent="0.25">
      <c r="A201" s="27"/>
      <c r="B201" s="27"/>
      <c r="C201" s="27"/>
      <c r="D201" s="27"/>
      <c r="E201" s="28">
        <v>40</v>
      </c>
      <c r="F201" s="29" t="s">
        <v>1475</v>
      </c>
      <c r="G201" s="28" t="s">
        <v>1288</v>
      </c>
      <c r="H201" s="28">
        <v>1</v>
      </c>
      <c r="I201" s="28">
        <v>12</v>
      </c>
      <c r="J201" s="28" t="s">
        <v>1458</v>
      </c>
      <c r="K201" s="28" t="s">
        <v>1437</v>
      </c>
      <c r="L201" s="28" t="s">
        <v>1416</v>
      </c>
      <c r="M201" s="28" t="s">
        <v>1395</v>
      </c>
      <c r="N201" s="2" t="str">
        <f t="shared" si="1"/>
        <v>A. A. The CIA uncovered a secret network of prisons</v>
      </c>
    </row>
    <row r="600" spans="1:9" x14ac:dyDescent="0.25">
      <c r="A600" s="35"/>
      <c r="B600" s="35"/>
      <c r="C600" s="36">
        <v>101</v>
      </c>
      <c r="D600" s="36" t="s">
        <v>1873</v>
      </c>
      <c r="E600" s="36">
        <v>1</v>
      </c>
      <c r="F600" s="37" t="s">
        <v>835</v>
      </c>
      <c r="G600" s="36" t="s">
        <v>1902</v>
      </c>
      <c r="H600" s="36">
        <v>0</v>
      </c>
      <c r="I600" s="36">
        <v>18</v>
      </c>
    </row>
    <row r="601" spans="1:9" x14ac:dyDescent="0.25">
      <c r="A601" s="35"/>
      <c r="B601" s="35"/>
      <c r="C601" s="36"/>
      <c r="D601" s="36" t="s">
        <v>2030</v>
      </c>
      <c r="E601" s="36">
        <v>2</v>
      </c>
      <c r="F601" s="37" t="s">
        <v>836</v>
      </c>
      <c r="G601" s="36" t="s">
        <v>1903</v>
      </c>
      <c r="H601" s="36">
        <v>0</v>
      </c>
      <c r="I601" s="36">
        <v>18</v>
      </c>
    </row>
    <row r="602" spans="1:9" x14ac:dyDescent="0.25">
      <c r="A602" s="35"/>
      <c r="B602" s="35"/>
      <c r="C602" s="36"/>
      <c r="D602" s="36" t="s">
        <v>16</v>
      </c>
      <c r="E602" s="36">
        <v>3</v>
      </c>
      <c r="F602" s="37" t="s">
        <v>837</v>
      </c>
      <c r="G602" s="36" t="s">
        <v>1904</v>
      </c>
      <c r="H602" s="36">
        <v>0</v>
      </c>
      <c r="I602" s="36">
        <v>18</v>
      </c>
    </row>
    <row r="603" spans="1:9" x14ac:dyDescent="0.25">
      <c r="A603" s="35"/>
      <c r="B603" s="35"/>
      <c r="C603" s="36"/>
      <c r="D603" s="36"/>
      <c r="E603" s="36">
        <v>4</v>
      </c>
      <c r="F603" s="37" t="s">
        <v>838</v>
      </c>
      <c r="G603" s="36" t="s">
        <v>1905</v>
      </c>
      <c r="H603" s="36">
        <v>0</v>
      </c>
      <c r="I603" s="36">
        <v>18</v>
      </c>
    </row>
    <row r="604" spans="1:9" x14ac:dyDescent="0.25">
      <c r="A604" s="35"/>
      <c r="B604" s="35"/>
      <c r="C604" s="36"/>
      <c r="D604" s="36"/>
      <c r="E604" s="36">
        <v>5</v>
      </c>
      <c r="F604" s="37" t="s">
        <v>839</v>
      </c>
      <c r="G604" s="36" t="s">
        <v>1906</v>
      </c>
      <c r="H604" s="36">
        <v>0</v>
      </c>
      <c r="I604" s="36">
        <v>18</v>
      </c>
    </row>
    <row r="605" spans="1:9" x14ac:dyDescent="0.25">
      <c r="A605" s="35"/>
      <c r="B605" s="35"/>
      <c r="C605" s="36"/>
      <c r="D605" s="36"/>
      <c r="E605" s="36">
        <v>6</v>
      </c>
      <c r="F605" s="37" t="s">
        <v>840</v>
      </c>
      <c r="G605" s="36" t="s">
        <v>1907</v>
      </c>
      <c r="H605" s="36">
        <v>0</v>
      </c>
      <c r="I605" s="36">
        <v>18</v>
      </c>
    </row>
    <row r="606" spans="1:9" x14ac:dyDescent="0.25">
      <c r="A606" s="35"/>
      <c r="B606" s="35"/>
      <c r="C606" s="36"/>
      <c r="D606" s="36"/>
      <c r="E606" s="36">
        <v>7</v>
      </c>
      <c r="F606" s="37" t="s">
        <v>62</v>
      </c>
      <c r="G606" s="36" t="s">
        <v>1908</v>
      </c>
      <c r="H606" s="36">
        <v>0</v>
      </c>
      <c r="I606" s="36">
        <v>18</v>
      </c>
    </row>
    <row r="607" spans="1:9" x14ac:dyDescent="0.25">
      <c r="A607" s="35"/>
      <c r="B607" s="35"/>
      <c r="C607" s="36"/>
      <c r="D607" s="36"/>
      <c r="E607" s="36">
        <v>8</v>
      </c>
      <c r="F607" s="37" t="s">
        <v>63</v>
      </c>
      <c r="G607" s="36" t="s">
        <v>1909</v>
      </c>
      <c r="H607" s="36">
        <v>0</v>
      </c>
      <c r="I607" s="36">
        <v>18</v>
      </c>
    </row>
    <row r="608" spans="1:9" x14ac:dyDescent="0.25">
      <c r="A608" s="35"/>
      <c r="B608" s="35"/>
      <c r="C608" s="36"/>
      <c r="D608" s="36"/>
      <c r="E608" s="36">
        <v>9</v>
      </c>
      <c r="F608" s="37" t="s">
        <v>64</v>
      </c>
      <c r="G608" s="36" t="s">
        <v>1910</v>
      </c>
      <c r="H608" s="36">
        <v>0</v>
      </c>
      <c r="I608" s="36">
        <v>18</v>
      </c>
    </row>
    <row r="609" spans="1:9" x14ac:dyDescent="0.25">
      <c r="A609" s="35"/>
      <c r="B609" s="35"/>
      <c r="C609" s="36"/>
      <c r="D609" s="36"/>
      <c r="E609" s="36">
        <v>10</v>
      </c>
      <c r="F609" s="37" t="s">
        <v>65</v>
      </c>
      <c r="G609" s="36" t="s">
        <v>1911</v>
      </c>
      <c r="H609" s="36">
        <v>0</v>
      </c>
      <c r="I609" s="36">
        <v>18</v>
      </c>
    </row>
    <row r="610" spans="1:9" x14ac:dyDescent="0.25">
      <c r="A610" s="35"/>
      <c r="B610" s="35"/>
      <c r="C610" s="36"/>
      <c r="D610" s="36"/>
      <c r="E610" s="36">
        <v>11</v>
      </c>
      <c r="F610" s="37" t="s">
        <v>66</v>
      </c>
      <c r="G610" s="36" t="s">
        <v>1912</v>
      </c>
      <c r="H610" s="36">
        <v>0</v>
      </c>
      <c r="I610" s="36">
        <v>18</v>
      </c>
    </row>
    <row r="611" spans="1:9" x14ac:dyDescent="0.25">
      <c r="A611" s="35"/>
      <c r="B611" s="35"/>
      <c r="C611" s="36"/>
      <c r="D611" s="36"/>
      <c r="E611" s="36">
        <v>12</v>
      </c>
      <c r="F611" s="37" t="s">
        <v>67</v>
      </c>
      <c r="G611" s="36" t="s">
        <v>1913</v>
      </c>
      <c r="H611" s="36">
        <v>0</v>
      </c>
      <c r="I611" s="36">
        <v>18</v>
      </c>
    </row>
    <row r="612" spans="1:9" x14ac:dyDescent="0.25">
      <c r="A612" s="35"/>
      <c r="B612" s="35"/>
      <c r="C612" s="36"/>
      <c r="D612" s="36"/>
      <c r="E612" s="36">
        <v>13</v>
      </c>
      <c r="F612" s="37" t="s">
        <v>1874</v>
      </c>
      <c r="G612" s="36" t="s">
        <v>1914</v>
      </c>
      <c r="H612" s="36">
        <v>0</v>
      </c>
      <c r="I612" s="36">
        <v>18</v>
      </c>
    </row>
    <row r="613" spans="1:9" x14ac:dyDescent="0.25">
      <c r="A613" s="35"/>
      <c r="B613" s="35"/>
      <c r="C613" s="36"/>
      <c r="D613" s="36"/>
      <c r="E613" s="36">
        <v>14</v>
      </c>
      <c r="F613" s="37" t="s">
        <v>1875</v>
      </c>
      <c r="G613" s="36" t="s">
        <v>1915</v>
      </c>
      <c r="H613" s="36">
        <v>0</v>
      </c>
      <c r="I613" s="36">
        <v>18</v>
      </c>
    </row>
    <row r="614" spans="1:9" x14ac:dyDescent="0.25">
      <c r="A614" s="35"/>
      <c r="B614" s="35"/>
      <c r="C614" s="36"/>
      <c r="D614" s="36"/>
      <c r="E614" s="36">
        <v>15</v>
      </c>
      <c r="F614" s="37" t="s">
        <v>1876</v>
      </c>
      <c r="G614" s="36" t="s">
        <v>1916</v>
      </c>
      <c r="H614" s="36">
        <v>0</v>
      </c>
      <c r="I614" s="36">
        <v>18</v>
      </c>
    </row>
    <row r="615" spans="1:9" x14ac:dyDescent="0.25">
      <c r="A615" s="35"/>
      <c r="B615" s="35"/>
      <c r="C615" s="36"/>
      <c r="D615" s="36"/>
      <c r="E615" s="36">
        <v>16</v>
      </c>
      <c r="F615" s="37" t="s">
        <v>1877</v>
      </c>
      <c r="G615" s="36" t="s">
        <v>1917</v>
      </c>
      <c r="H615" s="36">
        <v>0</v>
      </c>
      <c r="I615" s="36">
        <v>18</v>
      </c>
    </row>
    <row r="616" spans="1:9" x14ac:dyDescent="0.25">
      <c r="A616" s="35"/>
      <c r="B616" s="35"/>
      <c r="C616" s="36"/>
      <c r="D616" s="36"/>
      <c r="E616" s="36">
        <v>17</v>
      </c>
      <c r="F616" s="37" t="s">
        <v>1878</v>
      </c>
      <c r="G616" s="36" t="s">
        <v>1918</v>
      </c>
      <c r="H616" s="36">
        <v>0</v>
      </c>
      <c r="I616" s="36">
        <v>18</v>
      </c>
    </row>
    <row r="617" spans="1:9" x14ac:dyDescent="0.25">
      <c r="A617" s="35"/>
      <c r="B617" s="35"/>
      <c r="C617" s="36"/>
      <c r="D617" s="36"/>
      <c r="E617" s="36">
        <v>18</v>
      </c>
      <c r="F617" s="37" t="s">
        <v>1879</v>
      </c>
      <c r="G617" s="36" t="s">
        <v>1919</v>
      </c>
      <c r="H617" s="36">
        <v>0</v>
      </c>
      <c r="I617" s="36">
        <v>18</v>
      </c>
    </row>
    <row r="618" spans="1:9" x14ac:dyDescent="0.25">
      <c r="A618" s="35"/>
      <c r="B618" s="35"/>
      <c r="C618" s="36"/>
      <c r="D618" s="36"/>
      <c r="E618" s="36">
        <v>19</v>
      </c>
      <c r="F618" s="37" t="s">
        <v>1880</v>
      </c>
      <c r="G618" s="36" t="s">
        <v>1920</v>
      </c>
      <c r="H618" s="36">
        <v>0</v>
      </c>
      <c r="I618" s="36">
        <v>20</v>
      </c>
    </row>
    <row r="619" spans="1:9" x14ac:dyDescent="0.25">
      <c r="A619" s="35"/>
      <c r="B619" s="35"/>
      <c r="C619" s="36"/>
      <c r="D619" s="36"/>
      <c r="E619" s="36">
        <v>20</v>
      </c>
      <c r="F619" s="37" t="s">
        <v>1881</v>
      </c>
      <c r="G619" s="36" t="s">
        <v>1921</v>
      </c>
      <c r="H619" s="36">
        <v>0</v>
      </c>
      <c r="I619" s="36">
        <v>20</v>
      </c>
    </row>
    <row r="620" spans="1:9" x14ac:dyDescent="0.25">
      <c r="A620" s="35"/>
      <c r="B620" s="35"/>
      <c r="C620" s="36"/>
      <c r="D620" s="36"/>
      <c r="E620" s="36">
        <v>21</v>
      </c>
      <c r="F620" s="37" t="s">
        <v>1882</v>
      </c>
      <c r="G620" s="36" t="s">
        <v>1922</v>
      </c>
      <c r="H620" s="36">
        <v>0</v>
      </c>
      <c r="I620" s="36">
        <v>20</v>
      </c>
    </row>
    <row r="621" spans="1:9" x14ac:dyDescent="0.25">
      <c r="A621" s="35"/>
      <c r="B621" s="35"/>
      <c r="C621" s="36"/>
      <c r="D621" s="36"/>
      <c r="E621" s="36">
        <v>22</v>
      </c>
      <c r="F621" s="37" t="s">
        <v>1883</v>
      </c>
      <c r="G621" s="36" t="s">
        <v>1923</v>
      </c>
      <c r="H621" s="36">
        <v>0</v>
      </c>
      <c r="I621" s="36">
        <v>20</v>
      </c>
    </row>
    <row r="622" spans="1:9" x14ac:dyDescent="0.25">
      <c r="A622" s="35"/>
      <c r="B622" s="35"/>
      <c r="C622" s="36"/>
      <c r="D622" s="36"/>
      <c r="E622" s="36">
        <v>23</v>
      </c>
      <c r="F622" s="37" t="s">
        <v>1884</v>
      </c>
      <c r="G622" s="36" t="s">
        <v>1924</v>
      </c>
      <c r="H622" s="36">
        <v>0</v>
      </c>
      <c r="I622" s="36">
        <v>20</v>
      </c>
    </row>
    <row r="623" spans="1:9" x14ac:dyDescent="0.25">
      <c r="A623" s="35"/>
      <c r="B623" s="35"/>
      <c r="C623" s="30"/>
      <c r="D623" s="30"/>
      <c r="E623" s="36">
        <v>24</v>
      </c>
      <c r="F623" s="37" t="s">
        <v>1885</v>
      </c>
      <c r="G623" s="36" t="s">
        <v>1941</v>
      </c>
      <c r="H623" s="36">
        <v>0</v>
      </c>
      <c r="I623" s="36">
        <v>20</v>
      </c>
    </row>
    <row r="624" spans="1:9" x14ac:dyDescent="0.25">
      <c r="A624" s="35"/>
      <c r="B624" s="35"/>
      <c r="C624" s="30"/>
      <c r="D624" s="30"/>
      <c r="E624" s="36">
        <v>25</v>
      </c>
      <c r="F624" s="37" t="s">
        <v>1886</v>
      </c>
      <c r="G624" s="36" t="s">
        <v>1925</v>
      </c>
      <c r="H624" s="36">
        <v>0</v>
      </c>
      <c r="I624" s="36">
        <v>20</v>
      </c>
    </row>
    <row r="625" spans="1:9" x14ac:dyDescent="0.25">
      <c r="A625" s="35"/>
      <c r="B625" s="35"/>
      <c r="C625" s="30"/>
      <c r="D625" s="30"/>
      <c r="E625" s="36">
        <v>26</v>
      </c>
      <c r="F625" s="37" t="s">
        <v>1887</v>
      </c>
      <c r="G625" s="36" t="s">
        <v>1926</v>
      </c>
      <c r="H625" s="36">
        <v>0</v>
      </c>
      <c r="I625" s="36">
        <v>20</v>
      </c>
    </row>
    <row r="626" spans="1:9" x14ac:dyDescent="0.25">
      <c r="A626" s="35"/>
      <c r="B626" s="35"/>
      <c r="C626" s="30"/>
      <c r="D626" s="30"/>
      <c r="E626" s="36">
        <v>27</v>
      </c>
      <c r="F626" s="37" t="s">
        <v>1888</v>
      </c>
      <c r="G626" s="36" t="s">
        <v>1927</v>
      </c>
      <c r="H626" s="36">
        <v>0</v>
      </c>
      <c r="I626" s="36">
        <v>20</v>
      </c>
    </row>
    <row r="627" spans="1:9" x14ac:dyDescent="0.25">
      <c r="A627" s="35"/>
      <c r="B627" s="35"/>
      <c r="C627" s="30"/>
      <c r="D627" s="30"/>
      <c r="E627" s="36">
        <v>28</v>
      </c>
      <c r="F627" s="37" t="s">
        <v>1889</v>
      </c>
      <c r="G627" s="36" t="s">
        <v>1928</v>
      </c>
      <c r="H627" s="36">
        <v>0</v>
      </c>
      <c r="I627" s="36">
        <v>20</v>
      </c>
    </row>
    <row r="628" spans="1:9" x14ac:dyDescent="0.25">
      <c r="A628" s="35"/>
      <c r="B628" s="35"/>
      <c r="C628" s="30"/>
      <c r="D628" s="30"/>
      <c r="E628" s="36">
        <v>29</v>
      </c>
      <c r="F628" s="37" t="s">
        <v>1890</v>
      </c>
      <c r="G628" s="36" t="s">
        <v>1929</v>
      </c>
      <c r="H628" s="36">
        <v>0</v>
      </c>
      <c r="I628" s="36">
        <v>20</v>
      </c>
    </row>
    <row r="629" spans="1:9" x14ac:dyDescent="0.25">
      <c r="A629" s="35"/>
      <c r="B629" s="35"/>
      <c r="C629" s="30"/>
      <c r="D629" s="30"/>
      <c r="E629" s="36">
        <v>30</v>
      </c>
      <c r="F629" s="37" t="s">
        <v>1891</v>
      </c>
      <c r="G629" s="36" t="s">
        <v>1930</v>
      </c>
      <c r="H629" s="36">
        <v>0</v>
      </c>
      <c r="I629" s="36">
        <v>20</v>
      </c>
    </row>
    <row r="630" spans="1:9" x14ac:dyDescent="0.25">
      <c r="A630" s="35"/>
      <c r="B630" s="35"/>
      <c r="C630" s="30"/>
      <c r="D630" s="30"/>
      <c r="E630" s="36">
        <v>31</v>
      </c>
      <c r="F630" s="37" t="s">
        <v>1892</v>
      </c>
      <c r="G630" s="36" t="s">
        <v>1931</v>
      </c>
      <c r="H630" s="36">
        <v>0</v>
      </c>
      <c r="I630" s="36">
        <v>20</v>
      </c>
    </row>
    <row r="631" spans="1:9" x14ac:dyDescent="0.25">
      <c r="A631" s="35"/>
      <c r="B631" s="35"/>
      <c r="C631" s="30"/>
      <c r="D631" s="30"/>
      <c r="E631" s="36">
        <v>32</v>
      </c>
      <c r="F631" s="37" t="s">
        <v>1893</v>
      </c>
      <c r="G631" s="36" t="s">
        <v>1932</v>
      </c>
      <c r="H631" s="36">
        <v>0</v>
      </c>
      <c r="I631" s="36">
        <v>20</v>
      </c>
    </row>
    <row r="632" spans="1:9" x14ac:dyDescent="0.25">
      <c r="A632" s="35"/>
      <c r="B632" s="35"/>
      <c r="C632" s="30"/>
      <c r="D632" s="30"/>
      <c r="E632" s="36">
        <v>33</v>
      </c>
      <c r="F632" s="37" t="s">
        <v>1894</v>
      </c>
      <c r="G632" s="36" t="s">
        <v>1933</v>
      </c>
      <c r="H632" s="36">
        <v>0</v>
      </c>
      <c r="I632" s="36">
        <v>20</v>
      </c>
    </row>
    <row r="633" spans="1:9" x14ac:dyDescent="0.25">
      <c r="A633" s="35"/>
      <c r="B633" s="35"/>
      <c r="C633" s="30"/>
      <c r="D633" s="30"/>
      <c r="E633" s="36">
        <v>34</v>
      </c>
      <c r="F633" s="37" t="s">
        <v>1895</v>
      </c>
      <c r="G633" s="36" t="s">
        <v>1934</v>
      </c>
      <c r="H633" s="36">
        <v>0</v>
      </c>
      <c r="I633" s="36">
        <v>20</v>
      </c>
    </row>
    <row r="634" spans="1:9" x14ac:dyDescent="0.25">
      <c r="A634" s="35"/>
      <c r="B634" s="35"/>
      <c r="C634" s="30"/>
      <c r="D634" s="30"/>
      <c r="E634" s="36">
        <v>35</v>
      </c>
      <c r="F634" s="37" t="s">
        <v>1896</v>
      </c>
      <c r="G634" s="36" t="s">
        <v>1935</v>
      </c>
      <c r="H634" s="36">
        <v>0</v>
      </c>
      <c r="I634" s="36">
        <v>20</v>
      </c>
    </row>
    <row r="635" spans="1:9" x14ac:dyDescent="0.25">
      <c r="A635" s="35"/>
      <c r="B635" s="35"/>
      <c r="C635" s="30"/>
      <c r="D635" s="30"/>
      <c r="E635" s="36">
        <v>36</v>
      </c>
      <c r="F635" s="37" t="s">
        <v>1897</v>
      </c>
      <c r="G635" s="36" t="s">
        <v>1936</v>
      </c>
      <c r="H635" s="36">
        <v>0</v>
      </c>
      <c r="I635" s="36">
        <v>20</v>
      </c>
    </row>
    <row r="636" spans="1:9" x14ac:dyDescent="0.25">
      <c r="A636" s="35"/>
      <c r="B636" s="35"/>
      <c r="C636" s="30"/>
      <c r="D636" s="30"/>
      <c r="E636" s="36">
        <v>37</v>
      </c>
      <c r="F636" s="37" t="s">
        <v>1898</v>
      </c>
      <c r="G636" s="36" t="s">
        <v>1937</v>
      </c>
      <c r="H636" s="36">
        <v>0</v>
      </c>
      <c r="I636" s="36">
        <v>20</v>
      </c>
    </row>
    <row r="637" spans="1:9" x14ac:dyDescent="0.25">
      <c r="A637" s="35"/>
      <c r="B637" s="35"/>
      <c r="C637" s="30"/>
      <c r="D637" s="30"/>
      <c r="E637" s="36">
        <v>38</v>
      </c>
      <c r="F637" s="37" t="s">
        <v>1899</v>
      </c>
      <c r="G637" s="36" t="s">
        <v>1938</v>
      </c>
      <c r="H637" s="36">
        <v>0</v>
      </c>
      <c r="I637" s="36">
        <v>20</v>
      </c>
    </row>
    <row r="638" spans="1:9" x14ac:dyDescent="0.25">
      <c r="A638" s="35"/>
      <c r="B638" s="35"/>
      <c r="C638" s="30"/>
      <c r="D638" s="30"/>
      <c r="E638" s="36">
        <v>39</v>
      </c>
      <c r="F638" s="37" t="s">
        <v>1900</v>
      </c>
      <c r="G638" s="36" t="s">
        <v>1939</v>
      </c>
      <c r="H638" s="36">
        <v>0</v>
      </c>
      <c r="I638" s="36">
        <v>20</v>
      </c>
    </row>
    <row r="639" spans="1:9" x14ac:dyDescent="0.25">
      <c r="A639" s="35"/>
      <c r="B639" s="35"/>
      <c r="C639" s="30"/>
      <c r="D639" s="30"/>
      <c r="E639" s="36">
        <v>40</v>
      </c>
      <c r="F639" s="37" t="s">
        <v>1901</v>
      </c>
      <c r="G639" s="36" t="s">
        <v>1940</v>
      </c>
      <c r="H639" s="36">
        <v>0</v>
      </c>
      <c r="I639" s="36">
        <v>20</v>
      </c>
    </row>
    <row r="640" spans="1:9" x14ac:dyDescent="0.25">
      <c r="A640" s="38"/>
      <c r="B640" s="38"/>
      <c r="C640" s="38">
        <v>102</v>
      </c>
      <c r="D640" s="39" t="s">
        <v>1942</v>
      </c>
      <c r="E640" s="39">
        <v>1</v>
      </c>
      <c r="F640" s="40" t="s">
        <v>835</v>
      </c>
      <c r="G640" s="39" t="s">
        <v>1943</v>
      </c>
      <c r="H640" s="39">
        <v>0</v>
      </c>
      <c r="I640" s="39">
        <v>18</v>
      </c>
    </row>
    <row r="641" spans="1:9" x14ac:dyDescent="0.25">
      <c r="A641" s="38"/>
      <c r="B641" s="38"/>
      <c r="C641" s="38"/>
      <c r="D641" s="39" t="s">
        <v>2029</v>
      </c>
      <c r="E641" s="39">
        <v>2</v>
      </c>
      <c r="F641" s="40" t="s">
        <v>836</v>
      </c>
      <c r="G641" s="39" t="s">
        <v>1944</v>
      </c>
      <c r="H641" s="39">
        <v>0</v>
      </c>
      <c r="I641" s="39">
        <v>18</v>
      </c>
    </row>
    <row r="642" spans="1:9" x14ac:dyDescent="0.25">
      <c r="A642" s="38"/>
      <c r="B642" s="38"/>
      <c r="C642" s="38"/>
      <c r="D642" s="39" t="s">
        <v>16</v>
      </c>
      <c r="E642" s="39">
        <v>3</v>
      </c>
      <c r="F642" s="40" t="s">
        <v>837</v>
      </c>
      <c r="G642" s="39" t="s">
        <v>1945</v>
      </c>
      <c r="H642" s="39">
        <v>0</v>
      </c>
      <c r="I642" s="39">
        <v>18</v>
      </c>
    </row>
    <row r="643" spans="1:9" x14ac:dyDescent="0.25">
      <c r="A643" s="38"/>
      <c r="B643" s="38"/>
      <c r="C643" s="38"/>
      <c r="D643" s="39"/>
      <c r="E643" s="39">
        <v>4</v>
      </c>
      <c r="F643" s="40" t="s">
        <v>838</v>
      </c>
      <c r="G643" s="39" t="s">
        <v>1946</v>
      </c>
      <c r="H643" s="39">
        <v>0</v>
      </c>
      <c r="I643" s="39">
        <v>18</v>
      </c>
    </row>
    <row r="644" spans="1:9" x14ac:dyDescent="0.25">
      <c r="A644" s="38"/>
      <c r="B644" s="38"/>
      <c r="C644" s="38"/>
      <c r="D644" s="39"/>
      <c r="E644" s="39">
        <v>5</v>
      </c>
      <c r="F644" s="40" t="s">
        <v>839</v>
      </c>
      <c r="G644" s="39" t="s">
        <v>1947</v>
      </c>
      <c r="H644" s="39">
        <v>0</v>
      </c>
      <c r="I644" s="39">
        <v>18</v>
      </c>
    </row>
    <row r="645" spans="1:9" x14ac:dyDescent="0.25">
      <c r="A645" s="38"/>
      <c r="B645" s="38"/>
      <c r="C645" s="38"/>
      <c r="D645" s="39"/>
      <c r="E645" s="39">
        <v>6</v>
      </c>
      <c r="F645" s="40" t="s">
        <v>840</v>
      </c>
      <c r="G645" s="39" t="s">
        <v>1948</v>
      </c>
      <c r="H645" s="39">
        <v>0</v>
      </c>
      <c r="I645" s="39">
        <v>18</v>
      </c>
    </row>
    <row r="646" spans="1:9" x14ac:dyDescent="0.25">
      <c r="A646" s="38"/>
      <c r="B646" s="38"/>
      <c r="C646" s="38"/>
      <c r="D646" s="39"/>
      <c r="E646" s="39">
        <v>7</v>
      </c>
      <c r="F646" s="40" t="s">
        <v>62</v>
      </c>
      <c r="G646" s="39" t="s">
        <v>1949</v>
      </c>
      <c r="H646" s="39">
        <v>0</v>
      </c>
      <c r="I646" s="39">
        <v>18</v>
      </c>
    </row>
    <row r="647" spans="1:9" x14ac:dyDescent="0.25">
      <c r="A647" s="38"/>
      <c r="B647" s="38"/>
      <c r="C647" s="38"/>
      <c r="D647" s="39"/>
      <c r="E647" s="39">
        <v>8</v>
      </c>
      <c r="F647" s="40" t="s">
        <v>63</v>
      </c>
      <c r="G647" s="39" t="s">
        <v>1950</v>
      </c>
      <c r="H647" s="39">
        <v>0</v>
      </c>
      <c r="I647" s="39">
        <v>18</v>
      </c>
    </row>
    <row r="648" spans="1:9" x14ac:dyDescent="0.25">
      <c r="A648" s="38"/>
      <c r="B648" s="38"/>
      <c r="C648" s="38"/>
      <c r="D648" s="39"/>
      <c r="E648" s="39">
        <v>9</v>
      </c>
      <c r="F648" s="40" t="s">
        <v>64</v>
      </c>
      <c r="G648" s="39" t="s">
        <v>1951</v>
      </c>
      <c r="H648" s="39">
        <v>0</v>
      </c>
      <c r="I648" s="39">
        <v>18</v>
      </c>
    </row>
    <row r="649" spans="1:9" x14ac:dyDescent="0.25">
      <c r="A649" s="38"/>
      <c r="B649" s="38"/>
      <c r="C649" s="38"/>
      <c r="D649" s="39"/>
      <c r="E649" s="39">
        <v>10</v>
      </c>
      <c r="F649" s="40" t="s">
        <v>65</v>
      </c>
      <c r="G649" s="39" t="s">
        <v>1952</v>
      </c>
      <c r="H649" s="39">
        <v>0</v>
      </c>
      <c r="I649" s="39">
        <v>18</v>
      </c>
    </row>
    <row r="650" spans="1:9" x14ac:dyDescent="0.25">
      <c r="A650" s="38"/>
      <c r="B650" s="38"/>
      <c r="C650" s="38"/>
      <c r="D650" s="39"/>
      <c r="E650" s="39">
        <v>11</v>
      </c>
      <c r="F650" s="40" t="s">
        <v>66</v>
      </c>
      <c r="G650" s="39" t="s">
        <v>1953</v>
      </c>
      <c r="H650" s="39">
        <v>0</v>
      </c>
      <c r="I650" s="39">
        <v>18</v>
      </c>
    </row>
    <row r="651" spans="1:9" x14ac:dyDescent="0.25">
      <c r="A651" s="38"/>
      <c r="B651" s="38"/>
      <c r="C651" s="38"/>
      <c r="D651" s="39"/>
      <c r="E651" s="39">
        <v>12</v>
      </c>
      <c r="F651" s="40" t="s">
        <v>67</v>
      </c>
      <c r="G651" s="39" t="s">
        <v>1954</v>
      </c>
      <c r="H651" s="39">
        <v>0</v>
      </c>
      <c r="I651" s="39">
        <v>18</v>
      </c>
    </row>
    <row r="652" spans="1:9" x14ac:dyDescent="0.25">
      <c r="A652" s="38"/>
      <c r="B652" s="38"/>
      <c r="C652" s="38"/>
      <c r="D652" s="39"/>
      <c r="E652" s="39">
        <v>13</v>
      </c>
      <c r="F652" s="40" t="s">
        <v>1874</v>
      </c>
      <c r="G652" s="39" t="s">
        <v>1955</v>
      </c>
      <c r="H652" s="39">
        <v>0</v>
      </c>
      <c r="I652" s="39">
        <v>18</v>
      </c>
    </row>
    <row r="653" spans="1:9" x14ac:dyDescent="0.25">
      <c r="A653" s="38"/>
      <c r="B653" s="38"/>
      <c r="C653" s="38"/>
      <c r="D653" s="39"/>
      <c r="E653" s="39">
        <v>14</v>
      </c>
      <c r="F653" s="40" t="s">
        <v>1875</v>
      </c>
      <c r="G653" s="39" t="s">
        <v>1956</v>
      </c>
      <c r="H653" s="39">
        <v>0</v>
      </c>
      <c r="I653" s="39">
        <v>18</v>
      </c>
    </row>
    <row r="654" spans="1:9" x14ac:dyDescent="0.25">
      <c r="A654" s="38"/>
      <c r="B654" s="38"/>
      <c r="C654" s="38"/>
      <c r="D654" s="39"/>
      <c r="E654" s="39">
        <v>15</v>
      </c>
      <c r="F654" s="40" t="s">
        <v>1876</v>
      </c>
      <c r="G654" s="39" t="s">
        <v>1957</v>
      </c>
      <c r="H654" s="39">
        <v>0</v>
      </c>
      <c r="I654" s="39">
        <v>18</v>
      </c>
    </row>
    <row r="655" spans="1:9" x14ac:dyDescent="0.25">
      <c r="A655" s="38"/>
      <c r="B655" s="38"/>
      <c r="C655" s="38"/>
      <c r="D655" s="39"/>
      <c r="E655" s="39">
        <v>16</v>
      </c>
      <c r="F655" s="40" t="s">
        <v>1877</v>
      </c>
      <c r="G655" s="39" t="s">
        <v>1958</v>
      </c>
      <c r="H655" s="39">
        <v>0</v>
      </c>
      <c r="I655" s="39">
        <v>18</v>
      </c>
    </row>
    <row r="656" spans="1:9" x14ac:dyDescent="0.25">
      <c r="A656" s="38"/>
      <c r="B656" s="38"/>
      <c r="C656" s="38"/>
      <c r="D656" s="39"/>
      <c r="E656" s="39">
        <v>17</v>
      </c>
      <c r="F656" s="40" t="s">
        <v>1878</v>
      </c>
      <c r="G656" s="39" t="s">
        <v>1959</v>
      </c>
      <c r="H656" s="39">
        <v>0</v>
      </c>
      <c r="I656" s="39">
        <v>18</v>
      </c>
    </row>
    <row r="657" spans="1:9" x14ac:dyDescent="0.25">
      <c r="A657" s="38"/>
      <c r="B657" s="38"/>
      <c r="C657" s="38"/>
      <c r="D657" s="39"/>
      <c r="E657" s="39">
        <v>18</v>
      </c>
      <c r="F657" s="40" t="s">
        <v>1879</v>
      </c>
      <c r="G657" s="39" t="s">
        <v>1960</v>
      </c>
      <c r="H657" s="39">
        <v>0</v>
      </c>
      <c r="I657" s="39">
        <v>18</v>
      </c>
    </row>
    <row r="658" spans="1:9" x14ac:dyDescent="0.25">
      <c r="A658" s="38"/>
      <c r="B658" s="38"/>
      <c r="C658" s="38"/>
      <c r="D658" s="39"/>
      <c r="E658" s="39">
        <v>19</v>
      </c>
      <c r="F658" s="40" t="s">
        <v>1880</v>
      </c>
      <c r="G658" s="39" t="s">
        <v>1961</v>
      </c>
      <c r="H658" s="39">
        <v>0</v>
      </c>
      <c r="I658" s="39">
        <v>20</v>
      </c>
    </row>
    <row r="659" spans="1:9" x14ac:dyDescent="0.25">
      <c r="A659" s="38"/>
      <c r="B659" s="38"/>
      <c r="C659" s="38"/>
      <c r="D659" s="39"/>
      <c r="E659" s="39">
        <v>20</v>
      </c>
      <c r="F659" s="40" t="s">
        <v>1881</v>
      </c>
      <c r="G659" s="39" t="s">
        <v>1962</v>
      </c>
      <c r="H659" s="39">
        <v>0</v>
      </c>
      <c r="I659" s="39">
        <v>20</v>
      </c>
    </row>
    <row r="660" spans="1:9" x14ac:dyDescent="0.25">
      <c r="A660" s="38"/>
      <c r="B660" s="38"/>
      <c r="C660" s="38"/>
      <c r="D660" s="39"/>
      <c r="E660" s="39">
        <v>21</v>
      </c>
      <c r="F660" s="40" t="s">
        <v>1882</v>
      </c>
      <c r="G660" s="39" t="s">
        <v>1963</v>
      </c>
      <c r="H660" s="39">
        <v>0</v>
      </c>
      <c r="I660" s="39">
        <v>20</v>
      </c>
    </row>
    <row r="661" spans="1:9" x14ac:dyDescent="0.25">
      <c r="A661" s="38"/>
      <c r="B661" s="38"/>
      <c r="C661" s="38"/>
      <c r="D661" s="39"/>
      <c r="E661" s="39">
        <v>22</v>
      </c>
      <c r="F661" s="40" t="s">
        <v>1883</v>
      </c>
      <c r="G661" s="39" t="s">
        <v>1964</v>
      </c>
      <c r="H661" s="39">
        <v>0</v>
      </c>
      <c r="I661" s="39">
        <v>20</v>
      </c>
    </row>
    <row r="662" spans="1:9" x14ac:dyDescent="0.25">
      <c r="A662" s="38"/>
      <c r="B662" s="38"/>
      <c r="C662" s="38"/>
      <c r="D662" s="39"/>
      <c r="E662" s="39">
        <v>23</v>
      </c>
      <c r="F662" s="40" t="s">
        <v>1884</v>
      </c>
      <c r="G662" s="39" t="s">
        <v>1965</v>
      </c>
      <c r="H662" s="39">
        <v>0</v>
      </c>
      <c r="I662" s="39">
        <v>20</v>
      </c>
    </row>
    <row r="663" spans="1:9" x14ac:dyDescent="0.25">
      <c r="A663" s="38"/>
      <c r="B663" s="38"/>
      <c r="C663" s="38"/>
      <c r="D663" s="41"/>
      <c r="E663" s="39">
        <v>24</v>
      </c>
      <c r="F663" s="40" t="s">
        <v>1885</v>
      </c>
      <c r="G663" s="39" t="s">
        <v>1966</v>
      </c>
      <c r="H663" s="39">
        <v>0</v>
      </c>
      <c r="I663" s="39">
        <v>20</v>
      </c>
    </row>
    <row r="664" spans="1:9" x14ac:dyDescent="0.25">
      <c r="A664" s="38"/>
      <c r="B664" s="38"/>
      <c r="C664" s="38"/>
      <c r="D664" s="41"/>
      <c r="E664" s="39">
        <v>25</v>
      </c>
      <c r="F664" s="40" t="s">
        <v>1886</v>
      </c>
      <c r="G664" s="39" t="s">
        <v>1967</v>
      </c>
      <c r="H664" s="39">
        <v>0</v>
      </c>
      <c r="I664" s="39">
        <v>20</v>
      </c>
    </row>
    <row r="665" spans="1:9" x14ac:dyDescent="0.25">
      <c r="A665" s="38"/>
      <c r="B665" s="38"/>
      <c r="C665" s="38"/>
      <c r="D665" s="41"/>
      <c r="E665" s="39">
        <v>26</v>
      </c>
      <c r="F665" s="40" t="s">
        <v>1887</v>
      </c>
      <c r="G665" s="39" t="s">
        <v>1968</v>
      </c>
      <c r="H665" s="39">
        <v>0</v>
      </c>
      <c r="I665" s="39">
        <v>20</v>
      </c>
    </row>
    <row r="666" spans="1:9" x14ac:dyDescent="0.25">
      <c r="A666" s="38"/>
      <c r="B666" s="38"/>
      <c r="C666" s="38"/>
      <c r="D666" s="41"/>
      <c r="E666" s="39">
        <v>27</v>
      </c>
      <c r="F666" s="40" t="s">
        <v>1888</v>
      </c>
      <c r="G666" s="39" t="s">
        <v>1969</v>
      </c>
      <c r="H666" s="39">
        <v>0</v>
      </c>
      <c r="I666" s="39">
        <v>20</v>
      </c>
    </row>
    <row r="667" spans="1:9" x14ac:dyDescent="0.25">
      <c r="A667" s="38"/>
      <c r="B667" s="38"/>
      <c r="C667" s="38"/>
      <c r="D667" s="41"/>
      <c r="E667" s="39">
        <v>28</v>
      </c>
      <c r="F667" s="40" t="s">
        <v>1889</v>
      </c>
      <c r="G667" s="39" t="s">
        <v>1970</v>
      </c>
      <c r="H667" s="39">
        <v>0</v>
      </c>
      <c r="I667" s="39">
        <v>20</v>
      </c>
    </row>
    <row r="668" spans="1:9" x14ac:dyDescent="0.25">
      <c r="A668" s="38"/>
      <c r="B668" s="38"/>
      <c r="C668" s="38"/>
      <c r="D668" s="41"/>
      <c r="E668" s="39">
        <v>29</v>
      </c>
      <c r="F668" s="40" t="s">
        <v>1890</v>
      </c>
      <c r="G668" s="39" t="s">
        <v>1971</v>
      </c>
      <c r="H668" s="39">
        <v>0</v>
      </c>
      <c r="I668" s="39">
        <v>20</v>
      </c>
    </row>
    <row r="669" spans="1:9" x14ac:dyDescent="0.25">
      <c r="A669" s="38"/>
      <c r="B669" s="38"/>
      <c r="C669" s="38"/>
      <c r="D669" s="41"/>
      <c r="E669" s="39">
        <v>30</v>
      </c>
      <c r="F669" s="40" t="s">
        <v>1891</v>
      </c>
      <c r="G669" s="39" t="s">
        <v>1972</v>
      </c>
      <c r="H669" s="39">
        <v>0</v>
      </c>
      <c r="I669" s="39">
        <v>20</v>
      </c>
    </row>
    <row r="670" spans="1:9" x14ac:dyDescent="0.25">
      <c r="A670" s="38"/>
      <c r="B670" s="38"/>
      <c r="C670" s="38"/>
      <c r="D670" s="41"/>
      <c r="E670" s="39">
        <v>31</v>
      </c>
      <c r="F670" s="40" t="s">
        <v>1892</v>
      </c>
      <c r="G670" s="39" t="s">
        <v>1973</v>
      </c>
      <c r="H670" s="39">
        <v>0</v>
      </c>
      <c r="I670" s="39">
        <v>20</v>
      </c>
    </row>
    <row r="671" spans="1:9" x14ac:dyDescent="0.25">
      <c r="A671" s="38"/>
      <c r="B671" s="38"/>
      <c r="C671" s="38"/>
      <c r="D671" s="41"/>
      <c r="E671" s="39">
        <v>32</v>
      </c>
      <c r="F671" s="40" t="s">
        <v>1893</v>
      </c>
      <c r="G671" s="39" t="s">
        <v>1974</v>
      </c>
      <c r="H671" s="39">
        <v>0</v>
      </c>
      <c r="I671" s="39">
        <v>20</v>
      </c>
    </row>
    <row r="672" spans="1:9" x14ac:dyDescent="0.25">
      <c r="A672" s="38"/>
      <c r="B672" s="38"/>
      <c r="C672" s="38"/>
      <c r="D672" s="41"/>
      <c r="E672" s="39">
        <v>33</v>
      </c>
      <c r="F672" s="40" t="s">
        <v>1894</v>
      </c>
      <c r="G672" s="39" t="s">
        <v>1975</v>
      </c>
      <c r="H672" s="39">
        <v>0</v>
      </c>
      <c r="I672" s="39">
        <v>20</v>
      </c>
    </row>
    <row r="673" spans="1:9" x14ac:dyDescent="0.25">
      <c r="A673" s="38"/>
      <c r="B673" s="38"/>
      <c r="C673" s="38"/>
      <c r="D673" s="41"/>
      <c r="E673" s="39">
        <v>34</v>
      </c>
      <c r="F673" s="40" t="s">
        <v>1895</v>
      </c>
      <c r="G673" s="39" t="s">
        <v>1980</v>
      </c>
      <c r="H673" s="39">
        <v>0</v>
      </c>
      <c r="I673" s="39">
        <v>20</v>
      </c>
    </row>
    <row r="674" spans="1:9" x14ac:dyDescent="0.25">
      <c r="A674" s="38"/>
      <c r="B674" s="38"/>
      <c r="C674" s="38"/>
      <c r="D674" s="41"/>
      <c r="E674" s="39">
        <v>35</v>
      </c>
      <c r="F674" s="40" t="s">
        <v>1896</v>
      </c>
      <c r="G674" s="39" t="s">
        <v>1976</v>
      </c>
      <c r="H674" s="39">
        <v>0</v>
      </c>
      <c r="I674" s="39">
        <v>20</v>
      </c>
    </row>
    <row r="675" spans="1:9" x14ac:dyDescent="0.25">
      <c r="A675" s="38"/>
      <c r="B675" s="38"/>
      <c r="C675" s="38"/>
      <c r="D675" s="41"/>
      <c r="E675" s="39">
        <v>36</v>
      </c>
      <c r="F675" s="40" t="s">
        <v>1897</v>
      </c>
      <c r="G675" s="39" t="s">
        <v>1977</v>
      </c>
      <c r="H675" s="39">
        <v>0</v>
      </c>
      <c r="I675" s="39">
        <v>20</v>
      </c>
    </row>
    <row r="676" spans="1:9" x14ac:dyDescent="0.25">
      <c r="A676" s="38"/>
      <c r="B676" s="38"/>
      <c r="C676" s="38"/>
      <c r="D676" s="41"/>
      <c r="E676" s="39">
        <v>37</v>
      </c>
      <c r="F676" s="40" t="s">
        <v>1898</v>
      </c>
      <c r="G676" s="39" t="s">
        <v>1981</v>
      </c>
      <c r="H676" s="39">
        <v>0</v>
      </c>
      <c r="I676" s="39">
        <v>20</v>
      </c>
    </row>
    <row r="677" spans="1:9" x14ac:dyDescent="0.25">
      <c r="A677" s="38"/>
      <c r="B677" s="38"/>
      <c r="C677" s="38"/>
      <c r="D677" s="41"/>
      <c r="E677" s="39">
        <v>38</v>
      </c>
      <c r="F677" s="40" t="s">
        <v>1899</v>
      </c>
      <c r="G677" s="39" t="s">
        <v>1982</v>
      </c>
      <c r="H677" s="39">
        <v>0</v>
      </c>
      <c r="I677" s="39">
        <v>20</v>
      </c>
    </row>
    <row r="678" spans="1:9" x14ac:dyDescent="0.25">
      <c r="A678" s="38"/>
      <c r="B678" s="38"/>
      <c r="C678" s="38"/>
      <c r="D678" s="41"/>
      <c r="E678" s="39">
        <v>39</v>
      </c>
      <c r="F678" s="40" t="s">
        <v>1900</v>
      </c>
      <c r="G678" s="39" t="s">
        <v>1978</v>
      </c>
      <c r="H678" s="39">
        <v>0</v>
      </c>
      <c r="I678" s="39">
        <v>20</v>
      </c>
    </row>
    <row r="679" spans="1:9" x14ac:dyDescent="0.25">
      <c r="A679" s="38"/>
      <c r="B679" s="38"/>
      <c r="C679" s="38"/>
      <c r="D679" s="41"/>
      <c r="E679" s="39">
        <v>40</v>
      </c>
      <c r="F679" s="40" t="s">
        <v>1901</v>
      </c>
      <c r="G679" s="39" t="s">
        <v>1979</v>
      </c>
      <c r="H679" s="39">
        <v>0</v>
      </c>
      <c r="I679" s="39">
        <v>20</v>
      </c>
    </row>
    <row r="680" spans="1:9" x14ac:dyDescent="0.25">
      <c r="C680" s="42">
        <v>103</v>
      </c>
      <c r="D680" s="43" t="s">
        <v>1987</v>
      </c>
      <c r="E680" s="43">
        <v>1</v>
      </c>
      <c r="F680" s="44" t="s">
        <v>835</v>
      </c>
      <c r="G680" s="43" t="s">
        <v>1988</v>
      </c>
      <c r="H680" s="43">
        <v>0</v>
      </c>
      <c r="I680" s="43">
        <v>18</v>
      </c>
    </row>
    <row r="681" spans="1:9" x14ac:dyDescent="0.25">
      <c r="C681" s="42"/>
      <c r="D681" s="43" t="s">
        <v>2028</v>
      </c>
      <c r="E681" s="43">
        <v>2</v>
      </c>
      <c r="F681" s="44" t="s">
        <v>836</v>
      </c>
      <c r="G681" s="43" t="s">
        <v>1989</v>
      </c>
      <c r="H681" s="43">
        <v>0</v>
      </c>
      <c r="I681" s="43">
        <v>18</v>
      </c>
    </row>
    <row r="682" spans="1:9" x14ac:dyDescent="0.25">
      <c r="C682" s="42"/>
      <c r="D682" s="43" t="s">
        <v>16</v>
      </c>
      <c r="E682" s="43">
        <v>3</v>
      </c>
      <c r="F682" s="44" t="s">
        <v>837</v>
      </c>
      <c r="G682" s="43" t="s">
        <v>1990</v>
      </c>
      <c r="H682" s="43">
        <v>0</v>
      </c>
      <c r="I682" s="43">
        <v>18</v>
      </c>
    </row>
    <row r="683" spans="1:9" x14ac:dyDescent="0.25">
      <c r="C683" s="42"/>
      <c r="D683" s="43"/>
      <c r="E683" s="43">
        <v>4</v>
      </c>
      <c r="F683" s="44" t="s">
        <v>838</v>
      </c>
      <c r="G683" s="43" t="s">
        <v>1991</v>
      </c>
      <c r="H683" s="43">
        <v>0</v>
      </c>
      <c r="I683" s="43">
        <v>18</v>
      </c>
    </row>
    <row r="684" spans="1:9" x14ac:dyDescent="0.25">
      <c r="C684" s="42"/>
      <c r="D684" s="43"/>
      <c r="E684" s="43">
        <v>5</v>
      </c>
      <c r="F684" s="44" t="s">
        <v>839</v>
      </c>
      <c r="G684" s="43" t="s">
        <v>1992</v>
      </c>
      <c r="H684" s="43">
        <v>0</v>
      </c>
      <c r="I684" s="43">
        <v>18</v>
      </c>
    </row>
    <row r="685" spans="1:9" x14ac:dyDescent="0.25">
      <c r="C685" s="42"/>
      <c r="D685" s="43"/>
      <c r="E685" s="43">
        <v>6</v>
      </c>
      <c r="F685" s="44" t="s">
        <v>840</v>
      </c>
      <c r="G685" s="43" t="s">
        <v>1993</v>
      </c>
      <c r="H685" s="43">
        <v>0</v>
      </c>
      <c r="I685" s="43">
        <v>18</v>
      </c>
    </row>
    <row r="686" spans="1:9" x14ac:dyDescent="0.25">
      <c r="C686" s="42"/>
      <c r="D686" s="43"/>
      <c r="E686" s="43">
        <v>7</v>
      </c>
      <c r="F686" s="44" t="s">
        <v>62</v>
      </c>
      <c r="G686" s="43" t="s">
        <v>1994</v>
      </c>
      <c r="H686" s="43">
        <v>0</v>
      </c>
      <c r="I686" s="43">
        <v>18</v>
      </c>
    </row>
    <row r="687" spans="1:9" x14ac:dyDescent="0.25">
      <c r="C687" s="42"/>
      <c r="D687" s="43"/>
      <c r="E687" s="43">
        <v>8</v>
      </c>
      <c r="F687" s="44" t="s">
        <v>63</v>
      </c>
      <c r="G687" s="43" t="s">
        <v>1995</v>
      </c>
      <c r="H687" s="43">
        <v>0</v>
      </c>
      <c r="I687" s="43">
        <v>18</v>
      </c>
    </row>
    <row r="688" spans="1:9" x14ac:dyDescent="0.25">
      <c r="C688" s="42"/>
      <c r="D688" s="43"/>
      <c r="E688" s="43">
        <v>9</v>
      </c>
      <c r="F688" s="44" t="s">
        <v>64</v>
      </c>
      <c r="G688" s="43" t="s">
        <v>1996</v>
      </c>
      <c r="H688" s="43">
        <v>0</v>
      </c>
      <c r="I688" s="43">
        <v>18</v>
      </c>
    </row>
    <row r="689" spans="3:9" x14ac:dyDescent="0.25">
      <c r="C689" s="42"/>
      <c r="D689" s="43"/>
      <c r="E689" s="43">
        <v>10</v>
      </c>
      <c r="F689" s="44" t="s">
        <v>65</v>
      </c>
      <c r="G689" s="43" t="s">
        <v>1997</v>
      </c>
      <c r="H689" s="43">
        <v>0</v>
      </c>
      <c r="I689" s="43">
        <v>18</v>
      </c>
    </row>
    <row r="690" spans="3:9" x14ac:dyDescent="0.25">
      <c r="C690" s="42"/>
      <c r="D690" s="43"/>
      <c r="E690" s="43">
        <v>11</v>
      </c>
      <c r="F690" s="44" t="s">
        <v>66</v>
      </c>
      <c r="G690" s="43" t="s">
        <v>1998</v>
      </c>
      <c r="H690" s="43">
        <v>0</v>
      </c>
      <c r="I690" s="43">
        <v>18</v>
      </c>
    </row>
    <row r="691" spans="3:9" x14ac:dyDescent="0.25">
      <c r="C691" s="42"/>
      <c r="D691" s="43"/>
      <c r="E691" s="43">
        <v>12</v>
      </c>
      <c r="F691" s="44" t="s">
        <v>67</v>
      </c>
      <c r="G691" s="43" t="s">
        <v>1999</v>
      </c>
      <c r="H691" s="43">
        <v>0</v>
      </c>
      <c r="I691" s="43">
        <v>18</v>
      </c>
    </row>
    <row r="692" spans="3:9" x14ac:dyDescent="0.25">
      <c r="C692" s="42"/>
      <c r="D692" s="43"/>
      <c r="E692" s="43">
        <v>13</v>
      </c>
      <c r="F692" s="44" t="s">
        <v>1874</v>
      </c>
      <c r="G692" s="43" t="s">
        <v>2000</v>
      </c>
      <c r="H692" s="43">
        <v>0</v>
      </c>
      <c r="I692" s="43">
        <v>18</v>
      </c>
    </row>
    <row r="693" spans="3:9" x14ac:dyDescent="0.25">
      <c r="C693" s="42"/>
      <c r="D693" s="43"/>
      <c r="E693" s="43">
        <v>14</v>
      </c>
      <c r="F693" s="44" t="s">
        <v>1875</v>
      </c>
      <c r="G693" s="43" t="s">
        <v>2001</v>
      </c>
      <c r="H693" s="43">
        <v>0</v>
      </c>
      <c r="I693" s="43">
        <v>18</v>
      </c>
    </row>
    <row r="694" spans="3:9" x14ac:dyDescent="0.25">
      <c r="C694" s="42"/>
      <c r="D694" s="43"/>
      <c r="E694" s="43">
        <v>15</v>
      </c>
      <c r="F694" s="44" t="s">
        <v>1876</v>
      </c>
      <c r="G694" s="43" t="s">
        <v>2002</v>
      </c>
      <c r="H694" s="43">
        <v>0</v>
      </c>
      <c r="I694" s="43">
        <v>18</v>
      </c>
    </row>
    <row r="695" spans="3:9" x14ac:dyDescent="0.25">
      <c r="C695" s="42"/>
      <c r="D695" s="43"/>
      <c r="E695" s="43">
        <v>16</v>
      </c>
      <c r="F695" s="44" t="s">
        <v>1877</v>
      </c>
      <c r="G695" s="43" t="s">
        <v>2003</v>
      </c>
      <c r="H695" s="43">
        <v>0</v>
      </c>
      <c r="I695" s="43">
        <v>18</v>
      </c>
    </row>
    <row r="696" spans="3:9" x14ac:dyDescent="0.25">
      <c r="C696" s="42"/>
      <c r="D696" s="43"/>
      <c r="E696" s="43">
        <v>17</v>
      </c>
      <c r="F696" s="44" t="s">
        <v>1878</v>
      </c>
      <c r="G696" s="43" t="s">
        <v>2004</v>
      </c>
      <c r="H696" s="43">
        <v>0</v>
      </c>
      <c r="I696" s="43">
        <v>18</v>
      </c>
    </row>
    <row r="697" spans="3:9" x14ac:dyDescent="0.25">
      <c r="C697" s="42"/>
      <c r="D697" s="43"/>
      <c r="E697" s="43">
        <v>18</v>
      </c>
      <c r="F697" s="44" t="s">
        <v>1879</v>
      </c>
      <c r="G697" s="43" t="s">
        <v>2005</v>
      </c>
      <c r="H697" s="43">
        <v>0</v>
      </c>
      <c r="I697" s="43">
        <v>18</v>
      </c>
    </row>
    <row r="698" spans="3:9" x14ac:dyDescent="0.25">
      <c r="C698" s="42"/>
      <c r="D698" s="43"/>
      <c r="E698" s="43">
        <v>19</v>
      </c>
      <c r="F698" s="44" t="s">
        <v>1880</v>
      </c>
      <c r="G698" s="43" t="s">
        <v>2006</v>
      </c>
      <c r="H698" s="43">
        <v>0</v>
      </c>
      <c r="I698" s="43">
        <v>20</v>
      </c>
    </row>
    <row r="699" spans="3:9" x14ac:dyDescent="0.25">
      <c r="C699" s="42"/>
      <c r="D699" s="43"/>
      <c r="E699" s="43">
        <v>20</v>
      </c>
      <c r="F699" s="44" t="s">
        <v>1881</v>
      </c>
      <c r="G699" s="43" t="s">
        <v>2007</v>
      </c>
      <c r="H699" s="43">
        <v>0</v>
      </c>
      <c r="I699" s="43">
        <v>20</v>
      </c>
    </row>
    <row r="700" spans="3:9" x14ac:dyDescent="0.25">
      <c r="C700" s="42"/>
      <c r="D700" s="43"/>
      <c r="E700" s="43">
        <v>21</v>
      </c>
      <c r="F700" s="44" t="s">
        <v>1882</v>
      </c>
      <c r="G700" s="43" t="s">
        <v>2008</v>
      </c>
      <c r="H700" s="43">
        <v>0</v>
      </c>
      <c r="I700" s="43">
        <v>20</v>
      </c>
    </row>
    <row r="701" spans="3:9" x14ac:dyDescent="0.25">
      <c r="C701" s="42"/>
      <c r="D701" s="43"/>
      <c r="E701" s="43">
        <v>22</v>
      </c>
      <c r="F701" s="44" t="s">
        <v>1883</v>
      </c>
      <c r="G701" s="43" t="s">
        <v>2009</v>
      </c>
      <c r="H701" s="43">
        <v>0</v>
      </c>
      <c r="I701" s="43">
        <v>20</v>
      </c>
    </row>
    <row r="702" spans="3:9" x14ac:dyDescent="0.25">
      <c r="C702" s="42"/>
      <c r="D702" s="43"/>
      <c r="E702" s="43">
        <v>23</v>
      </c>
      <c r="F702" s="44" t="s">
        <v>1884</v>
      </c>
      <c r="G702" s="43" t="s">
        <v>2010</v>
      </c>
      <c r="H702" s="43">
        <v>0</v>
      </c>
      <c r="I702" s="43">
        <v>20</v>
      </c>
    </row>
    <row r="703" spans="3:9" x14ac:dyDescent="0.25">
      <c r="C703" s="42"/>
      <c r="D703" s="45"/>
      <c r="E703" s="43">
        <v>24</v>
      </c>
      <c r="F703" s="44" t="s">
        <v>1885</v>
      </c>
      <c r="G703" s="43" t="s">
        <v>2011</v>
      </c>
      <c r="H703" s="43">
        <v>0</v>
      </c>
      <c r="I703" s="43">
        <v>20</v>
      </c>
    </row>
    <row r="704" spans="3:9" x14ac:dyDescent="0.25">
      <c r="C704" s="42"/>
      <c r="D704" s="45"/>
      <c r="E704" s="43">
        <v>25</v>
      </c>
      <c r="F704" s="44" t="s">
        <v>1886</v>
      </c>
      <c r="G704" s="43" t="s">
        <v>2012</v>
      </c>
      <c r="H704" s="43">
        <v>0</v>
      </c>
      <c r="I704" s="43">
        <v>20</v>
      </c>
    </row>
    <row r="705" spans="3:9" x14ac:dyDescent="0.25">
      <c r="C705" s="42"/>
      <c r="D705" s="45"/>
      <c r="E705" s="43">
        <v>26</v>
      </c>
      <c r="F705" s="44" t="s">
        <v>1887</v>
      </c>
      <c r="G705" s="43" t="s">
        <v>2013</v>
      </c>
      <c r="H705" s="43">
        <v>0</v>
      </c>
      <c r="I705" s="43">
        <v>20</v>
      </c>
    </row>
    <row r="706" spans="3:9" x14ac:dyDescent="0.25">
      <c r="C706" s="42"/>
      <c r="D706" s="45"/>
      <c r="E706" s="43">
        <v>27</v>
      </c>
      <c r="F706" s="44" t="s">
        <v>1888</v>
      </c>
      <c r="G706" s="43" t="s">
        <v>2014</v>
      </c>
      <c r="H706" s="43">
        <v>0</v>
      </c>
      <c r="I706" s="43">
        <v>20</v>
      </c>
    </row>
    <row r="707" spans="3:9" x14ac:dyDescent="0.25">
      <c r="C707" s="42"/>
      <c r="D707" s="45"/>
      <c r="E707" s="43">
        <v>28</v>
      </c>
      <c r="F707" s="44" t="s">
        <v>1889</v>
      </c>
      <c r="G707" s="43" t="s">
        <v>2015</v>
      </c>
      <c r="H707" s="43">
        <v>0</v>
      </c>
      <c r="I707" s="43">
        <v>20</v>
      </c>
    </row>
    <row r="708" spans="3:9" x14ac:dyDescent="0.25">
      <c r="C708" s="42"/>
      <c r="D708" s="45"/>
      <c r="E708" s="43">
        <v>29</v>
      </c>
      <c r="F708" s="44" t="s">
        <v>1890</v>
      </c>
      <c r="G708" s="43" t="s">
        <v>2016</v>
      </c>
      <c r="H708" s="43">
        <v>0</v>
      </c>
      <c r="I708" s="43">
        <v>20</v>
      </c>
    </row>
    <row r="709" spans="3:9" x14ac:dyDescent="0.25">
      <c r="C709" s="42"/>
      <c r="D709" s="45"/>
      <c r="E709" s="43">
        <v>30</v>
      </c>
      <c r="F709" s="44" t="s">
        <v>1891</v>
      </c>
      <c r="G709" s="43" t="s">
        <v>2017</v>
      </c>
      <c r="H709" s="43">
        <v>0</v>
      </c>
      <c r="I709" s="43">
        <v>20</v>
      </c>
    </row>
    <row r="710" spans="3:9" x14ac:dyDescent="0.25">
      <c r="C710" s="42"/>
      <c r="D710" s="45"/>
      <c r="E710" s="43">
        <v>31</v>
      </c>
      <c r="F710" s="44" t="s">
        <v>1892</v>
      </c>
      <c r="G710" s="43" t="s">
        <v>2018</v>
      </c>
      <c r="H710" s="43">
        <v>0</v>
      </c>
      <c r="I710" s="43">
        <v>20</v>
      </c>
    </row>
    <row r="711" spans="3:9" x14ac:dyDescent="0.25">
      <c r="C711" s="42"/>
      <c r="D711" s="45"/>
      <c r="E711" s="43">
        <v>32</v>
      </c>
      <c r="F711" s="44" t="s">
        <v>1893</v>
      </c>
      <c r="G711" s="43" t="s">
        <v>2019</v>
      </c>
      <c r="H711" s="43">
        <v>0</v>
      </c>
      <c r="I711" s="43">
        <v>20</v>
      </c>
    </row>
    <row r="712" spans="3:9" x14ac:dyDescent="0.25">
      <c r="C712" s="42"/>
      <c r="D712" s="45"/>
      <c r="E712" s="43">
        <v>33</v>
      </c>
      <c r="F712" s="44" t="s">
        <v>1894</v>
      </c>
      <c r="G712" s="43" t="s">
        <v>2020</v>
      </c>
      <c r="H712" s="43">
        <v>0</v>
      </c>
      <c r="I712" s="43">
        <v>20</v>
      </c>
    </row>
    <row r="713" spans="3:9" x14ac:dyDescent="0.25">
      <c r="C713" s="42"/>
      <c r="D713" s="45"/>
      <c r="E713" s="43">
        <v>34</v>
      </c>
      <c r="F713" s="44" t="s">
        <v>1895</v>
      </c>
      <c r="G713" s="43" t="s">
        <v>2021</v>
      </c>
      <c r="H713" s="43">
        <v>0</v>
      </c>
      <c r="I713" s="43">
        <v>20</v>
      </c>
    </row>
    <row r="714" spans="3:9" x14ac:dyDescent="0.25">
      <c r="C714" s="42"/>
      <c r="D714" s="45"/>
      <c r="E714" s="43">
        <v>35</v>
      </c>
      <c r="F714" s="44" t="s">
        <v>1896</v>
      </c>
      <c r="G714" s="43" t="s">
        <v>2022</v>
      </c>
      <c r="H714" s="43">
        <v>0</v>
      </c>
      <c r="I714" s="43">
        <v>20</v>
      </c>
    </row>
    <row r="715" spans="3:9" x14ac:dyDescent="0.25">
      <c r="C715" s="42"/>
      <c r="D715" s="45"/>
      <c r="E715" s="43">
        <v>36</v>
      </c>
      <c r="F715" s="44" t="s">
        <v>1897</v>
      </c>
      <c r="G715" s="43" t="s">
        <v>2023</v>
      </c>
      <c r="H715" s="43">
        <v>0</v>
      </c>
      <c r="I715" s="43">
        <v>20</v>
      </c>
    </row>
    <row r="716" spans="3:9" x14ac:dyDescent="0.25">
      <c r="C716" s="42"/>
      <c r="D716" s="45"/>
      <c r="E716" s="43">
        <v>37</v>
      </c>
      <c r="F716" s="44" t="s">
        <v>1898</v>
      </c>
      <c r="G716" s="43" t="s">
        <v>2024</v>
      </c>
      <c r="H716" s="43">
        <v>0</v>
      </c>
      <c r="I716" s="43">
        <v>20</v>
      </c>
    </row>
    <row r="717" spans="3:9" x14ac:dyDescent="0.25">
      <c r="C717" s="42"/>
      <c r="D717" s="45"/>
      <c r="E717" s="43">
        <v>38</v>
      </c>
      <c r="F717" s="44" t="s">
        <v>1899</v>
      </c>
      <c r="G717" s="43" t="s">
        <v>2025</v>
      </c>
      <c r="H717" s="43">
        <v>0</v>
      </c>
      <c r="I717" s="43">
        <v>20</v>
      </c>
    </row>
    <row r="718" spans="3:9" x14ac:dyDescent="0.25">
      <c r="C718" s="42"/>
      <c r="D718" s="45"/>
      <c r="E718" s="43">
        <v>39</v>
      </c>
      <c r="F718" s="44" t="s">
        <v>1900</v>
      </c>
      <c r="G718" s="43" t="s">
        <v>2026</v>
      </c>
      <c r="H718" s="43">
        <v>0</v>
      </c>
      <c r="I718" s="43">
        <v>20</v>
      </c>
    </row>
    <row r="719" spans="3:9" x14ac:dyDescent="0.25">
      <c r="C719" s="42"/>
      <c r="D719" s="45"/>
      <c r="E719" s="43">
        <v>40</v>
      </c>
      <c r="F719" s="44" t="s">
        <v>1901</v>
      </c>
      <c r="G719" s="43" t="s">
        <v>2027</v>
      </c>
      <c r="H719" s="43">
        <v>0</v>
      </c>
      <c r="I719" s="43">
        <v>20</v>
      </c>
    </row>
  </sheetData>
  <pageMargins left="0.7" right="0.7" top="0.75" bottom="0.75" header="0.3" footer="0.3"/>
  <pageSetup paperSize="9" orientation="portrait" horizontalDpi="200" verticalDpi="2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T97"/>
  <sheetViews>
    <sheetView tabSelected="1" topLeftCell="A47" zoomScale="70" zoomScaleNormal="70" workbookViewId="0">
      <selection activeCell="F50" sqref="F50"/>
    </sheetView>
  </sheetViews>
  <sheetFormatPr baseColWidth="10" defaultRowHeight="15" x14ac:dyDescent="0.25"/>
  <cols>
    <col min="1" max="1" width="6.42578125" style="1" customWidth="1"/>
    <col min="2" max="2" width="6.7109375" style="1" customWidth="1"/>
    <col min="3" max="3" width="5" style="1" customWidth="1"/>
    <col min="4" max="4" width="23.28515625" style="1" customWidth="1"/>
    <col min="5" max="5" width="8.140625" style="1" customWidth="1"/>
    <col min="6" max="6" width="96" style="1" customWidth="1"/>
    <col min="7" max="7" width="49.140625" style="1" customWidth="1"/>
    <col min="8" max="8" width="22.7109375" style="1" customWidth="1"/>
    <col min="9" max="9" width="27.85546875" style="1" customWidth="1"/>
    <col min="10" max="10" width="24.140625" style="1" customWidth="1"/>
    <col min="11" max="11" width="29.5703125" style="1" customWidth="1"/>
    <col min="12" max="12" width="23.28515625" style="1" customWidth="1"/>
    <col min="13" max="13" width="21.5703125" style="1" customWidth="1"/>
    <col min="14" max="14" width="28.5703125" style="1" customWidth="1"/>
    <col min="15" max="15" width="23" style="1" customWidth="1"/>
    <col min="16" max="16" width="25.7109375" style="1" customWidth="1"/>
    <col min="17" max="16384" width="11.42578125" style="1"/>
  </cols>
  <sheetData>
    <row r="1" spans="1:18" ht="30" x14ac:dyDescent="0.25">
      <c r="A1" s="1" t="s">
        <v>0</v>
      </c>
      <c r="B1" s="1" t="s">
        <v>1</v>
      </c>
      <c r="C1" s="1" t="s">
        <v>8</v>
      </c>
      <c r="D1" s="1" t="s">
        <v>15</v>
      </c>
      <c r="E1" s="1" t="s">
        <v>10</v>
      </c>
      <c r="F1" s="1" t="s">
        <v>19</v>
      </c>
      <c r="G1" s="1" t="s">
        <v>17</v>
      </c>
      <c r="H1" s="1" t="s">
        <v>3</v>
      </c>
      <c r="I1" s="1" t="s">
        <v>4</v>
      </c>
      <c r="J1" s="1" t="s">
        <v>6</v>
      </c>
      <c r="K1" s="1" t="s">
        <v>7</v>
      </c>
      <c r="L1" s="1" t="s">
        <v>18</v>
      </c>
      <c r="M1" s="1" t="s">
        <v>3</v>
      </c>
      <c r="N1" s="1" t="s">
        <v>4</v>
      </c>
      <c r="O1" s="1" t="s">
        <v>6</v>
      </c>
      <c r="P1" s="1" t="s">
        <v>7</v>
      </c>
    </row>
    <row r="2" spans="1:18" s="2" customFormat="1" x14ac:dyDescent="0.25">
      <c r="A2" s="16"/>
      <c r="B2" s="16"/>
      <c r="C2" s="16"/>
      <c r="D2" s="16"/>
      <c r="E2" s="16"/>
      <c r="F2" s="16"/>
      <c r="G2" s="16"/>
      <c r="H2" s="16"/>
      <c r="I2" s="16"/>
      <c r="J2" s="16"/>
      <c r="K2" s="16"/>
      <c r="L2" s="16"/>
      <c r="M2" s="16"/>
      <c r="N2" s="16"/>
      <c r="O2" s="16"/>
      <c r="P2" s="16"/>
    </row>
    <row r="3" spans="1:18" ht="65.25" customHeight="1" x14ac:dyDescent="0.25">
      <c r="A3" s="18"/>
      <c r="B3" s="18"/>
      <c r="C3" s="18">
        <v>1</v>
      </c>
      <c r="D3" s="18" t="s">
        <v>55</v>
      </c>
      <c r="E3" s="18">
        <v>1</v>
      </c>
      <c r="F3" s="18" t="s">
        <v>2103</v>
      </c>
      <c r="G3" s="18" t="s">
        <v>2122</v>
      </c>
      <c r="H3" s="18" t="s">
        <v>2152</v>
      </c>
      <c r="I3" s="18" t="s">
        <v>2170</v>
      </c>
      <c r="J3" s="18" t="s">
        <v>2198</v>
      </c>
      <c r="K3" s="18" t="s">
        <v>2226</v>
      </c>
      <c r="L3" s="18"/>
      <c r="M3" s="18"/>
      <c r="N3" s="18"/>
      <c r="O3" s="18"/>
      <c r="P3" s="18"/>
      <c r="Q3" s="1" t="str">
        <f>CONCATENATE("d) ",(P3))</f>
        <v xml:space="preserve">d) </v>
      </c>
      <c r="R3" s="1" t="str">
        <f>CONCATENATE("b) ",I3)</f>
        <v>b) b) Most of the comics featuring Kinshasa are done by Belgium artists.</v>
      </c>
    </row>
    <row r="4" spans="1:18" ht="65.25" customHeight="1" x14ac:dyDescent="0.25">
      <c r="A4" s="18"/>
      <c r="B4" s="18"/>
      <c r="C4" s="18"/>
      <c r="D4" s="18" t="s">
        <v>2105</v>
      </c>
      <c r="E4" s="18">
        <v>2</v>
      </c>
      <c r="F4" s="18" t="s">
        <v>2104</v>
      </c>
      <c r="G4" s="18" t="s">
        <v>2130</v>
      </c>
      <c r="H4" s="18" t="s">
        <v>2153</v>
      </c>
      <c r="I4" s="18" t="s">
        <v>2171</v>
      </c>
      <c r="J4" s="18" t="s">
        <v>2199</v>
      </c>
      <c r="K4" s="18" t="s">
        <v>2227</v>
      </c>
      <c r="L4" s="18"/>
      <c r="M4" s="18"/>
      <c r="N4" s="18"/>
      <c r="O4" s="18"/>
      <c r="P4" s="18"/>
      <c r="Q4" s="1" t="str">
        <f t="shared" ref="Q4:Q7" si="0">CONCATENATE("d) ",(P4))</f>
        <v xml:space="preserve">d) </v>
      </c>
    </row>
    <row r="5" spans="1:18" ht="65.25" customHeight="1" x14ac:dyDescent="0.25">
      <c r="A5" s="18"/>
      <c r="B5" s="18"/>
      <c r="C5" s="18"/>
      <c r="D5" s="18" t="s">
        <v>421</v>
      </c>
      <c r="E5" s="18">
        <v>3</v>
      </c>
      <c r="F5" s="18" t="s">
        <v>2106</v>
      </c>
      <c r="G5" s="18" t="s">
        <v>2131</v>
      </c>
      <c r="H5" s="18" t="s">
        <v>2154</v>
      </c>
      <c r="I5" s="18" t="s">
        <v>2172</v>
      </c>
      <c r="J5" s="18" t="s">
        <v>2200</v>
      </c>
      <c r="K5" s="18" t="s">
        <v>2228</v>
      </c>
      <c r="L5" s="18"/>
      <c r="M5" s="18"/>
      <c r="N5" s="18"/>
      <c r="O5" s="18"/>
      <c r="P5" s="18"/>
      <c r="Q5" s="1" t="str">
        <f t="shared" si="0"/>
        <v xml:space="preserve">d) </v>
      </c>
    </row>
    <row r="6" spans="1:18" ht="65.25" customHeight="1" x14ac:dyDescent="0.25">
      <c r="A6" s="18"/>
      <c r="B6" s="18"/>
      <c r="C6" s="18"/>
      <c r="D6" s="18"/>
      <c r="E6" s="18">
        <v>4</v>
      </c>
      <c r="F6" s="18" t="s">
        <v>2107</v>
      </c>
      <c r="G6" s="18" t="s">
        <v>2132</v>
      </c>
      <c r="H6" s="18" t="s">
        <v>2155</v>
      </c>
      <c r="I6" s="18" t="s">
        <v>2173</v>
      </c>
      <c r="J6" s="18" t="s">
        <v>2201</v>
      </c>
      <c r="K6" s="18" t="s">
        <v>2229</v>
      </c>
      <c r="L6" s="18"/>
      <c r="M6" s="18"/>
      <c r="N6" s="18"/>
      <c r="O6" s="18"/>
      <c r="P6" s="18"/>
      <c r="Q6" s="1" t="str">
        <f t="shared" si="0"/>
        <v xml:space="preserve">d) </v>
      </c>
    </row>
    <row r="7" spans="1:18" ht="65.25" customHeight="1" x14ac:dyDescent="0.25">
      <c r="A7" s="18"/>
      <c r="B7" s="18"/>
      <c r="C7" s="18"/>
      <c r="D7" s="18"/>
      <c r="E7" s="18">
        <v>5</v>
      </c>
      <c r="F7" s="18" t="s">
        <v>2108</v>
      </c>
      <c r="G7" s="18" t="s">
        <v>2133</v>
      </c>
      <c r="H7" s="18" t="s">
        <v>2156</v>
      </c>
      <c r="I7" s="18" t="s">
        <v>2174</v>
      </c>
      <c r="J7" s="18" t="s">
        <v>2202</v>
      </c>
      <c r="K7" s="18" t="s">
        <v>2230</v>
      </c>
      <c r="L7" s="18"/>
      <c r="M7" s="18"/>
      <c r="N7" s="18"/>
      <c r="O7" s="18"/>
      <c r="P7" s="18"/>
      <c r="Q7" s="1" t="str">
        <f t="shared" si="0"/>
        <v xml:space="preserve">d) </v>
      </c>
    </row>
    <row r="8" spans="1:18" ht="65.25" customHeight="1" x14ac:dyDescent="0.25">
      <c r="A8" s="18"/>
      <c r="B8" s="18"/>
      <c r="C8" s="18"/>
      <c r="D8" s="18"/>
      <c r="E8" s="18">
        <v>6</v>
      </c>
      <c r="F8" s="18" t="s">
        <v>2109</v>
      </c>
      <c r="G8" s="18" t="s">
        <v>2134</v>
      </c>
      <c r="H8" s="18" t="s">
        <v>2157</v>
      </c>
      <c r="I8" s="18" t="s">
        <v>2175</v>
      </c>
      <c r="J8" s="18" t="s">
        <v>2203</v>
      </c>
      <c r="K8" s="18" t="s">
        <v>2231</v>
      </c>
      <c r="L8" s="18" t="s">
        <v>2123</v>
      </c>
      <c r="M8" s="18" t="s">
        <v>2257</v>
      </c>
      <c r="N8" s="18" t="s">
        <v>2188</v>
      </c>
      <c r="O8" s="18" t="s">
        <v>2215</v>
      </c>
      <c r="P8" s="18" t="s">
        <v>2244</v>
      </c>
      <c r="Q8" s="1" t="str">
        <f>CONCATENATE("a) ",M8)</f>
        <v>a) a) The main division is between the ‘old’ and ‘new’ Europe.</v>
      </c>
    </row>
    <row r="9" spans="1:18" ht="65.25" customHeight="1" x14ac:dyDescent="0.25">
      <c r="A9" s="18"/>
      <c r="B9" s="18"/>
      <c r="C9" s="18"/>
      <c r="D9" s="18"/>
      <c r="E9" s="18">
        <v>7</v>
      </c>
      <c r="F9" s="18" t="s">
        <v>2110</v>
      </c>
      <c r="G9" s="18" t="s">
        <v>2135</v>
      </c>
      <c r="H9" s="18" t="s">
        <v>2158</v>
      </c>
      <c r="I9" s="18" t="s">
        <v>2176</v>
      </c>
      <c r="J9" s="18" t="s">
        <v>2204</v>
      </c>
      <c r="K9" s="18" t="s">
        <v>2232</v>
      </c>
      <c r="L9" s="18" t="s">
        <v>2124</v>
      </c>
      <c r="M9" s="18" t="s">
        <v>2258</v>
      </c>
      <c r="N9" s="18" t="s">
        <v>2189</v>
      </c>
      <c r="O9" s="18" t="s">
        <v>2216</v>
      </c>
      <c r="P9" s="18" t="s">
        <v>2245</v>
      </c>
      <c r="Q9" s="1" t="str">
        <f t="shared" ref="Q9:Q20" si="1">CONCATENATE("a) ",M9)</f>
        <v>a) a) The use of MP3 players is limited</v>
      </c>
    </row>
    <row r="10" spans="1:18" ht="65.25" customHeight="1" x14ac:dyDescent="0.25">
      <c r="A10" s="18"/>
      <c r="B10" s="18"/>
      <c r="C10" s="18"/>
      <c r="D10" s="18"/>
      <c r="E10" s="18">
        <v>8</v>
      </c>
      <c r="F10" s="18" t="s">
        <v>2111</v>
      </c>
      <c r="G10" s="18" t="s">
        <v>2136</v>
      </c>
      <c r="H10" s="18" t="s">
        <v>2159</v>
      </c>
      <c r="I10" s="18" t="s">
        <v>2177</v>
      </c>
      <c r="J10" s="18" t="s">
        <v>2205</v>
      </c>
      <c r="K10" s="18" t="s">
        <v>2233</v>
      </c>
      <c r="L10" s="18" t="s">
        <v>2125</v>
      </c>
      <c r="M10" s="18" t="s">
        <v>2259</v>
      </c>
      <c r="N10" s="18" t="s">
        <v>2190</v>
      </c>
      <c r="O10" s="18" t="s">
        <v>2217</v>
      </c>
      <c r="P10" s="18" t="s">
        <v>2246</v>
      </c>
      <c r="Q10" s="1" t="str">
        <f t="shared" si="1"/>
        <v>a) a) A stronger military force</v>
      </c>
    </row>
    <row r="11" spans="1:18" ht="65.25" customHeight="1" x14ac:dyDescent="0.25">
      <c r="A11" s="18"/>
      <c r="B11" s="18"/>
      <c r="C11" s="18"/>
      <c r="D11" s="18"/>
      <c r="E11" s="18">
        <v>9</v>
      </c>
      <c r="F11" s="18" t="s">
        <v>2112</v>
      </c>
      <c r="G11" s="18" t="s">
        <v>2137</v>
      </c>
      <c r="H11" s="18" t="s">
        <v>2160</v>
      </c>
      <c r="I11" s="18" t="s">
        <v>2178</v>
      </c>
      <c r="J11" s="18" t="s">
        <v>2206</v>
      </c>
      <c r="K11" s="18" t="s">
        <v>2234</v>
      </c>
      <c r="L11" s="18" t="s">
        <v>2126</v>
      </c>
      <c r="M11" s="18" t="s">
        <v>20</v>
      </c>
      <c r="N11" s="18" t="s">
        <v>21</v>
      </c>
      <c r="O11" s="18" t="s">
        <v>22</v>
      </c>
      <c r="P11" s="18" t="s">
        <v>23</v>
      </c>
      <c r="Q11" s="1" t="str">
        <f t="shared" si="1"/>
        <v xml:space="preserve">a) a) be completely negative.                                                                                                                 </v>
      </c>
      <c r="R11" s="23"/>
    </row>
    <row r="12" spans="1:18" ht="65.25" customHeight="1" x14ac:dyDescent="0.25">
      <c r="A12" s="18"/>
      <c r="B12" s="18"/>
      <c r="C12" s="18"/>
      <c r="D12" s="18"/>
      <c r="E12" s="18">
        <v>10</v>
      </c>
      <c r="F12" s="18" t="s">
        <v>2113</v>
      </c>
      <c r="G12" s="18" t="s">
        <v>2138</v>
      </c>
      <c r="H12" s="18" t="s">
        <v>2161</v>
      </c>
      <c r="I12" s="18" t="s">
        <v>2179</v>
      </c>
      <c r="J12" s="18" t="s">
        <v>2207</v>
      </c>
      <c r="K12" s="18" t="s">
        <v>2235</v>
      </c>
      <c r="L12" s="18" t="s">
        <v>2127</v>
      </c>
      <c r="M12" s="18" t="s">
        <v>2260</v>
      </c>
      <c r="N12" s="18" t="s">
        <v>2191</v>
      </c>
      <c r="O12" s="18" t="s">
        <v>2218</v>
      </c>
      <c r="P12" s="18" t="s">
        <v>2247</v>
      </c>
      <c r="Q12" s="1" t="str">
        <f t="shared" si="1"/>
        <v>a) a) Be completely negative</v>
      </c>
      <c r="R12" s="23"/>
    </row>
    <row r="13" spans="1:18" ht="65.25" customHeight="1" x14ac:dyDescent="0.25">
      <c r="A13" s="18"/>
      <c r="B13" s="18"/>
      <c r="C13" s="18"/>
      <c r="D13" s="18"/>
      <c r="E13" s="18">
        <v>11</v>
      </c>
      <c r="F13" s="18" t="s">
        <v>2114</v>
      </c>
      <c r="G13" s="18" t="s">
        <v>2139</v>
      </c>
      <c r="H13" s="18" t="s">
        <v>2162</v>
      </c>
      <c r="I13" s="18" t="s">
        <v>2180</v>
      </c>
      <c r="J13" s="18" t="s">
        <v>2208</v>
      </c>
      <c r="K13" s="18" t="s">
        <v>2236</v>
      </c>
      <c r="L13" s="18" t="s">
        <v>2128</v>
      </c>
      <c r="M13" s="18" t="s">
        <v>2261</v>
      </c>
      <c r="N13" s="18" t="s">
        <v>2192</v>
      </c>
      <c r="O13" s="18" t="s">
        <v>2219</v>
      </c>
      <c r="P13" s="18" t="s">
        <v>2248</v>
      </c>
      <c r="Q13" s="1" t="str">
        <f t="shared" si="1"/>
        <v>a) a) High-speed electric trains are being developed</v>
      </c>
      <c r="R13" s="23"/>
    </row>
    <row r="14" spans="1:18" ht="65.25" customHeight="1" x14ac:dyDescent="0.25">
      <c r="A14" s="18"/>
      <c r="B14" s="18"/>
      <c r="C14" s="18"/>
      <c r="D14" s="18"/>
      <c r="E14" s="18">
        <v>12</v>
      </c>
      <c r="F14" s="18" t="s">
        <v>2115</v>
      </c>
      <c r="G14" s="18" t="s">
        <v>2140</v>
      </c>
      <c r="H14" s="18" t="s">
        <v>2163</v>
      </c>
      <c r="I14" s="18" t="s">
        <v>2181</v>
      </c>
      <c r="J14" s="18" t="s">
        <v>2255</v>
      </c>
      <c r="K14" s="18" t="s">
        <v>2237</v>
      </c>
      <c r="L14" s="18" t="s">
        <v>2129</v>
      </c>
      <c r="M14" s="18" t="s">
        <v>2262</v>
      </c>
      <c r="N14" s="18" t="s">
        <v>2256</v>
      </c>
      <c r="O14" s="18" t="s">
        <v>2220</v>
      </c>
      <c r="P14" s="18" t="s">
        <v>2249</v>
      </c>
      <c r="Q14" s="1" t="str">
        <f t="shared" si="1"/>
        <v>a) a)   The Tories would approve of French aims.</v>
      </c>
      <c r="R14" s="23"/>
    </row>
    <row r="15" spans="1:18" ht="65.25" customHeight="1" x14ac:dyDescent="0.25">
      <c r="A15" s="18"/>
      <c r="B15" s="18"/>
      <c r="C15" s="18"/>
      <c r="D15" s="18"/>
      <c r="E15" s="18">
        <v>13</v>
      </c>
      <c r="F15" s="18" t="s">
        <v>2116</v>
      </c>
      <c r="G15" s="18" t="s">
        <v>2141</v>
      </c>
      <c r="H15" s="18" t="s">
        <v>2164</v>
      </c>
      <c r="I15" s="18" t="s">
        <v>2182</v>
      </c>
      <c r="J15" s="18" t="s">
        <v>2209</v>
      </c>
      <c r="K15" s="18" t="s">
        <v>2238</v>
      </c>
      <c r="L15" s="18" t="s">
        <v>2142</v>
      </c>
      <c r="M15" s="18" t="s">
        <v>2263</v>
      </c>
      <c r="N15" s="18" t="s">
        <v>2193</v>
      </c>
      <c r="O15" s="18" t="s">
        <v>2221</v>
      </c>
      <c r="P15" s="18" t="s">
        <v>2250</v>
      </c>
      <c r="Q15" s="1" t="str">
        <f t="shared" si="1"/>
        <v>a) a) The remittances sent by the émigrés will ensure the survival of the Jewish community</v>
      </c>
      <c r="R15" s="23"/>
    </row>
    <row r="16" spans="1:18" ht="65.25" customHeight="1" x14ac:dyDescent="0.25">
      <c r="A16" s="18"/>
      <c r="B16" s="18"/>
      <c r="C16" s="18"/>
      <c r="D16" s="18"/>
      <c r="E16" s="18">
        <v>14</v>
      </c>
      <c r="F16" s="18" t="s">
        <v>2117</v>
      </c>
      <c r="G16" s="18" t="s">
        <v>2143</v>
      </c>
      <c r="H16" s="18" t="s">
        <v>2165</v>
      </c>
      <c r="I16" s="18" t="s">
        <v>2183</v>
      </c>
      <c r="J16" s="18" t="s">
        <v>2210</v>
      </c>
      <c r="K16" s="18" t="s">
        <v>2239</v>
      </c>
      <c r="L16" s="18" t="s">
        <v>2145</v>
      </c>
      <c r="M16" s="18" t="s">
        <v>2264</v>
      </c>
      <c r="N16" s="18" t="s">
        <v>2194</v>
      </c>
      <c r="O16" s="18" t="s">
        <v>2222</v>
      </c>
      <c r="P16" s="18" t="s">
        <v>2251</v>
      </c>
      <c r="Q16" s="1" t="str">
        <f t="shared" si="1"/>
        <v>a) a) Some of the executions are politically motivated.</v>
      </c>
      <c r="R16" s="23"/>
    </row>
    <row r="17" spans="1:18" ht="65.25" customHeight="1" x14ac:dyDescent="0.25">
      <c r="A17" s="18"/>
      <c r="B17" s="18"/>
      <c r="C17" s="18"/>
      <c r="D17" s="18"/>
      <c r="E17" s="18">
        <v>15</v>
      </c>
      <c r="F17" s="18" t="s">
        <v>2118</v>
      </c>
      <c r="G17" s="18" t="s">
        <v>2144</v>
      </c>
      <c r="H17" s="18" t="s">
        <v>2166</v>
      </c>
      <c r="I17" s="18" t="s">
        <v>2184</v>
      </c>
      <c r="J17" s="18" t="s">
        <v>2211</v>
      </c>
      <c r="K17" s="18" t="s">
        <v>2240</v>
      </c>
      <c r="L17" s="18" t="s">
        <v>2146</v>
      </c>
      <c r="M17" s="18" t="s">
        <v>2265</v>
      </c>
      <c r="N17" s="18" t="s">
        <v>2195</v>
      </c>
      <c r="O17" s="18" t="s">
        <v>2223</v>
      </c>
      <c r="P17" s="18" t="s">
        <v>2252</v>
      </c>
      <c r="Q17" s="1" t="str">
        <f t="shared" si="1"/>
        <v>a) a) The behavior of Russian officials is inconsistent</v>
      </c>
      <c r="R17" s="23"/>
    </row>
    <row r="18" spans="1:18" ht="65.25" customHeight="1" x14ac:dyDescent="0.25">
      <c r="A18" s="18"/>
      <c r="B18" s="18"/>
      <c r="C18" s="18"/>
      <c r="D18" s="18"/>
      <c r="E18" s="18">
        <v>16</v>
      </c>
      <c r="F18" s="18" t="s">
        <v>2119</v>
      </c>
      <c r="G18" s="18" t="s">
        <v>2147</v>
      </c>
      <c r="H18" s="18" t="s">
        <v>2167</v>
      </c>
      <c r="I18" s="18" t="s">
        <v>2185</v>
      </c>
      <c r="J18" s="18" t="s">
        <v>2212</v>
      </c>
      <c r="K18" s="18" t="s">
        <v>2241</v>
      </c>
      <c r="L18" s="18"/>
      <c r="M18" s="18"/>
      <c r="N18" s="18"/>
      <c r="O18" s="18"/>
      <c r="P18" s="18"/>
      <c r="Q18" s="1" t="str">
        <f t="shared" si="1"/>
        <v xml:space="preserve">a) </v>
      </c>
      <c r="R18" s="23"/>
    </row>
    <row r="19" spans="1:18" ht="65.25" customHeight="1" x14ac:dyDescent="0.25">
      <c r="A19" s="18"/>
      <c r="B19" s="18"/>
      <c r="C19" s="18"/>
      <c r="D19" s="18"/>
      <c r="E19" s="18">
        <v>17</v>
      </c>
      <c r="F19" s="18" t="s">
        <v>2120</v>
      </c>
      <c r="G19" s="18" t="s">
        <v>2148</v>
      </c>
      <c r="H19" s="18" t="s">
        <v>2169</v>
      </c>
      <c r="I19" s="18" t="s">
        <v>2186</v>
      </c>
      <c r="J19" s="18" t="s">
        <v>2213</v>
      </c>
      <c r="K19" s="18" t="s">
        <v>2242</v>
      </c>
      <c r="L19" s="18" t="s">
        <v>2150</v>
      </c>
      <c r="M19" s="18" t="s">
        <v>2266</v>
      </c>
      <c r="N19" s="18" t="s">
        <v>2196</v>
      </c>
      <c r="O19" s="18" t="s">
        <v>2224</v>
      </c>
      <c r="P19" s="18" t="s">
        <v>2253</v>
      </c>
      <c r="Q19" s="1" t="str">
        <f t="shared" si="1"/>
        <v>a) a) The attempts of monks to leave Tibet</v>
      </c>
      <c r="R19" s="23"/>
    </row>
    <row r="20" spans="1:18" ht="65.25" customHeight="1" x14ac:dyDescent="0.25">
      <c r="A20" s="18"/>
      <c r="B20" s="18"/>
      <c r="C20" s="18"/>
      <c r="D20" s="18"/>
      <c r="E20" s="18">
        <v>18</v>
      </c>
      <c r="F20" s="18" t="s">
        <v>2121</v>
      </c>
      <c r="G20" s="18" t="s">
        <v>2149</v>
      </c>
      <c r="H20" s="18" t="s">
        <v>2168</v>
      </c>
      <c r="I20" s="18" t="s">
        <v>2187</v>
      </c>
      <c r="J20" s="18" t="s">
        <v>2214</v>
      </c>
      <c r="K20" s="18" t="s">
        <v>2243</v>
      </c>
      <c r="L20" s="18" t="s">
        <v>2151</v>
      </c>
      <c r="M20" s="18" t="s">
        <v>2267</v>
      </c>
      <c r="N20" s="18" t="s">
        <v>2197</v>
      </c>
      <c r="O20" s="18" t="s">
        <v>2225</v>
      </c>
      <c r="P20" s="18" t="s">
        <v>2254</v>
      </c>
      <c r="Q20" s="1" t="str">
        <f t="shared" si="1"/>
        <v>a) a) Was found to have disrupted utility companies’ computer systems.</v>
      </c>
      <c r="R20" s="23"/>
    </row>
    <row r="21" spans="1:18" ht="65.25" customHeight="1" x14ac:dyDescent="0.25">
      <c r="A21" s="19"/>
      <c r="B21" s="19"/>
      <c r="C21" s="19">
        <v>2</v>
      </c>
      <c r="D21" s="19" t="s">
        <v>35</v>
      </c>
      <c r="E21" s="19">
        <v>1</v>
      </c>
      <c r="F21" s="19" t="s">
        <v>331</v>
      </c>
      <c r="G21" s="19" t="s">
        <v>332</v>
      </c>
      <c r="H21" s="19" t="s">
        <v>333</v>
      </c>
      <c r="I21" s="19" t="s">
        <v>334</v>
      </c>
      <c r="J21" s="19" t="s">
        <v>335</v>
      </c>
      <c r="K21" s="19" t="s">
        <v>36</v>
      </c>
      <c r="L21" s="19" t="s">
        <v>37</v>
      </c>
      <c r="M21" s="19" t="s">
        <v>336</v>
      </c>
      <c r="N21" s="19" t="s">
        <v>337</v>
      </c>
      <c r="O21" s="19" t="s">
        <v>338</v>
      </c>
      <c r="P21" s="19" t="s">
        <v>339</v>
      </c>
    </row>
    <row r="22" spans="1:18" ht="65.25" customHeight="1" x14ac:dyDescent="0.25">
      <c r="A22" s="19"/>
      <c r="B22" s="19"/>
      <c r="C22" s="19"/>
      <c r="D22" s="18" t="s">
        <v>2105</v>
      </c>
      <c r="E22" s="19">
        <v>2</v>
      </c>
      <c r="F22" s="19" t="s">
        <v>340</v>
      </c>
      <c r="G22" s="19" t="s">
        <v>341</v>
      </c>
      <c r="H22" s="19" t="s">
        <v>342</v>
      </c>
      <c r="I22" s="19" t="s">
        <v>343</v>
      </c>
      <c r="J22" s="19" t="s">
        <v>344</v>
      </c>
      <c r="K22" s="19" t="s">
        <v>345</v>
      </c>
      <c r="L22" s="19" t="s">
        <v>38</v>
      </c>
      <c r="M22" s="19" t="s">
        <v>346</v>
      </c>
      <c r="N22" s="19" t="s">
        <v>347</v>
      </c>
      <c r="O22" s="19" t="s">
        <v>348</v>
      </c>
      <c r="P22" s="19" t="s">
        <v>349</v>
      </c>
    </row>
    <row r="23" spans="1:18" ht="65.25" customHeight="1" x14ac:dyDescent="0.25">
      <c r="A23" s="19"/>
      <c r="B23" s="19"/>
      <c r="C23" s="19"/>
      <c r="D23" s="19" t="s">
        <v>421</v>
      </c>
      <c r="E23" s="19">
        <v>3</v>
      </c>
      <c r="F23" s="19" t="s">
        <v>350</v>
      </c>
      <c r="G23" s="19" t="s">
        <v>39</v>
      </c>
      <c r="H23" s="19" t="s">
        <v>351</v>
      </c>
      <c r="I23" s="19" t="s">
        <v>352</v>
      </c>
      <c r="J23" s="19" t="s">
        <v>353</v>
      </c>
      <c r="K23" s="19" t="s">
        <v>354</v>
      </c>
      <c r="L23" s="19" t="s">
        <v>40</v>
      </c>
      <c r="M23" s="19" t="s">
        <v>355</v>
      </c>
      <c r="N23" s="19" t="s">
        <v>356</v>
      </c>
      <c r="O23" s="19" t="s">
        <v>357</v>
      </c>
      <c r="P23" s="19" t="s">
        <v>358</v>
      </c>
    </row>
    <row r="24" spans="1:18" ht="65.25" customHeight="1" x14ac:dyDescent="0.25">
      <c r="A24" s="19"/>
      <c r="B24" s="19"/>
      <c r="C24" s="19"/>
      <c r="D24" s="19"/>
      <c r="E24" s="19">
        <v>4</v>
      </c>
      <c r="F24" s="19" t="s">
        <v>359</v>
      </c>
      <c r="G24" s="19" t="s">
        <v>41</v>
      </c>
      <c r="H24" s="19" t="s">
        <v>360</v>
      </c>
      <c r="I24" s="19" t="s">
        <v>361</v>
      </c>
      <c r="J24" s="19" t="s">
        <v>362</v>
      </c>
      <c r="K24" s="19" t="s">
        <v>363</v>
      </c>
      <c r="L24" s="19" t="s">
        <v>42</v>
      </c>
      <c r="M24" s="19" t="s">
        <v>364</v>
      </c>
      <c r="N24" s="19" t="s">
        <v>365</v>
      </c>
      <c r="O24" s="19" t="s">
        <v>366</v>
      </c>
      <c r="P24" s="19" t="s">
        <v>367</v>
      </c>
    </row>
    <row r="25" spans="1:18" ht="65.25" customHeight="1" x14ac:dyDescent="0.25">
      <c r="A25" s="19"/>
      <c r="B25" s="19"/>
      <c r="C25" s="19"/>
      <c r="D25" s="19"/>
      <c r="E25" s="19">
        <v>5</v>
      </c>
      <c r="F25" s="19" t="s">
        <v>368</v>
      </c>
      <c r="G25" s="19" t="s">
        <v>43</v>
      </c>
      <c r="H25" s="19" t="s">
        <v>369</v>
      </c>
      <c r="I25" s="19" t="s">
        <v>370</v>
      </c>
      <c r="J25" s="19" t="s">
        <v>371</v>
      </c>
      <c r="K25" s="19" t="s">
        <v>372</v>
      </c>
      <c r="L25" s="19" t="s">
        <v>44</v>
      </c>
      <c r="M25" s="19" t="s">
        <v>373</v>
      </c>
      <c r="N25" s="19" t="s">
        <v>374</v>
      </c>
      <c r="O25" s="19" t="s">
        <v>375</v>
      </c>
      <c r="P25" s="19" t="s">
        <v>376</v>
      </c>
    </row>
    <row r="26" spans="1:18" ht="65.25" customHeight="1" x14ac:dyDescent="0.25">
      <c r="A26" s="19"/>
      <c r="B26" s="19"/>
      <c r="C26" s="19"/>
      <c r="D26" s="19"/>
      <c r="E26" s="19">
        <v>6</v>
      </c>
      <c r="F26" s="19" t="s">
        <v>377</v>
      </c>
      <c r="G26" s="19" t="s">
        <v>45</v>
      </c>
      <c r="H26" s="19" t="s">
        <v>378</v>
      </c>
      <c r="I26" s="19" t="s">
        <v>379</v>
      </c>
      <c r="J26" s="19" t="s">
        <v>380</v>
      </c>
      <c r="K26" s="19" t="s">
        <v>381</v>
      </c>
      <c r="L26" s="19" t="s">
        <v>46</v>
      </c>
      <c r="M26" s="19" t="s">
        <v>382</v>
      </c>
      <c r="N26" s="19" t="s">
        <v>383</v>
      </c>
      <c r="O26" s="19" t="s">
        <v>384</v>
      </c>
      <c r="P26" s="19" t="s">
        <v>385</v>
      </c>
    </row>
    <row r="27" spans="1:18" ht="65.25" customHeight="1" x14ac:dyDescent="0.25">
      <c r="A27" s="19"/>
      <c r="B27" s="19"/>
      <c r="C27" s="19"/>
      <c r="D27" s="19"/>
      <c r="E27" s="19">
        <v>7</v>
      </c>
      <c r="F27" s="19" t="s">
        <v>587</v>
      </c>
      <c r="G27" s="19" t="s">
        <v>47</v>
      </c>
      <c r="H27" s="19" t="s">
        <v>386</v>
      </c>
      <c r="I27" s="19" t="s">
        <v>387</v>
      </c>
      <c r="J27" s="19" t="s">
        <v>388</v>
      </c>
      <c r="K27" s="19" t="s">
        <v>389</v>
      </c>
      <c r="L27" s="19" t="s">
        <v>48</v>
      </c>
      <c r="M27" s="19" t="s">
        <v>390</v>
      </c>
      <c r="N27" s="19" t="s">
        <v>391</v>
      </c>
      <c r="O27" s="19" t="s">
        <v>392</v>
      </c>
      <c r="P27" s="19" t="s">
        <v>393</v>
      </c>
    </row>
    <row r="28" spans="1:18" ht="65.25" customHeight="1" x14ac:dyDescent="0.25">
      <c r="A28" s="19"/>
      <c r="B28" s="19"/>
      <c r="C28" s="19"/>
      <c r="D28" s="19"/>
      <c r="E28" s="19">
        <v>8</v>
      </c>
      <c r="F28" s="19" t="s">
        <v>394</v>
      </c>
      <c r="G28" s="19" t="s">
        <v>49</v>
      </c>
      <c r="H28" s="19" t="s">
        <v>395</v>
      </c>
      <c r="I28" s="19" t="s">
        <v>396</v>
      </c>
      <c r="J28" s="19" t="s">
        <v>397</v>
      </c>
      <c r="K28" s="19" t="s">
        <v>398</v>
      </c>
      <c r="L28" s="19" t="s">
        <v>50</v>
      </c>
      <c r="M28" s="19" t="s">
        <v>399</v>
      </c>
      <c r="N28" s="19" t="s">
        <v>400</v>
      </c>
      <c r="O28" s="19" t="s">
        <v>401</v>
      </c>
      <c r="P28" s="19" t="s">
        <v>402</v>
      </c>
    </row>
    <row r="29" spans="1:18" ht="65.25" customHeight="1" x14ac:dyDescent="0.25">
      <c r="A29" s="19"/>
      <c r="B29" s="19"/>
      <c r="C29" s="19"/>
      <c r="D29" s="19"/>
      <c r="E29" s="19">
        <v>9</v>
      </c>
      <c r="F29" s="19" t="s">
        <v>403</v>
      </c>
      <c r="G29" s="19" t="s">
        <v>51</v>
      </c>
      <c r="H29" s="19" t="s">
        <v>404</v>
      </c>
      <c r="I29" s="19" t="s">
        <v>405</v>
      </c>
      <c r="J29" s="19" t="s">
        <v>406</v>
      </c>
      <c r="K29" s="19" t="s">
        <v>407</v>
      </c>
      <c r="L29" s="19" t="s">
        <v>52</v>
      </c>
      <c r="M29" s="19" t="s">
        <v>408</v>
      </c>
      <c r="N29" s="19" t="s">
        <v>409</v>
      </c>
      <c r="O29" s="19" t="s">
        <v>410</v>
      </c>
      <c r="P29" s="19" t="s">
        <v>411</v>
      </c>
    </row>
    <row r="30" spans="1:18" ht="65.25" customHeight="1" x14ac:dyDescent="0.25">
      <c r="A30" s="19"/>
      <c r="B30" s="19"/>
      <c r="C30" s="19"/>
      <c r="D30" s="19"/>
      <c r="E30" s="19">
        <v>10</v>
      </c>
      <c r="F30" s="19" t="s">
        <v>412</v>
      </c>
      <c r="G30" s="19" t="s">
        <v>53</v>
      </c>
      <c r="H30" s="19" t="s">
        <v>413</v>
      </c>
      <c r="I30" s="19" t="s">
        <v>414</v>
      </c>
      <c r="J30" s="19" t="s">
        <v>415</v>
      </c>
      <c r="K30" s="19" t="s">
        <v>416</v>
      </c>
      <c r="L30" s="19" t="s">
        <v>54</v>
      </c>
      <c r="M30" s="19" t="s">
        <v>417</v>
      </c>
      <c r="N30" s="19" t="s">
        <v>418</v>
      </c>
      <c r="O30" s="19" t="s">
        <v>419</v>
      </c>
      <c r="P30" s="19" t="s">
        <v>420</v>
      </c>
    </row>
    <row r="31" spans="1:18" ht="65.25" customHeight="1" x14ac:dyDescent="0.25">
      <c r="A31" s="19"/>
      <c r="B31" s="19"/>
      <c r="C31" s="19"/>
      <c r="D31" s="19"/>
      <c r="E31" s="19"/>
      <c r="F31" s="19" t="s">
        <v>1861</v>
      </c>
      <c r="G31" t="s">
        <v>1862</v>
      </c>
      <c r="H31" s="19" t="s">
        <v>1863</v>
      </c>
      <c r="I31" s="19" t="s">
        <v>1864</v>
      </c>
      <c r="J31" s="19" t="s">
        <v>1865</v>
      </c>
      <c r="K31" s="34" t="s">
        <v>1866</v>
      </c>
      <c r="L31" t="s">
        <v>1867</v>
      </c>
      <c r="M31" s="34" t="s">
        <v>1868</v>
      </c>
      <c r="N31" s="34" t="s">
        <v>1869</v>
      </c>
      <c r="O31" s="34" t="s">
        <v>1870</v>
      </c>
      <c r="P31" s="34" t="s">
        <v>1871</v>
      </c>
    </row>
    <row r="32" spans="1:18" ht="65.25" customHeight="1" x14ac:dyDescent="0.25">
      <c r="A32" s="19"/>
      <c r="B32" s="19"/>
      <c r="C32" s="19"/>
      <c r="D32" s="19"/>
      <c r="E32" s="19"/>
      <c r="F32" s="19"/>
      <c r="G32" s="19"/>
      <c r="H32" s="19"/>
      <c r="I32" s="19"/>
      <c r="J32" s="19"/>
      <c r="K32" s="19"/>
      <c r="L32" s="19"/>
      <c r="M32" s="19"/>
      <c r="N32" s="19"/>
      <c r="O32" s="19"/>
      <c r="P32" s="19"/>
    </row>
    <row r="33" spans="1:20" ht="65.25" customHeight="1" x14ac:dyDescent="0.25">
      <c r="A33" s="19"/>
      <c r="B33" s="19"/>
      <c r="C33" s="19"/>
      <c r="D33" s="19"/>
      <c r="E33" s="19"/>
      <c r="F33" s="19"/>
      <c r="G33" s="19"/>
      <c r="H33" s="19"/>
      <c r="I33" s="19"/>
      <c r="J33" s="19"/>
      <c r="K33" s="19"/>
      <c r="L33" s="19"/>
      <c r="M33" s="19"/>
      <c r="N33" s="19"/>
      <c r="O33" s="19"/>
      <c r="P33" s="19"/>
    </row>
    <row r="34" spans="1:20" ht="65.25" customHeight="1" x14ac:dyDescent="0.25">
      <c r="A34" s="19"/>
      <c r="B34" s="19"/>
      <c r="C34" s="19"/>
      <c r="D34" s="19"/>
      <c r="E34" s="19"/>
      <c r="F34" s="19"/>
      <c r="G34" s="19"/>
      <c r="H34" s="19"/>
      <c r="I34" s="19"/>
      <c r="J34" s="19"/>
      <c r="K34" s="19"/>
      <c r="L34" s="19"/>
      <c r="M34" s="19"/>
      <c r="N34" s="19"/>
      <c r="O34" s="19"/>
      <c r="P34" s="19"/>
    </row>
    <row r="35" spans="1:20" ht="65.25" customHeight="1" x14ac:dyDescent="0.25">
      <c r="A35" s="19"/>
      <c r="B35" s="19"/>
      <c r="C35" s="19"/>
      <c r="D35" s="19"/>
      <c r="E35" s="19"/>
      <c r="F35" s="19"/>
      <c r="G35" s="19"/>
      <c r="H35" s="19"/>
      <c r="I35" s="19"/>
      <c r="J35" s="19"/>
      <c r="K35" s="19"/>
      <c r="L35" s="19"/>
      <c r="M35" s="19"/>
      <c r="N35" s="19"/>
      <c r="O35" s="19"/>
      <c r="P35" s="19"/>
    </row>
    <row r="36" spans="1:20" ht="65.25" customHeight="1" x14ac:dyDescent="0.25">
      <c r="A36" s="20"/>
      <c r="B36" s="20"/>
      <c r="C36" s="20">
        <v>3</v>
      </c>
      <c r="D36" s="20" t="s">
        <v>188</v>
      </c>
      <c r="E36" s="20">
        <v>1</v>
      </c>
      <c r="F36" s="20" t="s">
        <v>2290</v>
      </c>
      <c r="G36" s="20" t="s">
        <v>2380</v>
      </c>
      <c r="H36" s="20" t="s">
        <v>2324</v>
      </c>
      <c r="I36" s="20" t="s">
        <v>2335</v>
      </c>
      <c r="J36" s="20" t="s">
        <v>2336</v>
      </c>
      <c r="K36" s="20" t="s">
        <v>2315</v>
      </c>
      <c r="L36" s="20" t="s">
        <v>2381</v>
      </c>
      <c r="M36" s="20" t="str">
        <f>CONCATENATE("a) ",I36)</f>
        <v>a) c) 95% percent of the population is covered by health insurance</v>
      </c>
      <c r="N36" s="20" t="s">
        <v>681</v>
      </c>
      <c r="O36" s="20" t="s">
        <v>651</v>
      </c>
      <c r="P36" s="20" t="s">
        <v>2306</v>
      </c>
      <c r="Q36" s="1" t="str">
        <f>CONCATENATE("c) ",I36)</f>
        <v>c) c) 95% percent of the population is covered by health insurance</v>
      </c>
      <c r="R36" s="1" t="str">
        <f>CONCATENATE("b) ",J36)</f>
        <v>b) b) People who are shown to be prone to illness find it difficult to obtain health insurance</v>
      </c>
      <c r="S36" s="1" t="str">
        <f>CONCATENATE("b) ",N36)</f>
        <v>b) b) Dealing with legal issues can prove costly for doctors</v>
      </c>
      <c r="T36" s="1" t="str">
        <f>CONCATENATE("c) ",O36)</f>
        <v>c) c) He doesn’t remember his violent dreams</v>
      </c>
    </row>
    <row r="37" spans="1:20" ht="65.25" customHeight="1" x14ac:dyDescent="0.25">
      <c r="A37" s="20"/>
      <c r="B37" s="20"/>
      <c r="C37" s="20"/>
      <c r="D37" s="20" t="s">
        <v>2105</v>
      </c>
      <c r="E37" s="20">
        <v>2</v>
      </c>
      <c r="F37" s="20" t="s">
        <v>2291</v>
      </c>
      <c r="G37" s="20" t="s">
        <v>2382</v>
      </c>
      <c r="H37" s="20" t="s">
        <v>650</v>
      </c>
      <c r="I37" s="20" t="s">
        <v>2337</v>
      </c>
      <c r="J37" s="20" t="s">
        <v>2338</v>
      </c>
      <c r="K37" s="20" t="s">
        <v>652</v>
      </c>
      <c r="L37" s="20" t="s">
        <v>2383</v>
      </c>
      <c r="M37" s="20" t="str">
        <f t="shared" ref="M37:M51" si="2">CONCATENATE("a) ",I37)</f>
        <v>a) c) He is influenced by an overactive imagination</v>
      </c>
      <c r="N37" s="20" t="s">
        <v>2366</v>
      </c>
      <c r="O37" s="20" t="s">
        <v>653</v>
      </c>
      <c r="P37" s="20" t="s">
        <v>654</v>
      </c>
      <c r="Q37" s="1" t="str">
        <f t="shared" ref="Q37:Q51" si="3">CONCATENATE("c) ",I37)</f>
        <v>c) c) He is influenced by an overactive imagination</v>
      </c>
      <c r="R37" s="1" t="str">
        <f t="shared" ref="R37:R51" si="4">CONCATENATE("b) ",J37)</f>
        <v>b) b) c) Indestructibility</v>
      </c>
      <c r="S37" s="1" t="str">
        <f t="shared" ref="S37:S51" si="5">CONCATENATE("b) ",N37)</f>
        <v>b) b) Been absolved of committing crimes while sleepwalking</v>
      </c>
      <c r="T37" s="1" t="str">
        <f t="shared" ref="T37:T51" si="6">CONCATENATE("c) ",O37)</f>
        <v>c) c) Pretended to be asleep while committing a crime</v>
      </c>
    </row>
    <row r="38" spans="1:20" ht="65.25" customHeight="1" x14ac:dyDescent="0.25">
      <c r="A38" s="20"/>
      <c r="B38" s="20"/>
      <c r="C38" s="20"/>
      <c r="D38" s="20" t="s">
        <v>421</v>
      </c>
      <c r="E38" s="20">
        <v>3</v>
      </c>
      <c r="F38" s="20" t="s">
        <v>2292</v>
      </c>
      <c r="G38" s="20" t="s">
        <v>2384</v>
      </c>
      <c r="H38" s="20" t="s">
        <v>655</v>
      </c>
      <c r="I38" s="20" t="s">
        <v>2339</v>
      </c>
      <c r="J38" s="20" t="s">
        <v>2340</v>
      </c>
      <c r="K38" s="20" t="s">
        <v>656</v>
      </c>
      <c r="L38" s="20" t="s">
        <v>2385</v>
      </c>
      <c r="M38" s="20" t="str">
        <f t="shared" si="2"/>
        <v>a) c) Is typically Bolivian</v>
      </c>
      <c r="N38" s="20" t="s">
        <v>657</v>
      </c>
      <c r="O38" s="20" t="s">
        <v>658</v>
      </c>
      <c r="P38" s="20" t="s">
        <v>659</v>
      </c>
      <c r="Q38" s="1" t="str">
        <f t="shared" si="3"/>
        <v>c) c) Is typically Bolivian</v>
      </c>
      <c r="R38" s="1" t="str">
        <f t="shared" si="4"/>
        <v>b) b) Differs from his fellow countrymen regarding promptness</v>
      </c>
      <c r="S38" s="1" t="str">
        <f t="shared" si="5"/>
        <v>b) b) Penalize Bolivians who arrive late for work</v>
      </c>
      <c r="T38" s="1" t="str">
        <f t="shared" si="6"/>
        <v>c) c) Change the national habit of arriving late in many different circumstances</v>
      </c>
    </row>
    <row r="39" spans="1:20" ht="65.25" customHeight="1" x14ac:dyDescent="0.25">
      <c r="A39" s="20"/>
      <c r="B39" s="20"/>
      <c r="C39" s="20"/>
      <c r="D39" s="20"/>
      <c r="E39" s="20">
        <v>4</v>
      </c>
      <c r="F39" s="20" t="s">
        <v>2293</v>
      </c>
      <c r="G39" s="20" t="s">
        <v>2386</v>
      </c>
      <c r="H39" s="20" t="s">
        <v>660</v>
      </c>
      <c r="I39" s="20" t="s">
        <v>661</v>
      </c>
      <c r="J39" s="20" t="s">
        <v>2341</v>
      </c>
      <c r="K39" s="20" t="s">
        <v>662</v>
      </c>
      <c r="L39" s="20" t="s">
        <v>2387</v>
      </c>
      <c r="M39" s="20" t="str">
        <f t="shared" si="2"/>
        <v>a) c) Approve the use of proper nouns in Scrabble</v>
      </c>
      <c r="N39" s="20" t="s">
        <v>665</v>
      </c>
      <c r="O39" s="20" t="s">
        <v>663</v>
      </c>
      <c r="P39" s="20" t="s">
        <v>664</v>
      </c>
      <c r="Q39" s="1" t="str">
        <f t="shared" si="3"/>
        <v>c) c) Approve the use of proper nouns in Scrabble</v>
      </c>
      <c r="R39" s="1" t="str">
        <f t="shared" si="4"/>
        <v>b) b) Eliminate the use of proper nouns in Scrabble</v>
      </c>
      <c r="S39" s="1" t="str">
        <f t="shared" si="5"/>
        <v>b) b) Scrabble will appeal more to intellectual fans</v>
      </c>
      <c r="T39" s="1" t="str">
        <f t="shared" si="6"/>
        <v>c) c) Scrabble will become more difficult</v>
      </c>
    </row>
    <row r="40" spans="1:20" ht="65.25" customHeight="1" x14ac:dyDescent="0.25">
      <c r="A40" s="20"/>
      <c r="B40" s="20"/>
      <c r="C40" s="20"/>
      <c r="D40" s="20"/>
      <c r="E40" s="20">
        <v>5</v>
      </c>
      <c r="F40" s="20" t="s">
        <v>2294</v>
      </c>
      <c r="G40" s="20" t="s">
        <v>2388</v>
      </c>
      <c r="H40" s="20" t="s">
        <v>666</v>
      </c>
      <c r="I40" s="20" t="s">
        <v>2342</v>
      </c>
      <c r="J40" s="20" t="s">
        <v>2343</v>
      </c>
      <c r="K40" s="20" t="s">
        <v>667</v>
      </c>
      <c r="L40" s="20" t="s">
        <v>2389</v>
      </c>
      <c r="M40" s="20" t="str">
        <f t="shared" si="2"/>
        <v>a) c) Cynical</v>
      </c>
      <c r="N40" s="20" t="s">
        <v>2367</v>
      </c>
      <c r="O40" s="20" t="s">
        <v>668</v>
      </c>
      <c r="P40" s="20" t="s">
        <v>2307</v>
      </c>
      <c r="Q40" s="1" t="str">
        <f t="shared" si="3"/>
        <v>c) c) Cynical</v>
      </c>
      <c r="R40" s="1" t="str">
        <f t="shared" si="4"/>
        <v>b) b) Pessimistic</v>
      </c>
      <c r="S40" s="1" t="str">
        <f t="shared" si="5"/>
        <v>b) b) Emulate the British tradition of publishing April Fools’ Day jokes in the press</v>
      </c>
      <c r="T40" s="1" t="str">
        <f t="shared" si="6"/>
        <v>c) c) Replace the mayor of Jafr</v>
      </c>
    </row>
    <row r="41" spans="1:20" ht="65.25" customHeight="1" x14ac:dyDescent="0.25">
      <c r="A41" s="20"/>
      <c r="B41" s="20"/>
      <c r="C41" s="20"/>
      <c r="D41" s="20"/>
      <c r="E41" s="20">
        <v>6</v>
      </c>
      <c r="F41" s="20" t="s">
        <v>2295</v>
      </c>
      <c r="G41" s="20" t="s">
        <v>2390</v>
      </c>
      <c r="H41" s="20" t="s">
        <v>2325</v>
      </c>
      <c r="I41" s="20" t="s">
        <v>2344</v>
      </c>
      <c r="J41" s="20" t="s">
        <v>2345</v>
      </c>
      <c r="K41" s="20" t="s">
        <v>2316</v>
      </c>
      <c r="L41" s="20" t="s">
        <v>2391</v>
      </c>
      <c r="M41" s="20" t="str">
        <f t="shared" si="2"/>
        <v>a) c) Bill Gates’ ideas have fallen behind the times</v>
      </c>
      <c r="N41" s="20" t="s">
        <v>670</v>
      </c>
      <c r="O41" s="20" t="s">
        <v>669</v>
      </c>
      <c r="P41" s="20" t="s">
        <v>2308</v>
      </c>
      <c r="Q41" s="1" t="str">
        <f t="shared" si="3"/>
        <v>c) c) Bill Gates’ ideas have fallen behind the times</v>
      </c>
      <c r="R41" s="1" t="str">
        <f t="shared" si="4"/>
        <v>b) b) The ideals of environmentalists and those of Bill Gates diverge on the nuclear issue</v>
      </c>
      <c r="S41" s="1" t="str">
        <f t="shared" si="5"/>
        <v>b) b) Is certain that the micro-reactors will begin production in 2014</v>
      </c>
      <c r="T41" s="1" t="str">
        <f t="shared" si="6"/>
        <v>c) c) Will negotiate with Toshiba in 2014</v>
      </c>
    </row>
    <row r="42" spans="1:20" ht="65.25" customHeight="1" x14ac:dyDescent="0.25">
      <c r="A42" s="20"/>
      <c r="B42" s="20"/>
      <c r="C42" s="20"/>
      <c r="D42" s="20"/>
      <c r="E42" s="20">
        <v>7</v>
      </c>
      <c r="F42" s="20" t="s">
        <v>2296</v>
      </c>
      <c r="G42" s="20" t="s">
        <v>2392</v>
      </c>
      <c r="H42" s="20" t="s">
        <v>2326</v>
      </c>
      <c r="I42" s="20" t="s">
        <v>2346</v>
      </c>
      <c r="J42" s="20" t="s">
        <v>2347</v>
      </c>
      <c r="K42" s="20" t="s">
        <v>679</v>
      </c>
      <c r="L42" s="20" t="s">
        <v>2393</v>
      </c>
      <c r="M42" s="20" t="str">
        <f t="shared" si="2"/>
        <v>a) c) There will be a downturn in the growth rate of the U.S. population</v>
      </c>
      <c r="N42" s="20" t="s">
        <v>2368</v>
      </c>
      <c r="O42" s="20" t="s">
        <v>2369</v>
      </c>
      <c r="P42" s="20" t="s">
        <v>2309</v>
      </c>
      <c r="Q42" s="1" t="str">
        <f t="shared" si="3"/>
        <v>c) c) There will be a downturn in the growth rate of the U.S. population</v>
      </c>
      <c r="R42" s="1" t="str">
        <f t="shared" si="4"/>
        <v>b) b) The U.S. population will be resourceful and youthful</v>
      </c>
      <c r="S42" s="1" t="str">
        <f t="shared" si="5"/>
        <v>b) b) The U.S. is experiencing a renewed growth as a result of its past</v>
      </c>
      <c r="T42" s="1" t="str">
        <f t="shared" si="6"/>
        <v>c) c) ) The U.S. will experience a decline in economic growth</v>
      </c>
    </row>
    <row r="43" spans="1:20" ht="65.25" customHeight="1" x14ac:dyDescent="0.25">
      <c r="A43" s="20"/>
      <c r="B43" s="20"/>
      <c r="C43" s="20"/>
      <c r="D43" s="20"/>
      <c r="E43" s="20">
        <v>8</v>
      </c>
      <c r="F43" s="20" t="s">
        <v>2297</v>
      </c>
      <c r="G43" s="20" t="s">
        <v>2394</v>
      </c>
      <c r="H43" s="20" t="s">
        <v>2327</v>
      </c>
      <c r="I43" s="20" t="s">
        <v>2348</v>
      </c>
      <c r="J43" s="20" t="s">
        <v>2349</v>
      </c>
      <c r="K43" s="20" t="s">
        <v>680</v>
      </c>
      <c r="L43" s="20" t="s">
        <v>2395</v>
      </c>
      <c r="M43" s="20" t="str">
        <f t="shared" si="2"/>
        <v>a) c) Judges have less power than previously to decide whether a noncitizen will be deported after committing a crime</v>
      </c>
      <c r="N43" s="20" t="s">
        <v>671</v>
      </c>
      <c r="O43" s="20" t="s">
        <v>672</v>
      </c>
      <c r="P43" s="20" t="s">
        <v>673</v>
      </c>
      <c r="Q43" s="1" t="str">
        <f t="shared" si="3"/>
        <v>c) c) Judges have less power than previously to decide whether a noncitizen will be deported after committing a crime</v>
      </c>
      <c r="R43" s="1" t="str">
        <f t="shared" si="4"/>
        <v>b) b) It is difficult for immigrants to obtain correct legal advice</v>
      </c>
      <c r="S43" s="1" t="str">
        <f t="shared" si="5"/>
        <v>b) b) A scrutiny of the current justice system</v>
      </c>
      <c r="T43" s="1" t="str">
        <f t="shared" si="6"/>
        <v>c) c) The appearance of a number of similar cases</v>
      </c>
    </row>
    <row r="44" spans="1:20" ht="65.25" customHeight="1" x14ac:dyDescent="0.25">
      <c r="A44" s="20"/>
      <c r="B44" s="20"/>
      <c r="C44" s="20"/>
      <c r="D44" s="20"/>
      <c r="E44" s="20">
        <v>9</v>
      </c>
      <c r="F44" s="20" t="s">
        <v>2298</v>
      </c>
      <c r="G44" s="20" t="s">
        <v>2396</v>
      </c>
      <c r="H44" s="20" t="s">
        <v>674</v>
      </c>
      <c r="I44" s="20" t="s">
        <v>2350</v>
      </c>
      <c r="J44" s="20" t="s">
        <v>2351</v>
      </c>
      <c r="K44" s="20" t="s">
        <v>675</v>
      </c>
      <c r="L44" s="20" t="s">
        <v>2397</v>
      </c>
      <c r="M44" s="20" t="str">
        <f t="shared" si="2"/>
        <v>a) c) Dictatorships inspire creative talent</v>
      </c>
      <c r="N44" s="20" t="s">
        <v>676</v>
      </c>
      <c r="O44" s="20" t="s">
        <v>677</v>
      </c>
      <c r="P44" s="20" t="s">
        <v>678</v>
      </c>
      <c r="Q44" s="1" t="str">
        <f t="shared" si="3"/>
        <v>c) c) Dictatorships inspire creative talent</v>
      </c>
      <c r="R44" s="1" t="str">
        <f t="shared" si="4"/>
        <v>b) b) To say that dictatorships are good for artistic life is ridiculous.</v>
      </c>
      <c r="S44" s="1" t="str">
        <f t="shared" si="5"/>
        <v>b) b) The highest ideals of literature and art came from the Soviet Union</v>
      </c>
      <c r="T44" s="1" t="str">
        <f t="shared" si="6"/>
        <v>c) c) Abstract expressionism arose during the cold war</v>
      </c>
    </row>
    <row r="45" spans="1:20" ht="65.25" customHeight="1" x14ac:dyDescent="0.25">
      <c r="A45" s="20"/>
      <c r="B45" s="20"/>
      <c r="C45" s="20"/>
      <c r="D45" s="20"/>
      <c r="E45" s="20">
        <v>10</v>
      </c>
      <c r="F45" s="20" t="s">
        <v>2299</v>
      </c>
      <c r="G45" s="20" t="s">
        <v>2398</v>
      </c>
      <c r="H45" s="20" t="s">
        <v>2328</v>
      </c>
      <c r="I45" s="20" t="s">
        <v>2352</v>
      </c>
      <c r="J45" s="20" t="s">
        <v>2353</v>
      </c>
      <c r="K45" s="20" t="s">
        <v>2317</v>
      </c>
      <c r="L45" s="20" t="s">
        <v>2399</v>
      </c>
      <c r="M45" s="20" t="str">
        <f t="shared" si="2"/>
        <v>a) c) The obesity problem in Malaysia is entirely due to the high number of fast-food restaurants</v>
      </c>
      <c r="N45" s="20" t="s">
        <v>2370</v>
      </c>
      <c r="O45" s="20" t="s">
        <v>2371</v>
      </c>
      <c r="P45" s="20" t="s">
        <v>2310</v>
      </c>
      <c r="Q45" s="1" t="str">
        <f t="shared" si="3"/>
        <v>c) c) The obesity problem in Malaysia is entirely due to the high number of fast-food restaurants</v>
      </c>
      <c r="R45" s="1" t="str">
        <f t="shared" si="4"/>
        <v>b) b) The obesity campaign was initiated by teachers</v>
      </c>
      <c r="S45" s="1" t="str">
        <f t="shared" si="5"/>
        <v>b) b) Note statistics on the weight of pupils</v>
      </c>
      <c r="T45" s="1" t="str">
        <f t="shared" si="6"/>
        <v>c) c) Start a campaign about the dangers of sugar</v>
      </c>
    </row>
    <row r="46" spans="1:20" ht="65.25" customHeight="1" x14ac:dyDescent="0.25">
      <c r="A46" s="20"/>
      <c r="B46" s="20"/>
      <c r="C46" s="20"/>
      <c r="D46" s="20"/>
      <c r="E46" s="20">
        <v>11</v>
      </c>
      <c r="F46" s="20" t="s">
        <v>2300</v>
      </c>
      <c r="G46" s="20" t="s">
        <v>2400</v>
      </c>
      <c r="H46" s="20" t="s">
        <v>2329</v>
      </c>
      <c r="I46" s="20" t="s">
        <v>2354</v>
      </c>
      <c r="J46" s="20" t="s">
        <v>2355</v>
      </c>
      <c r="K46" s="20" t="s">
        <v>2318</v>
      </c>
      <c r="L46" s="20" t="s">
        <v>2401</v>
      </c>
      <c r="M46" s="20" t="str">
        <f t="shared" si="2"/>
        <v>a) c) The indigenous population tried to prevent Mr. Correa from becoming president</v>
      </c>
      <c r="N46" s="20" t="s">
        <v>2372</v>
      </c>
      <c r="O46" s="20" t="s">
        <v>2373</v>
      </c>
      <c r="P46" s="20" t="s">
        <v>2311</v>
      </c>
      <c r="Q46" s="1" t="str">
        <f t="shared" si="3"/>
        <v>c) c) The indigenous population tried to prevent Mr. Correa from becoming president</v>
      </c>
      <c r="R46" s="1" t="str">
        <f t="shared" si="4"/>
        <v>b) b) President Correa has fulfilled earlier promises made to the indigenous population</v>
      </c>
      <c r="S46" s="1" t="str">
        <f t="shared" si="5"/>
        <v>b) b) The government of Ecuador was not invited to attend a summit on minority rights</v>
      </c>
      <c r="T46" s="1" t="str">
        <f t="shared" si="6"/>
        <v>c) c) Indigenous communities have contested a water law</v>
      </c>
    </row>
    <row r="47" spans="1:20" ht="65.25" customHeight="1" x14ac:dyDescent="0.25">
      <c r="A47" s="20"/>
      <c r="B47" s="20"/>
      <c r="C47" s="20"/>
      <c r="D47" s="20"/>
      <c r="E47" s="20">
        <v>12</v>
      </c>
      <c r="F47" s="20" t="s">
        <v>2301</v>
      </c>
      <c r="G47" s="20" t="s">
        <v>2402</v>
      </c>
      <c r="H47" s="20" t="s">
        <v>2330</v>
      </c>
      <c r="I47" s="20" t="s">
        <v>2356</v>
      </c>
      <c r="J47" s="20" t="s">
        <v>2357</v>
      </c>
      <c r="K47" s="20" t="s">
        <v>2319</v>
      </c>
      <c r="L47" s="20"/>
      <c r="M47" s="20" t="str">
        <f t="shared" si="2"/>
        <v>a) c) The firearm experiencing the most rapid sales growth is not stocked at Wal-Mart</v>
      </c>
      <c r="N47" s="20"/>
      <c r="O47" s="20"/>
      <c r="P47" s="20"/>
      <c r="Q47" s="1" t="str">
        <f t="shared" si="3"/>
        <v>c) c) The firearm experiencing the most rapid sales growth is not stocked at Wal-Mart</v>
      </c>
      <c r="R47" s="1" t="str">
        <f t="shared" si="4"/>
        <v>b) b) Wal-Mart stopped selling firearms due to customer protests</v>
      </c>
      <c r="S47" s="1" t="str">
        <f t="shared" si="5"/>
        <v xml:space="preserve">b) </v>
      </c>
      <c r="T47" s="1" t="str">
        <f t="shared" si="6"/>
        <v xml:space="preserve">c) </v>
      </c>
    </row>
    <row r="48" spans="1:20" ht="65.25" customHeight="1" x14ac:dyDescent="0.25">
      <c r="A48" s="20"/>
      <c r="B48" s="20"/>
      <c r="C48" s="20"/>
      <c r="D48" s="20"/>
      <c r="E48" s="20">
        <v>13</v>
      </c>
      <c r="F48" s="20" t="s">
        <v>2302</v>
      </c>
      <c r="G48" s="20" t="s">
        <v>2403</v>
      </c>
      <c r="H48" s="20" t="s">
        <v>2331</v>
      </c>
      <c r="I48" s="20" t="s">
        <v>2358</v>
      </c>
      <c r="J48" s="20" t="s">
        <v>2359</v>
      </c>
      <c r="K48" s="20" t="s">
        <v>2320</v>
      </c>
      <c r="L48" s="20"/>
      <c r="M48" s="20" t="str">
        <f t="shared" si="2"/>
        <v>a) c) The French auction house admitted that the statue is not genuine</v>
      </c>
      <c r="N48" s="20"/>
      <c r="O48" s="20"/>
      <c r="P48" s="20"/>
      <c r="Q48" s="1" t="str">
        <f t="shared" si="3"/>
        <v>c) c) The French auction house admitted that the statue is not genuine</v>
      </c>
      <c r="R48" s="1" t="str">
        <f t="shared" si="4"/>
        <v>b) b) The features of the statue were inconsistent with the culture it allegedly represents</v>
      </c>
      <c r="S48" s="1" t="str">
        <f t="shared" si="5"/>
        <v xml:space="preserve">b) </v>
      </c>
      <c r="T48" s="1" t="str">
        <f t="shared" si="6"/>
        <v xml:space="preserve">c) </v>
      </c>
    </row>
    <row r="49" spans="1:20" ht="65.25" customHeight="1" x14ac:dyDescent="0.25">
      <c r="A49" s="20"/>
      <c r="B49" s="20"/>
      <c r="C49" s="20"/>
      <c r="D49" s="20"/>
      <c r="E49" s="20">
        <v>14</v>
      </c>
      <c r="F49" s="20" t="s">
        <v>2303</v>
      </c>
      <c r="G49" s="20" t="s">
        <v>2404</v>
      </c>
      <c r="H49" s="20" t="s">
        <v>2332</v>
      </c>
      <c r="I49" s="20" t="s">
        <v>2360</v>
      </c>
      <c r="J49" s="20" t="s">
        <v>2361</v>
      </c>
      <c r="K49" s="20" t="s">
        <v>2321</v>
      </c>
      <c r="L49" s="20" t="s">
        <v>2405</v>
      </c>
      <c r="M49" s="20" t="str">
        <f t="shared" si="2"/>
        <v>a) c) 26 minutes is the ideal time for a nap</v>
      </c>
      <c r="N49" s="20" t="s">
        <v>2374</v>
      </c>
      <c r="O49" s="20" t="s">
        <v>2375</v>
      </c>
      <c r="P49" s="20" t="s">
        <v>2312</v>
      </c>
      <c r="Q49" s="1" t="str">
        <f t="shared" si="3"/>
        <v>c) c) 26 minutes is the ideal time for a nap</v>
      </c>
      <c r="R49" s="1" t="str">
        <f t="shared" si="4"/>
        <v>b) b) Combining coffee with a short nap will revive you</v>
      </c>
      <c r="S49" s="1" t="str">
        <f t="shared" si="5"/>
        <v>b) b) Has received union support</v>
      </c>
      <c r="T49" s="1" t="str">
        <f t="shared" si="6"/>
        <v>c) c) Is considered a danger to people involved in jobs with motoring or machinery</v>
      </c>
    </row>
    <row r="50" spans="1:20" ht="65.25" customHeight="1" x14ac:dyDescent="0.25">
      <c r="A50" s="20"/>
      <c r="B50" s="20"/>
      <c r="C50" s="20"/>
      <c r="D50" s="20"/>
      <c r="E50" s="20">
        <v>15</v>
      </c>
      <c r="F50" s="20" t="s">
        <v>2304</v>
      </c>
      <c r="G50" s="20" t="s">
        <v>2406</v>
      </c>
      <c r="H50" s="20" t="s">
        <v>2333</v>
      </c>
      <c r="I50" s="20" t="s">
        <v>2362</v>
      </c>
      <c r="J50" s="20" t="s">
        <v>2363</v>
      </c>
      <c r="K50" s="20" t="s">
        <v>2322</v>
      </c>
      <c r="L50" s="20" t="s">
        <v>2407</v>
      </c>
      <c r="M50" s="20" t="str">
        <f t="shared" si="2"/>
        <v>a) c) It has been possible to obtain a condensed version of ‘One Hundred Years of Solitude</v>
      </c>
      <c r="N50" s="20" t="s">
        <v>2376</v>
      </c>
      <c r="O50" s="20" t="s">
        <v>2377</v>
      </c>
      <c r="P50" s="20" t="s">
        <v>2313</v>
      </c>
      <c r="Q50" s="1" t="str">
        <f t="shared" si="3"/>
        <v>c) c) It has been possible to obtain a condensed version of ‘One Hundred Years of Solitude</v>
      </c>
      <c r="R50" s="1" t="str">
        <f t="shared" si="4"/>
        <v>b) b) It has been possible to obtain a copy of ‘One Hundred Years of Solitude’ by paying an excessive amount</v>
      </c>
      <c r="S50" s="1" t="str">
        <f t="shared" si="5"/>
        <v>b) b) Book publishers in China are not subdued by the crackdowns</v>
      </c>
      <c r="T50" s="1" t="str">
        <f t="shared" si="6"/>
        <v>c) c) The publication of ‘One Hundred Years of Solitude’ is not likely to create much interest in China</v>
      </c>
    </row>
    <row r="51" spans="1:20" ht="65.25" customHeight="1" x14ac:dyDescent="0.25">
      <c r="A51" s="20"/>
      <c r="B51" s="20"/>
      <c r="C51" s="20"/>
      <c r="D51" s="20"/>
      <c r="E51" s="20">
        <v>16</v>
      </c>
      <c r="F51" s="20" t="s">
        <v>2305</v>
      </c>
      <c r="G51" s="20" t="s">
        <v>2408</v>
      </c>
      <c r="H51" s="20" t="s">
        <v>2334</v>
      </c>
      <c r="I51" s="20" t="s">
        <v>2364</v>
      </c>
      <c r="J51" s="20" t="s">
        <v>2365</v>
      </c>
      <c r="K51" s="20" t="s">
        <v>2323</v>
      </c>
      <c r="L51" s="20" t="s">
        <v>2409</v>
      </c>
      <c r="M51" s="20" t="str">
        <f t="shared" si="2"/>
        <v>a) c) Losses for the manufacturing industry in the south</v>
      </c>
      <c r="N51" s="20" t="s">
        <v>2378</v>
      </c>
      <c r="O51" s="20" t="s">
        <v>2379</v>
      </c>
      <c r="P51" s="20" t="s">
        <v>2314</v>
      </c>
      <c r="Q51" s="1" t="str">
        <f t="shared" si="3"/>
        <v>c) c) Losses for the manufacturing industry in the south</v>
      </c>
      <c r="R51" s="1" t="str">
        <f t="shared" si="4"/>
        <v>b) b) The disfiguring of the landscape with the appearance of new cables</v>
      </c>
      <c r="S51" s="1" t="str">
        <f t="shared" si="5"/>
        <v>b) b) Local organizations could make decisions involving the energy sources in their areas</v>
      </c>
      <c r="T51" s="1" t="str">
        <f t="shared" si="6"/>
        <v>c) c) Use of coal could become widespread</v>
      </c>
    </row>
    <row r="52" spans="1:20" ht="65.25" customHeight="1" x14ac:dyDescent="0.25">
      <c r="A52" s="20"/>
      <c r="B52" s="20"/>
      <c r="C52" s="20"/>
      <c r="D52" s="20"/>
      <c r="E52" s="20"/>
      <c r="F52" s="20"/>
      <c r="G52" s="20"/>
      <c r="H52" s="20"/>
      <c r="I52" s="20"/>
      <c r="J52" s="20"/>
      <c r="K52" s="20"/>
      <c r="L52" s="20"/>
      <c r="M52" s="20"/>
      <c r="N52" s="20"/>
      <c r="O52" s="20"/>
      <c r="P52" s="20"/>
    </row>
    <row r="53" spans="1:20" ht="65.25" customHeight="1" x14ac:dyDescent="0.25">
      <c r="A53" s="22"/>
      <c r="B53" s="22"/>
      <c r="C53" s="22">
        <v>4</v>
      </c>
      <c r="D53" s="22" t="s">
        <v>330</v>
      </c>
      <c r="E53" s="22">
        <v>1</v>
      </c>
      <c r="F53" s="22" t="s">
        <v>1079</v>
      </c>
      <c r="G53" s="22" t="s">
        <v>1090</v>
      </c>
      <c r="H53" s="22" t="s">
        <v>1117</v>
      </c>
      <c r="I53" s="22" t="s">
        <v>1144</v>
      </c>
      <c r="J53" s="22" t="s">
        <v>1182</v>
      </c>
      <c r="K53" s="22" t="s">
        <v>1219</v>
      </c>
      <c r="L53" s="22" t="s">
        <v>1104</v>
      </c>
      <c r="M53" s="22" t="s">
        <v>1131</v>
      </c>
      <c r="N53" s="22" t="s">
        <v>1157</v>
      </c>
      <c r="O53" s="22" t="s">
        <v>1169</v>
      </c>
      <c r="P53" s="22" t="s">
        <v>1204</v>
      </c>
    </row>
    <row r="54" spans="1:20" ht="65.25" customHeight="1" x14ac:dyDescent="0.25">
      <c r="A54" s="22"/>
      <c r="B54" s="22"/>
      <c r="C54" s="22"/>
      <c r="D54" s="18" t="s">
        <v>2105</v>
      </c>
      <c r="E54" s="22">
        <v>2</v>
      </c>
      <c r="F54" s="22" t="s">
        <v>2268</v>
      </c>
      <c r="G54" s="22" t="s">
        <v>1091</v>
      </c>
      <c r="H54" s="22" t="s">
        <v>1118</v>
      </c>
      <c r="I54" s="22" t="s">
        <v>1145</v>
      </c>
      <c r="J54" s="22" t="s">
        <v>1183</v>
      </c>
      <c r="K54" s="22" t="s">
        <v>1220</v>
      </c>
      <c r="L54" s="22" t="s">
        <v>1105</v>
      </c>
      <c r="M54" s="22" t="s">
        <v>1132</v>
      </c>
      <c r="N54" s="22" t="s">
        <v>2269</v>
      </c>
      <c r="O54" s="22" t="s">
        <v>1170</v>
      </c>
      <c r="P54" s="22" t="s">
        <v>1205</v>
      </c>
    </row>
    <row r="55" spans="1:20" ht="65.25" customHeight="1" x14ac:dyDescent="0.25">
      <c r="A55" s="22"/>
      <c r="B55" s="22"/>
      <c r="C55" s="22"/>
      <c r="D55" s="22" t="s">
        <v>421</v>
      </c>
      <c r="E55" s="22">
        <v>3</v>
      </c>
      <c r="F55" s="22" t="s">
        <v>1080</v>
      </c>
      <c r="G55" s="34" t="s">
        <v>2270</v>
      </c>
      <c r="H55" t="s">
        <v>2271</v>
      </c>
      <c r="I55" t="s">
        <v>2272</v>
      </c>
      <c r="J55" t="s">
        <v>2273</v>
      </c>
      <c r="K55" t="s">
        <v>2274</v>
      </c>
      <c r="L55" s="34" t="s">
        <v>2275</v>
      </c>
      <c r="M55" t="s">
        <v>2276</v>
      </c>
      <c r="N55" t="s">
        <v>2277</v>
      </c>
      <c r="O55" t="s">
        <v>2278</v>
      </c>
      <c r="P55" t="s">
        <v>2279</v>
      </c>
    </row>
    <row r="56" spans="1:20" ht="65.25" customHeight="1" x14ac:dyDescent="0.25">
      <c r="A56" s="22"/>
      <c r="B56" s="22"/>
      <c r="C56" s="22"/>
      <c r="D56" s="22"/>
      <c r="E56" s="22">
        <v>4</v>
      </c>
      <c r="F56" s="22" t="s">
        <v>2280</v>
      </c>
      <c r="G56" s="22" t="s">
        <v>1092</v>
      </c>
      <c r="H56" s="22" t="s">
        <v>1119</v>
      </c>
      <c r="I56" s="22" t="s">
        <v>1146</v>
      </c>
      <c r="J56" s="22" t="s">
        <v>1184</v>
      </c>
      <c r="K56" s="22" t="s">
        <v>1221</v>
      </c>
      <c r="L56" s="22" t="s">
        <v>1106</v>
      </c>
      <c r="M56" s="22" t="s">
        <v>1133</v>
      </c>
      <c r="N56" s="22" t="s">
        <v>1158</v>
      </c>
      <c r="O56" s="22" t="s">
        <v>1171</v>
      </c>
      <c r="P56" s="22" t="s">
        <v>1206</v>
      </c>
    </row>
    <row r="57" spans="1:20" ht="65.25" customHeight="1" x14ac:dyDescent="0.25">
      <c r="A57" s="22"/>
      <c r="B57" s="22"/>
      <c r="C57" s="22"/>
      <c r="D57" s="22"/>
      <c r="E57" s="22">
        <v>5</v>
      </c>
      <c r="F57" s="22" t="s">
        <v>2281</v>
      </c>
      <c r="G57" s="22" t="s">
        <v>1093</v>
      </c>
      <c r="H57" s="22" t="s">
        <v>1120</v>
      </c>
      <c r="I57" s="22" t="s">
        <v>2283</v>
      </c>
      <c r="J57" s="22" t="s">
        <v>1185</v>
      </c>
      <c r="K57" s="22" t="s">
        <v>2282</v>
      </c>
      <c r="L57" s="34" t="s">
        <v>2284</v>
      </c>
      <c r="M57" t="s">
        <v>2285</v>
      </c>
      <c r="N57" t="s">
        <v>2286</v>
      </c>
      <c r="O57" t="s">
        <v>2287</v>
      </c>
      <c r="P57" t="s">
        <v>2288</v>
      </c>
    </row>
    <row r="58" spans="1:20" ht="65.25" customHeight="1" x14ac:dyDescent="0.25">
      <c r="A58" s="22"/>
      <c r="B58" s="22"/>
      <c r="C58" s="22"/>
      <c r="D58" s="22"/>
      <c r="E58" s="22">
        <v>6</v>
      </c>
      <c r="F58" s="22" t="s">
        <v>2289</v>
      </c>
      <c r="G58" s="22" t="s">
        <v>1094</v>
      </c>
      <c r="H58" s="22" t="s">
        <v>1121</v>
      </c>
      <c r="I58" s="22" t="s">
        <v>1147</v>
      </c>
      <c r="J58" s="22" t="s">
        <v>1186</v>
      </c>
      <c r="K58" s="22" t="s">
        <v>1217</v>
      </c>
      <c r="L58" s="22" t="s">
        <v>1107</v>
      </c>
      <c r="M58" s="22" t="s">
        <v>1134</v>
      </c>
      <c r="N58" s="22" t="s">
        <v>1159</v>
      </c>
      <c r="O58" s="22" t="s">
        <v>1172</v>
      </c>
      <c r="P58" s="22" t="s">
        <v>1207</v>
      </c>
    </row>
    <row r="59" spans="1:20" ht="65.25" customHeight="1" x14ac:dyDescent="0.25">
      <c r="A59" s="22"/>
      <c r="B59" s="22"/>
      <c r="C59" s="22"/>
      <c r="D59" s="22"/>
      <c r="E59" s="22">
        <v>7</v>
      </c>
      <c r="F59" s="22" t="s">
        <v>1081</v>
      </c>
      <c r="G59" s="22" t="s">
        <v>1095</v>
      </c>
      <c r="H59" s="22" t="s">
        <v>1122</v>
      </c>
      <c r="I59" s="22" t="s">
        <v>1148</v>
      </c>
      <c r="J59" s="22" t="s">
        <v>1187</v>
      </c>
      <c r="K59" s="22" t="s">
        <v>1218</v>
      </c>
      <c r="L59" s="22" t="s">
        <v>1108</v>
      </c>
      <c r="M59" s="22" t="s">
        <v>1135</v>
      </c>
      <c r="N59" s="22" t="s">
        <v>1160</v>
      </c>
      <c r="O59" s="22" t="s">
        <v>1173</v>
      </c>
      <c r="P59" s="22" t="s">
        <v>1208</v>
      </c>
    </row>
    <row r="60" spans="1:20" ht="65.25" customHeight="1" x14ac:dyDescent="0.25">
      <c r="A60" s="22"/>
      <c r="B60" s="22"/>
      <c r="C60" s="22"/>
      <c r="D60" s="22"/>
      <c r="E60" s="22">
        <v>8</v>
      </c>
      <c r="F60" s="22" t="s">
        <v>1082</v>
      </c>
      <c r="G60" s="22" t="s">
        <v>1096</v>
      </c>
      <c r="H60" s="22" t="s">
        <v>1123</v>
      </c>
      <c r="I60" s="22" t="s">
        <v>1149</v>
      </c>
      <c r="J60" s="22" t="s">
        <v>1188</v>
      </c>
      <c r="K60" s="22" t="s">
        <v>1196</v>
      </c>
      <c r="L60" s="22" t="s">
        <v>1109</v>
      </c>
      <c r="M60" s="22" t="s">
        <v>1136</v>
      </c>
      <c r="N60" s="22" t="s">
        <v>1161</v>
      </c>
      <c r="O60" s="22" t="s">
        <v>1174</v>
      </c>
      <c r="P60" s="22" t="s">
        <v>1209</v>
      </c>
    </row>
    <row r="61" spans="1:20" ht="65.25" customHeight="1" x14ac:dyDescent="0.25">
      <c r="A61" s="22"/>
      <c r="B61" s="22"/>
      <c r="C61" s="22"/>
      <c r="D61" s="22"/>
      <c r="E61" s="22">
        <v>9</v>
      </c>
      <c r="F61" s="22" t="s">
        <v>1083</v>
      </c>
      <c r="G61" s="22" t="s">
        <v>1097</v>
      </c>
      <c r="H61" s="22" t="s">
        <v>1124</v>
      </c>
      <c r="I61" s="22" t="s">
        <v>1150</v>
      </c>
      <c r="J61" s="22" t="s">
        <v>1189</v>
      </c>
      <c r="K61" s="22" t="s">
        <v>1197</v>
      </c>
      <c r="L61" s="22" t="s">
        <v>1110</v>
      </c>
      <c r="M61" s="22" t="s">
        <v>1137</v>
      </c>
      <c r="N61" s="22" t="s">
        <v>1162</v>
      </c>
      <c r="O61" s="22" t="s">
        <v>1175</v>
      </c>
      <c r="P61" s="22" t="s">
        <v>1210</v>
      </c>
    </row>
    <row r="62" spans="1:20" ht="65.25" customHeight="1" x14ac:dyDescent="0.25">
      <c r="A62" s="22"/>
      <c r="B62" s="22"/>
      <c r="C62" s="22"/>
      <c r="D62" s="22"/>
      <c r="E62" s="22">
        <v>10</v>
      </c>
      <c r="F62" s="22" t="s">
        <v>1084</v>
      </c>
      <c r="G62" s="22" t="s">
        <v>1098</v>
      </c>
      <c r="H62" s="22" t="s">
        <v>1125</v>
      </c>
      <c r="I62" s="22" t="s">
        <v>1151</v>
      </c>
      <c r="J62" s="22" t="s">
        <v>1190</v>
      </c>
      <c r="K62" s="22" t="s">
        <v>1198</v>
      </c>
      <c r="L62" s="22" t="s">
        <v>1111</v>
      </c>
      <c r="M62" s="22" t="s">
        <v>1138</v>
      </c>
      <c r="N62" s="22" t="s">
        <v>1163</v>
      </c>
      <c r="O62" s="22" t="s">
        <v>1176</v>
      </c>
      <c r="P62" s="22" t="s">
        <v>1211</v>
      </c>
    </row>
    <row r="63" spans="1:20" ht="65.25" customHeight="1" x14ac:dyDescent="0.25">
      <c r="A63" s="22"/>
      <c r="B63" s="22"/>
      <c r="C63" s="22"/>
      <c r="D63" s="22"/>
      <c r="E63" s="22">
        <v>11</v>
      </c>
      <c r="F63" s="22" t="s">
        <v>1085</v>
      </c>
      <c r="G63" s="22" t="s">
        <v>1099</v>
      </c>
      <c r="H63" s="22" t="s">
        <v>1126</v>
      </c>
      <c r="I63" s="22" t="s">
        <v>1152</v>
      </c>
      <c r="J63" s="22" t="s">
        <v>1191</v>
      </c>
      <c r="K63" s="22" t="s">
        <v>1199</v>
      </c>
      <c r="L63" s="22" t="s">
        <v>1112</v>
      </c>
      <c r="M63" s="22" t="s">
        <v>1139</v>
      </c>
      <c r="N63" s="22" t="s">
        <v>1164</v>
      </c>
      <c r="O63" s="22" t="s">
        <v>1177</v>
      </c>
      <c r="P63" s="22" t="s">
        <v>1212</v>
      </c>
    </row>
    <row r="64" spans="1:20" ht="65.25" customHeight="1" x14ac:dyDescent="0.25">
      <c r="A64" s="22"/>
      <c r="B64" s="22"/>
      <c r="C64" s="22"/>
      <c r="D64" s="22"/>
      <c r="E64" s="22">
        <v>12</v>
      </c>
      <c r="F64" s="22" t="s">
        <v>1086</v>
      </c>
      <c r="G64" s="22" t="s">
        <v>1100</v>
      </c>
      <c r="H64" s="22" t="s">
        <v>1127</v>
      </c>
      <c r="I64" s="22" t="s">
        <v>1153</v>
      </c>
      <c r="J64" s="22" t="s">
        <v>1192</v>
      </c>
      <c r="K64" s="22" t="s">
        <v>1200</v>
      </c>
      <c r="L64" s="22" t="s">
        <v>1113</v>
      </c>
      <c r="M64" s="22" t="s">
        <v>1140</v>
      </c>
      <c r="N64" s="22" t="s">
        <v>1165</v>
      </c>
      <c r="O64" s="22" t="s">
        <v>1178</v>
      </c>
      <c r="P64" s="22" t="s">
        <v>1213</v>
      </c>
    </row>
    <row r="65" spans="1:17" ht="65.25" customHeight="1" x14ac:dyDescent="0.25">
      <c r="A65" s="22"/>
      <c r="B65" s="22"/>
      <c r="C65" s="22"/>
      <c r="D65" s="22"/>
      <c r="E65" s="22">
        <v>13</v>
      </c>
      <c r="F65" s="22" t="s">
        <v>1087</v>
      </c>
      <c r="G65" s="22" t="s">
        <v>1101</v>
      </c>
      <c r="H65" s="22" t="s">
        <v>1128</v>
      </c>
      <c r="I65" s="22" t="s">
        <v>1154</v>
      </c>
      <c r="J65" s="22" t="s">
        <v>1193</v>
      </c>
      <c r="K65" s="22" t="s">
        <v>1201</v>
      </c>
      <c r="L65" s="22" t="s">
        <v>1114</v>
      </c>
      <c r="M65" s="22" t="s">
        <v>1141</v>
      </c>
      <c r="N65" s="22" t="s">
        <v>1166</v>
      </c>
      <c r="O65" s="22" t="s">
        <v>1179</v>
      </c>
      <c r="P65" s="22" t="s">
        <v>1214</v>
      </c>
    </row>
    <row r="66" spans="1:17" ht="65.25" customHeight="1" x14ac:dyDescent="0.25">
      <c r="A66" s="22"/>
      <c r="B66" s="22"/>
      <c r="C66" s="22"/>
      <c r="D66" s="22"/>
      <c r="E66" s="22">
        <v>14</v>
      </c>
      <c r="F66" s="22" t="s">
        <v>1088</v>
      </c>
      <c r="G66" s="22" t="s">
        <v>1102</v>
      </c>
      <c r="H66" s="22" t="s">
        <v>1129</v>
      </c>
      <c r="I66" s="22" t="s">
        <v>1155</v>
      </c>
      <c r="J66" s="22" t="s">
        <v>1194</v>
      </c>
      <c r="K66" s="22" t="s">
        <v>1202</v>
      </c>
      <c r="L66" s="22" t="s">
        <v>1115</v>
      </c>
      <c r="M66" s="22" t="s">
        <v>1142</v>
      </c>
      <c r="N66" s="22" t="s">
        <v>1167</v>
      </c>
      <c r="O66" s="22" t="s">
        <v>1180</v>
      </c>
      <c r="P66" s="22" t="s">
        <v>1215</v>
      </c>
    </row>
    <row r="67" spans="1:17" ht="65.25" customHeight="1" x14ac:dyDescent="0.25">
      <c r="A67" s="22"/>
      <c r="B67" s="22"/>
      <c r="C67" s="22"/>
      <c r="D67" s="22"/>
      <c r="E67" s="22">
        <v>15</v>
      </c>
      <c r="F67" s="22" t="s">
        <v>1089</v>
      </c>
      <c r="G67" s="22" t="s">
        <v>1103</v>
      </c>
      <c r="H67" s="22" t="s">
        <v>1130</v>
      </c>
      <c r="I67" s="22" t="s">
        <v>1156</v>
      </c>
      <c r="J67" s="22" t="s">
        <v>1195</v>
      </c>
      <c r="K67" s="22" t="s">
        <v>1203</v>
      </c>
      <c r="L67" s="22" t="s">
        <v>1116</v>
      </c>
      <c r="M67" s="22" t="s">
        <v>1143</v>
      </c>
      <c r="N67" s="22" t="s">
        <v>1168</v>
      </c>
      <c r="O67" s="22" t="s">
        <v>1181</v>
      </c>
      <c r="P67" s="22" t="s">
        <v>1216</v>
      </c>
    </row>
    <row r="68" spans="1:17" ht="74.25" customHeight="1" x14ac:dyDescent="0.25">
      <c r="A68" s="27"/>
      <c r="B68" s="27"/>
      <c r="C68" s="27">
        <v>5</v>
      </c>
      <c r="D68" s="27" t="s">
        <v>1249</v>
      </c>
      <c r="E68" s="27">
        <v>1</v>
      </c>
      <c r="F68" s="27" t="s">
        <v>1481</v>
      </c>
      <c r="G68" s="27" t="s">
        <v>1495</v>
      </c>
      <c r="H68" s="27" t="s">
        <v>1525</v>
      </c>
      <c r="I68" s="27" t="s">
        <v>1555</v>
      </c>
      <c r="J68" s="27" t="s">
        <v>1585</v>
      </c>
      <c r="K68" s="27" t="s">
        <v>1630</v>
      </c>
      <c r="L68" s="27" t="s">
        <v>1510</v>
      </c>
      <c r="M68" s="27" t="s">
        <v>1540</v>
      </c>
      <c r="N68" s="27" t="s">
        <v>1570</v>
      </c>
      <c r="O68" s="27" t="s">
        <v>1600</v>
      </c>
      <c r="P68" s="27" t="s">
        <v>1615</v>
      </c>
      <c r="Q68" s="1">
        <f>R68</f>
        <v>0</v>
      </c>
    </row>
    <row r="69" spans="1:17" ht="80.25" customHeight="1" x14ac:dyDescent="0.25">
      <c r="A69" s="27"/>
      <c r="B69" s="27"/>
      <c r="C69" s="27"/>
      <c r="D69" s="18" t="s">
        <v>2105</v>
      </c>
      <c r="E69" s="27">
        <v>2</v>
      </c>
      <c r="F69" s="27" t="s">
        <v>1482</v>
      </c>
      <c r="G69" s="27" t="s">
        <v>1496</v>
      </c>
      <c r="H69" s="27" t="s">
        <v>1526</v>
      </c>
      <c r="I69" s="27" t="s">
        <v>1556</v>
      </c>
      <c r="J69" s="27" t="s">
        <v>1586</v>
      </c>
      <c r="K69" s="27" t="s">
        <v>1631</v>
      </c>
      <c r="L69" s="27" t="s">
        <v>1511</v>
      </c>
      <c r="M69" s="27" t="s">
        <v>1541</v>
      </c>
      <c r="N69" s="27" t="s">
        <v>1571</v>
      </c>
      <c r="O69" s="27" t="s">
        <v>1601</v>
      </c>
      <c r="P69" s="27" t="s">
        <v>1616</v>
      </c>
      <c r="Q69" s="1" t="str">
        <f>Q3</f>
        <v xml:space="preserve">d) </v>
      </c>
    </row>
    <row r="70" spans="1:17" ht="90.75" customHeight="1" x14ac:dyDescent="0.25">
      <c r="A70" s="27"/>
      <c r="B70" s="27"/>
      <c r="C70" s="27"/>
      <c r="D70" s="27" t="s">
        <v>421</v>
      </c>
      <c r="E70" s="27">
        <v>3</v>
      </c>
      <c r="F70" s="27" t="s">
        <v>1645</v>
      </c>
      <c r="G70" s="27" t="s">
        <v>1497</v>
      </c>
      <c r="H70" s="27" t="s">
        <v>1527</v>
      </c>
      <c r="I70" s="27" t="s">
        <v>1557</v>
      </c>
      <c r="J70" s="27" t="s">
        <v>1587</v>
      </c>
      <c r="K70" s="27" t="s">
        <v>1632</v>
      </c>
      <c r="L70" s="27" t="s">
        <v>1512</v>
      </c>
      <c r="M70" s="27" t="s">
        <v>1542</v>
      </c>
      <c r="N70" s="27" t="s">
        <v>1572</v>
      </c>
      <c r="O70" s="27" t="s">
        <v>1602</v>
      </c>
      <c r="P70" s="27" t="s">
        <v>1617</v>
      </c>
      <c r="Q70" s="1" t="str">
        <f t="shared" ref="Q70:Q82" si="7">CONCATENATE("d) ",K70)</f>
        <v>d) d) Tropical.</v>
      </c>
    </row>
    <row r="71" spans="1:17" ht="409.5" x14ac:dyDescent="0.25">
      <c r="A71" s="27"/>
      <c r="B71" s="27"/>
      <c r="C71" s="27"/>
      <c r="D71" s="27"/>
      <c r="E71" s="27">
        <v>4</v>
      </c>
      <c r="F71" s="27" t="s">
        <v>1483</v>
      </c>
      <c r="G71" s="27" t="s">
        <v>1498</v>
      </c>
      <c r="H71" s="27" t="s">
        <v>1528</v>
      </c>
      <c r="I71" s="27" t="s">
        <v>1558</v>
      </c>
      <c r="J71" s="27" t="s">
        <v>1588</v>
      </c>
      <c r="K71" s="27" t="s">
        <v>1633</v>
      </c>
      <c r="L71" s="27" t="s">
        <v>1513</v>
      </c>
      <c r="M71" s="27" t="s">
        <v>1543</v>
      </c>
      <c r="N71" s="27" t="s">
        <v>1573</v>
      </c>
      <c r="O71" s="27" t="s">
        <v>1603</v>
      </c>
      <c r="P71" s="27" t="s">
        <v>1618</v>
      </c>
      <c r="Q71" s="1" t="str">
        <f>CONCATENATE("d) ",K71)</f>
        <v>d) d) Oxford University will increase the salary of the future Professor of Poetry.</v>
      </c>
    </row>
    <row r="72" spans="1:17" ht="51" customHeight="1" x14ac:dyDescent="0.25">
      <c r="A72" s="27"/>
      <c r="B72" s="27"/>
      <c r="C72" s="27"/>
      <c r="D72" s="27"/>
      <c r="E72" s="27">
        <v>5</v>
      </c>
      <c r="F72" s="27" t="s">
        <v>1484</v>
      </c>
      <c r="G72" s="27" t="s">
        <v>1499</v>
      </c>
      <c r="H72" s="27" t="s">
        <v>1529</v>
      </c>
      <c r="I72" s="27" t="s">
        <v>1559</v>
      </c>
      <c r="J72" s="27" t="s">
        <v>1589</v>
      </c>
      <c r="K72" s="27" t="s">
        <v>1634</v>
      </c>
      <c r="L72" s="27" t="s">
        <v>1514</v>
      </c>
      <c r="M72" s="27" t="s">
        <v>1544</v>
      </c>
      <c r="N72" s="27" t="s">
        <v>1574</v>
      </c>
      <c r="O72" s="27" t="s">
        <v>1604</v>
      </c>
      <c r="P72" s="27" t="s">
        <v>1619</v>
      </c>
      <c r="Q72" s="1" t="str">
        <f t="shared" si="7"/>
        <v>d) d) He cannot match the ability of either Messi, Ronaldo or Rooney.</v>
      </c>
    </row>
    <row r="73" spans="1:17" ht="56.25" customHeight="1" x14ac:dyDescent="0.25">
      <c r="A73" s="27"/>
      <c r="B73" s="27"/>
      <c r="C73" s="27"/>
      <c r="D73" s="27"/>
      <c r="E73" s="27">
        <v>6</v>
      </c>
      <c r="F73" s="27" t="s">
        <v>1485</v>
      </c>
      <c r="G73" s="27" t="s">
        <v>1500</v>
      </c>
      <c r="H73" s="27" t="s">
        <v>1530</v>
      </c>
      <c r="I73" s="27" t="s">
        <v>1560</v>
      </c>
      <c r="J73" s="27" t="s">
        <v>1590</v>
      </c>
      <c r="K73" s="27" t="s">
        <v>1635</v>
      </c>
      <c r="L73" s="27" t="s">
        <v>1515</v>
      </c>
      <c r="M73" s="27" t="s">
        <v>1545</v>
      </c>
      <c r="N73" s="27" t="s">
        <v>1575</v>
      </c>
      <c r="O73" s="27" t="s">
        <v>1605</v>
      </c>
      <c r="P73" s="27" t="s">
        <v>1620</v>
      </c>
      <c r="Q73" s="1" t="str">
        <f t="shared" si="7"/>
        <v>d) d) They have thought only of the far-reaching effects of their decisions.</v>
      </c>
    </row>
    <row r="74" spans="1:17" ht="62.25" customHeight="1" x14ac:dyDescent="0.25">
      <c r="A74" s="27"/>
      <c r="B74" s="27"/>
      <c r="C74" s="27"/>
      <c r="D74" s="27"/>
      <c r="E74" s="27">
        <v>7</v>
      </c>
      <c r="F74" s="27" t="s">
        <v>1486</v>
      </c>
      <c r="G74" s="27" t="s">
        <v>1501</v>
      </c>
      <c r="H74" s="27" t="s">
        <v>1531</v>
      </c>
      <c r="I74" s="27" t="s">
        <v>1561</v>
      </c>
      <c r="J74" s="27" t="s">
        <v>1591</v>
      </c>
      <c r="K74" s="27" t="s">
        <v>1636</v>
      </c>
      <c r="L74" s="27" t="s">
        <v>1516</v>
      </c>
      <c r="M74" s="27" t="s">
        <v>1546</v>
      </c>
      <c r="N74" s="27" t="s">
        <v>1576</v>
      </c>
      <c r="O74" s="27" t="s">
        <v>1606</v>
      </c>
      <c r="P74" s="27" t="s">
        <v>1621</v>
      </c>
      <c r="Q74" s="1" t="str">
        <f t="shared" si="7"/>
        <v xml:space="preserve">d) d) The opposition of China to the sanctions.  </v>
      </c>
    </row>
    <row r="75" spans="1:17" ht="80.25" customHeight="1" x14ac:dyDescent="0.25">
      <c r="A75" s="27"/>
      <c r="B75" s="27"/>
      <c r="C75" s="27"/>
      <c r="D75" s="27"/>
      <c r="E75" s="27">
        <v>8</v>
      </c>
      <c r="F75" s="27" t="s">
        <v>1487</v>
      </c>
      <c r="G75" s="27" t="s">
        <v>1502</v>
      </c>
      <c r="H75" s="27" t="s">
        <v>1532</v>
      </c>
      <c r="I75" s="27" t="s">
        <v>1562</v>
      </c>
      <c r="J75" s="27" t="s">
        <v>1592</v>
      </c>
      <c r="K75" s="27" t="s">
        <v>1637</v>
      </c>
      <c r="L75" s="27" t="s">
        <v>1517</v>
      </c>
      <c r="M75" s="27" t="s">
        <v>1547</v>
      </c>
      <c r="N75" s="27" t="s">
        <v>1577</v>
      </c>
      <c r="O75" s="27" t="s">
        <v>1607</v>
      </c>
      <c r="P75" s="27" t="s">
        <v>1622</v>
      </c>
      <c r="Q75" s="1" t="str">
        <f t="shared" si="7"/>
        <v>d) d) Outdated.</v>
      </c>
    </row>
    <row r="76" spans="1:17" ht="62.25" customHeight="1" x14ac:dyDescent="0.25">
      <c r="A76" s="27"/>
      <c r="B76" s="27"/>
      <c r="C76" s="27"/>
      <c r="D76" s="27"/>
      <c r="E76" s="27">
        <v>9</v>
      </c>
      <c r="F76" s="27" t="s">
        <v>1488</v>
      </c>
      <c r="G76" s="27" t="s">
        <v>1503</v>
      </c>
      <c r="H76" s="27" t="s">
        <v>1533</v>
      </c>
      <c r="I76" s="27" t="s">
        <v>1563</v>
      </c>
      <c r="J76" s="27" t="s">
        <v>1593</v>
      </c>
      <c r="K76" s="27" t="s">
        <v>1638</v>
      </c>
      <c r="L76" s="27" t="s">
        <v>1518</v>
      </c>
      <c r="M76" s="27" t="s">
        <v>1548</v>
      </c>
      <c r="N76" s="27" t="s">
        <v>1578</v>
      </c>
      <c r="O76" s="27" t="s">
        <v>1608</v>
      </c>
      <c r="P76" s="27" t="s">
        <v>1623</v>
      </c>
      <c r="Q76" s="1" t="str">
        <f t="shared" si="7"/>
        <v>d) d) Losing credibility among film-makers.</v>
      </c>
    </row>
    <row r="77" spans="1:17" ht="66" customHeight="1" x14ac:dyDescent="0.25">
      <c r="A77" s="27"/>
      <c r="B77" s="27"/>
      <c r="C77" s="27"/>
      <c r="D77" s="27"/>
      <c r="E77" s="27">
        <v>10</v>
      </c>
      <c r="F77" s="27" t="s">
        <v>1489</v>
      </c>
      <c r="G77" s="27" t="s">
        <v>1504</v>
      </c>
      <c r="H77" s="27" t="s">
        <v>1534</v>
      </c>
      <c r="I77" s="27" t="s">
        <v>1564</v>
      </c>
      <c r="J77" s="27" t="s">
        <v>1594</v>
      </c>
      <c r="K77" s="27" t="s">
        <v>1639</v>
      </c>
      <c r="L77" s="27" t="s">
        <v>1519</v>
      </c>
      <c r="M77" s="27" t="s">
        <v>1549</v>
      </c>
      <c r="N77" s="27" t="s">
        <v>1579</v>
      </c>
      <c r="O77" s="27" t="s">
        <v>1609</v>
      </c>
      <c r="P77" s="27" t="s">
        <v>1624</v>
      </c>
      <c r="Q77" s="1" t="str">
        <f t="shared" si="7"/>
        <v>d) d) Always inspired right-wing protests.</v>
      </c>
    </row>
    <row r="78" spans="1:17" ht="44.25" customHeight="1" x14ac:dyDescent="0.25">
      <c r="A78" s="27"/>
      <c r="B78" s="27"/>
      <c r="C78" s="27"/>
      <c r="D78" s="27"/>
      <c r="E78" s="27">
        <v>11</v>
      </c>
      <c r="F78" s="27" t="s">
        <v>1490</v>
      </c>
      <c r="G78" s="27" t="s">
        <v>1505</v>
      </c>
      <c r="H78" s="27" t="s">
        <v>1535</v>
      </c>
      <c r="I78" s="27" t="s">
        <v>1565</v>
      </c>
      <c r="J78" s="27" t="s">
        <v>1595</v>
      </c>
      <c r="K78" s="27" t="s">
        <v>1640</v>
      </c>
      <c r="L78" s="27" t="s">
        <v>1520</v>
      </c>
      <c r="M78" s="27" t="s">
        <v>1550</v>
      </c>
      <c r="N78" s="27" t="s">
        <v>1580</v>
      </c>
      <c r="O78" s="27" t="s">
        <v>1610</v>
      </c>
      <c r="P78" s="27" t="s">
        <v>1625</v>
      </c>
      <c r="Q78" s="1" t="str">
        <f t="shared" si="7"/>
        <v>d) d) The recent uprising in Thailand is solely a conflict between the poor and the establishment.</v>
      </c>
    </row>
    <row r="79" spans="1:17" ht="37.5" customHeight="1" x14ac:dyDescent="0.25">
      <c r="A79" s="27"/>
      <c r="B79" s="27"/>
      <c r="C79" s="27"/>
      <c r="D79" s="27"/>
      <c r="E79" s="27">
        <v>12</v>
      </c>
      <c r="F79" s="27" t="s">
        <v>1491</v>
      </c>
      <c r="G79" s="27" t="s">
        <v>1506</v>
      </c>
      <c r="H79" s="27" t="s">
        <v>1536</v>
      </c>
      <c r="I79" s="27" t="s">
        <v>1566</v>
      </c>
      <c r="J79" s="27" t="s">
        <v>1596</v>
      </c>
      <c r="K79" s="27" t="s">
        <v>1641</v>
      </c>
      <c r="L79" s="27" t="s">
        <v>1521</v>
      </c>
      <c r="M79" s="27" t="s">
        <v>1551</v>
      </c>
      <c r="N79" s="27" t="s">
        <v>1581</v>
      </c>
      <c r="O79" s="27" t="s">
        <v>1611</v>
      </c>
      <c r="P79" s="27" t="s">
        <v>1626</v>
      </c>
      <c r="Q79" s="1" t="str">
        <f t="shared" si="7"/>
        <v>d) d) Misgivings about Panama’s judicial system have been expressed.</v>
      </c>
    </row>
    <row r="80" spans="1:17" ht="53.25" customHeight="1" x14ac:dyDescent="0.25">
      <c r="A80" s="27"/>
      <c r="B80" s="27"/>
      <c r="C80" s="27"/>
      <c r="D80" s="27"/>
      <c r="E80" s="27">
        <v>13</v>
      </c>
      <c r="F80" s="27" t="s">
        <v>1492</v>
      </c>
      <c r="G80" s="27" t="s">
        <v>1507</v>
      </c>
      <c r="H80" s="27" t="s">
        <v>1537</v>
      </c>
      <c r="I80" s="27" t="s">
        <v>1567</v>
      </c>
      <c r="J80" s="27" t="s">
        <v>1597</v>
      </c>
      <c r="K80" s="27" t="s">
        <v>1642</v>
      </c>
      <c r="L80" s="27" t="s">
        <v>1522</v>
      </c>
      <c r="M80" s="27" t="s">
        <v>1552</v>
      </c>
      <c r="N80" s="27" t="s">
        <v>1582</v>
      </c>
      <c r="O80" s="27" t="s">
        <v>1612</v>
      </c>
      <c r="P80" s="27" t="s">
        <v>1627</v>
      </c>
      <c r="Q80" s="1" t="str">
        <f t="shared" si="7"/>
        <v xml:space="preserve">d) d) Existing settlements were destroyed. </v>
      </c>
    </row>
    <row r="81" spans="1:17" ht="47.25" customHeight="1" x14ac:dyDescent="0.25">
      <c r="A81" s="27"/>
      <c r="B81" s="27"/>
      <c r="C81" s="27"/>
      <c r="D81" s="27"/>
      <c r="E81" s="27">
        <v>14</v>
      </c>
      <c r="F81" s="27" t="s">
        <v>1493</v>
      </c>
      <c r="G81" s="27" t="s">
        <v>1508</v>
      </c>
      <c r="H81" s="27" t="s">
        <v>1538</v>
      </c>
      <c r="I81" s="27" t="s">
        <v>1568</v>
      </c>
      <c r="J81" s="27" t="s">
        <v>1598</v>
      </c>
      <c r="K81" s="27" t="s">
        <v>1643</v>
      </c>
      <c r="L81" s="27" t="s">
        <v>1523</v>
      </c>
      <c r="M81" s="27" t="s">
        <v>1553</v>
      </c>
      <c r="N81" s="27" t="s">
        <v>1583</v>
      </c>
      <c r="O81" s="27" t="s">
        <v>1613</v>
      </c>
      <c r="P81" s="27" t="s">
        <v>1628</v>
      </c>
      <c r="Q81" s="1" t="str">
        <f t="shared" si="7"/>
        <v>d) d) Most of the supporters of the Dream Act are from the Southern or Midwestern states.</v>
      </c>
    </row>
    <row r="82" spans="1:17" ht="60" customHeight="1" x14ac:dyDescent="0.25">
      <c r="A82" s="27"/>
      <c r="B82" s="27"/>
      <c r="C82" s="27"/>
      <c r="D82" s="27"/>
      <c r="E82" s="27">
        <v>15</v>
      </c>
      <c r="F82" s="27" t="s">
        <v>1494</v>
      </c>
      <c r="G82" s="27" t="s">
        <v>1509</v>
      </c>
      <c r="H82" s="27" t="s">
        <v>1539</v>
      </c>
      <c r="I82" s="27" t="s">
        <v>1569</v>
      </c>
      <c r="J82" s="27" t="s">
        <v>1599</v>
      </c>
      <c r="K82" s="27" t="s">
        <v>1644</v>
      </c>
      <c r="L82" s="27" t="s">
        <v>1524</v>
      </c>
      <c r="M82" s="27" t="s">
        <v>1554</v>
      </c>
      <c r="N82" s="27" t="s">
        <v>1584</v>
      </c>
      <c r="O82" s="27" t="s">
        <v>1614</v>
      </c>
      <c r="P82" s="27" t="s">
        <v>1629</v>
      </c>
      <c r="Q82" s="1" t="str">
        <f t="shared" si="7"/>
        <v>d) d) Younger speakers appear to be taking an interest in it.</v>
      </c>
    </row>
    <row r="83" spans="1:17" ht="9.75" customHeight="1" x14ac:dyDescent="0.25">
      <c r="A83" s="30"/>
      <c r="B83" s="30"/>
      <c r="C83" s="30">
        <v>6</v>
      </c>
      <c r="D83" s="30" t="s">
        <v>1668</v>
      </c>
      <c r="E83" s="30">
        <v>1</v>
      </c>
      <c r="F83" s="30" t="s">
        <v>1669</v>
      </c>
      <c r="G83" s="30" t="s">
        <v>1670</v>
      </c>
      <c r="H83" s="30" t="s">
        <v>1713</v>
      </c>
      <c r="I83" s="30" t="s">
        <v>1743</v>
      </c>
      <c r="J83" s="30" t="s">
        <v>1787</v>
      </c>
      <c r="K83" s="30" t="s">
        <v>1803</v>
      </c>
      <c r="L83" s="30" t="s">
        <v>1671</v>
      </c>
      <c r="M83" s="30" t="s">
        <v>1728</v>
      </c>
      <c r="N83" s="30" t="s">
        <v>1758</v>
      </c>
      <c r="O83" s="30" t="s">
        <v>1788</v>
      </c>
      <c r="P83" s="30" t="s">
        <v>1832</v>
      </c>
      <c r="Q83" s="1" t="str">
        <f>CONCATENATE("d) ",(P83))</f>
        <v>d) d) Demography will cease to influence government spending.</v>
      </c>
    </row>
    <row r="84" spans="1:17" ht="27.75" customHeight="1" x14ac:dyDescent="0.25">
      <c r="A84" s="30"/>
      <c r="B84" s="30"/>
      <c r="C84" s="30"/>
      <c r="D84" s="18" t="s">
        <v>2105</v>
      </c>
      <c r="E84" s="30">
        <v>2</v>
      </c>
      <c r="F84" s="30" t="s">
        <v>1672</v>
      </c>
      <c r="G84" s="30" t="s">
        <v>1673</v>
      </c>
      <c r="H84" s="30" t="s">
        <v>1714</v>
      </c>
      <c r="I84" s="30" t="s">
        <v>1744</v>
      </c>
      <c r="J84" s="30" t="s">
        <v>1773</v>
      </c>
      <c r="K84" s="30" t="s">
        <v>1804</v>
      </c>
      <c r="L84" s="30" t="s">
        <v>1674</v>
      </c>
      <c r="M84" s="30" t="s">
        <v>1729</v>
      </c>
      <c r="N84" s="30" t="s">
        <v>1759</v>
      </c>
      <c r="O84" s="30" t="s">
        <v>1789</v>
      </c>
      <c r="P84" s="30" t="s">
        <v>1818</v>
      </c>
      <c r="Q84" s="1" t="str">
        <f t="shared" ref="Q84:Q97" si="8">CONCATENATE("d) ",(P84))</f>
        <v>d) d) Canada will deny the U.S. A. access to the oil by pipeline.</v>
      </c>
    </row>
    <row r="85" spans="1:17" ht="31.5" customHeight="1" x14ac:dyDescent="0.25">
      <c r="A85" s="30"/>
      <c r="B85" s="30"/>
      <c r="C85" s="30"/>
      <c r="D85" s="30" t="s">
        <v>421</v>
      </c>
      <c r="E85" s="30">
        <v>3</v>
      </c>
      <c r="F85" s="30" t="s">
        <v>1675</v>
      </c>
      <c r="G85" s="30" t="s">
        <v>1676</v>
      </c>
      <c r="H85" s="30" t="s">
        <v>1715</v>
      </c>
      <c r="I85" s="30" t="s">
        <v>1745</v>
      </c>
      <c r="J85" s="30" t="s">
        <v>1774</v>
      </c>
      <c r="K85" s="30" t="s">
        <v>1805</v>
      </c>
      <c r="L85" s="30" t="s">
        <v>1677</v>
      </c>
      <c r="M85" s="30" t="s">
        <v>1730</v>
      </c>
      <c r="N85" s="30" t="s">
        <v>1760</v>
      </c>
      <c r="O85" s="30" t="s">
        <v>1790</v>
      </c>
      <c r="P85" s="30" t="s">
        <v>1819</v>
      </c>
      <c r="Q85" s="1" t="str">
        <f t="shared" si="8"/>
        <v>d) d) Galea’s assistant does not wish to be identified.</v>
      </c>
    </row>
    <row r="86" spans="1:17" ht="33.75" customHeight="1" x14ac:dyDescent="0.25">
      <c r="A86" s="30"/>
      <c r="B86" s="30"/>
      <c r="C86" s="30"/>
      <c r="D86" s="30"/>
      <c r="E86" s="30">
        <v>4</v>
      </c>
      <c r="F86" s="30" t="s">
        <v>1678</v>
      </c>
      <c r="G86" s="30" t="s">
        <v>1679</v>
      </c>
      <c r="H86" s="30" t="s">
        <v>1716</v>
      </c>
      <c r="I86" s="30" t="s">
        <v>1746</v>
      </c>
      <c r="J86" s="30" t="s">
        <v>1775</v>
      </c>
      <c r="K86" s="30" t="s">
        <v>1806</v>
      </c>
      <c r="L86" s="30" t="s">
        <v>1680</v>
      </c>
      <c r="M86" s="30" t="s">
        <v>1731</v>
      </c>
      <c r="N86" s="30" t="s">
        <v>1761</v>
      </c>
      <c r="O86" s="30" t="s">
        <v>1791</v>
      </c>
      <c r="P86" s="30" t="s">
        <v>1820</v>
      </c>
      <c r="Q86" s="1" t="str">
        <f t="shared" si="8"/>
        <v>d) d) Keen.</v>
      </c>
    </row>
    <row r="87" spans="1:17" ht="47.25" customHeight="1" x14ac:dyDescent="0.25">
      <c r="A87" s="30"/>
      <c r="B87" s="30"/>
      <c r="C87" s="30"/>
      <c r="D87" s="30"/>
      <c r="E87" s="30">
        <v>5</v>
      </c>
      <c r="F87" s="30" t="s">
        <v>1681</v>
      </c>
      <c r="G87" s="30" t="s">
        <v>1682</v>
      </c>
      <c r="H87" s="30" t="s">
        <v>1717</v>
      </c>
      <c r="I87" s="30" t="s">
        <v>1747</v>
      </c>
      <c r="J87" s="30" t="s">
        <v>1776</v>
      </c>
      <c r="K87" s="30" t="s">
        <v>1807</v>
      </c>
      <c r="L87" s="30" t="s">
        <v>1683</v>
      </c>
      <c r="M87" s="30" t="s">
        <v>1732</v>
      </c>
      <c r="N87" s="30" t="s">
        <v>1762</v>
      </c>
      <c r="O87" s="30" t="s">
        <v>1792</v>
      </c>
      <c r="P87" s="30" t="s">
        <v>1821</v>
      </c>
      <c r="Q87" s="1" t="str">
        <f t="shared" si="8"/>
        <v>d) d) Strenuous.</v>
      </c>
    </row>
    <row r="88" spans="1:17" ht="45" customHeight="1" x14ac:dyDescent="0.25">
      <c r="A88" s="30"/>
      <c r="B88" s="30"/>
      <c r="C88" s="30"/>
      <c r="D88" s="30"/>
      <c r="E88" s="30">
        <v>6</v>
      </c>
      <c r="F88" s="30" t="s">
        <v>1684</v>
      </c>
      <c r="G88" s="30" t="s">
        <v>1685</v>
      </c>
      <c r="H88" s="30" t="s">
        <v>1718</v>
      </c>
      <c r="I88" s="30" t="s">
        <v>1748</v>
      </c>
      <c r="J88" s="30" t="s">
        <v>1777</v>
      </c>
      <c r="K88" s="30" t="s">
        <v>1808</v>
      </c>
      <c r="L88" s="30" t="s">
        <v>1686</v>
      </c>
      <c r="M88" s="30" t="s">
        <v>1733</v>
      </c>
      <c r="N88" s="30" t="s">
        <v>1763</v>
      </c>
      <c r="O88" s="30" t="s">
        <v>1793</v>
      </c>
      <c r="P88" s="30" t="s">
        <v>1822</v>
      </c>
      <c r="Q88" s="1" t="str">
        <f t="shared" si="8"/>
        <v>d) d) Enervated.</v>
      </c>
    </row>
    <row r="89" spans="1:17" ht="36.75" customHeight="1" x14ac:dyDescent="0.25">
      <c r="A89" s="30"/>
      <c r="B89" s="30"/>
      <c r="C89" s="30"/>
      <c r="D89" s="30"/>
      <c r="E89" s="30">
        <v>7</v>
      </c>
      <c r="F89" s="30" t="s">
        <v>1687</v>
      </c>
      <c r="G89" s="30" t="s">
        <v>1688</v>
      </c>
      <c r="H89" s="30" t="s">
        <v>1719</v>
      </c>
      <c r="I89" s="30" t="s">
        <v>1749</v>
      </c>
      <c r="J89" s="30" t="s">
        <v>1778</v>
      </c>
      <c r="K89" s="30" t="s">
        <v>1809</v>
      </c>
      <c r="L89" s="30" t="s">
        <v>1689</v>
      </c>
      <c r="M89" s="30" t="s">
        <v>1734</v>
      </c>
      <c r="N89" s="30" t="s">
        <v>1764</v>
      </c>
      <c r="O89" s="30" t="s">
        <v>1794</v>
      </c>
      <c r="P89" s="30" t="s">
        <v>1823</v>
      </c>
      <c r="Q89" s="1" t="str">
        <f t="shared" si="8"/>
        <v>d) d) Have replaced the first branch of the Body Shop.</v>
      </c>
    </row>
    <row r="90" spans="1:17" ht="59.25" customHeight="1" x14ac:dyDescent="0.25">
      <c r="A90" s="30"/>
      <c r="B90" s="30"/>
      <c r="C90" s="30"/>
      <c r="D90" s="30"/>
      <c r="E90" s="30">
        <v>8</v>
      </c>
      <c r="F90" s="30" t="s">
        <v>1690</v>
      </c>
      <c r="G90" s="30" t="s">
        <v>1691</v>
      </c>
      <c r="H90" s="30" t="s">
        <v>1720</v>
      </c>
      <c r="I90" s="30" t="s">
        <v>1750</v>
      </c>
      <c r="J90" s="30" t="s">
        <v>1779</v>
      </c>
      <c r="K90" s="30" t="s">
        <v>1810</v>
      </c>
      <c r="L90" s="30" t="s">
        <v>1692</v>
      </c>
      <c r="M90" s="30" t="s">
        <v>1735</v>
      </c>
      <c r="N90" s="30" t="s">
        <v>1765</v>
      </c>
      <c r="O90" s="30" t="s">
        <v>1795</v>
      </c>
      <c r="P90" s="30" t="s">
        <v>1824</v>
      </c>
      <c r="Q90" s="1" t="str">
        <f t="shared" si="8"/>
        <v>d) d) Considers Brighton an ex-seaside resort.</v>
      </c>
    </row>
    <row r="91" spans="1:17" ht="42.75" customHeight="1" x14ac:dyDescent="0.25">
      <c r="A91" s="30"/>
      <c r="B91" s="30"/>
      <c r="C91" s="30"/>
      <c r="D91" s="30"/>
      <c r="E91" s="30">
        <v>9</v>
      </c>
      <c r="F91" s="30" t="s">
        <v>1693</v>
      </c>
      <c r="G91" s="30" t="s">
        <v>1694</v>
      </c>
      <c r="H91" s="30" t="s">
        <v>1721</v>
      </c>
      <c r="I91" s="30" t="s">
        <v>1751</v>
      </c>
      <c r="J91" s="30" t="s">
        <v>1780</v>
      </c>
      <c r="K91" s="30" t="s">
        <v>1811</v>
      </c>
      <c r="L91" s="30" t="s">
        <v>1671</v>
      </c>
      <c r="M91" s="30" t="s">
        <v>1736</v>
      </c>
      <c r="N91" s="30" t="s">
        <v>1766</v>
      </c>
      <c r="O91" s="30" t="s">
        <v>1796</v>
      </c>
      <c r="P91" s="30" t="s">
        <v>1825</v>
      </c>
      <c r="Q91" s="1" t="str">
        <f t="shared" si="8"/>
        <v xml:space="preserve">d) d) Being part of a coalition government could be disadvantageous to the Tories. </v>
      </c>
    </row>
    <row r="92" spans="1:17" ht="60" customHeight="1" x14ac:dyDescent="0.25">
      <c r="A92" s="30"/>
      <c r="B92" s="30"/>
      <c r="C92" s="30"/>
      <c r="D92" s="30"/>
      <c r="E92" s="30">
        <v>10</v>
      </c>
      <c r="F92" s="30" t="s">
        <v>1697</v>
      </c>
      <c r="G92" s="30" t="s">
        <v>1695</v>
      </c>
      <c r="H92" s="30" t="s">
        <v>1722</v>
      </c>
      <c r="I92" s="30" t="s">
        <v>1752</v>
      </c>
      <c r="J92" s="30" t="s">
        <v>1781</v>
      </c>
      <c r="K92" s="30" t="s">
        <v>1812</v>
      </c>
      <c r="L92" s="30" t="s">
        <v>1696</v>
      </c>
      <c r="M92" s="30" t="s">
        <v>1737</v>
      </c>
      <c r="N92" s="30" t="s">
        <v>1767</v>
      </c>
      <c r="O92" s="30" t="s">
        <v>1797</v>
      </c>
      <c r="P92" s="30" t="s">
        <v>1826</v>
      </c>
      <c r="Q92" s="1" t="str">
        <f t="shared" si="8"/>
        <v>d) d) Dropped out of high school to serve in Vietnam.</v>
      </c>
    </row>
    <row r="93" spans="1:17" ht="42.75" customHeight="1" x14ac:dyDescent="0.25">
      <c r="A93" s="30"/>
      <c r="B93" s="30"/>
      <c r="C93" s="30"/>
      <c r="D93" s="30"/>
      <c r="E93" s="30">
        <v>11</v>
      </c>
      <c r="F93" s="30" t="s">
        <v>1698</v>
      </c>
      <c r="G93" s="30" t="s">
        <v>1699</v>
      </c>
      <c r="H93" s="30" t="s">
        <v>1723</v>
      </c>
      <c r="I93" s="30" t="s">
        <v>1753</v>
      </c>
      <c r="J93" s="30" t="s">
        <v>1782</v>
      </c>
      <c r="K93" s="30" t="s">
        <v>1813</v>
      </c>
      <c r="L93" s="30" t="s">
        <v>1700</v>
      </c>
      <c r="M93" s="30" t="s">
        <v>1738</v>
      </c>
      <c r="N93" s="30" t="s">
        <v>1768</v>
      </c>
      <c r="O93" s="30" t="s">
        <v>1798</v>
      </c>
      <c r="P93" s="30" t="s">
        <v>1827</v>
      </c>
      <c r="Q93" s="1" t="str">
        <f t="shared" si="8"/>
        <v>d) d) The motive for the strike.</v>
      </c>
    </row>
    <row r="94" spans="1:17" ht="57" customHeight="1" x14ac:dyDescent="0.25">
      <c r="A94" s="30"/>
      <c r="B94" s="30"/>
      <c r="C94" s="30"/>
      <c r="D94" s="30"/>
      <c r="E94" s="30">
        <v>12</v>
      </c>
      <c r="F94" s="30" t="s">
        <v>1701</v>
      </c>
      <c r="G94" s="30" t="s">
        <v>1702</v>
      </c>
      <c r="H94" s="30" t="s">
        <v>1724</v>
      </c>
      <c r="I94" s="30" t="s">
        <v>1754</v>
      </c>
      <c r="J94" s="30" t="s">
        <v>1783</v>
      </c>
      <c r="K94" s="30" t="s">
        <v>1814</v>
      </c>
      <c r="L94" s="30" t="s">
        <v>1703</v>
      </c>
      <c r="M94" s="30" t="s">
        <v>1739</v>
      </c>
      <c r="N94" s="30" t="s">
        <v>1769</v>
      </c>
      <c r="O94" s="30" t="s">
        <v>1799</v>
      </c>
      <c r="P94" s="30" t="s">
        <v>1828</v>
      </c>
      <c r="Q94" s="1" t="str">
        <f t="shared" si="8"/>
        <v>d) d) They wish to improve Greece’s relationship with Libya.</v>
      </c>
    </row>
    <row r="95" spans="1:17" ht="69" customHeight="1" x14ac:dyDescent="0.25">
      <c r="A95" s="30"/>
      <c r="B95" s="30"/>
      <c r="C95" s="30"/>
      <c r="D95" s="30"/>
      <c r="E95" s="30">
        <v>13</v>
      </c>
      <c r="F95" s="30" t="s">
        <v>1704</v>
      </c>
      <c r="G95" s="30" t="s">
        <v>1705</v>
      </c>
      <c r="H95" s="30" t="s">
        <v>1725</v>
      </c>
      <c r="I95" s="30" t="s">
        <v>1755</v>
      </c>
      <c r="J95" s="30" t="s">
        <v>1784</v>
      </c>
      <c r="K95" s="30" t="s">
        <v>1815</v>
      </c>
      <c r="L95" s="30" t="s">
        <v>1706</v>
      </c>
      <c r="M95" s="30" t="s">
        <v>1740</v>
      </c>
      <c r="N95" s="30" t="s">
        <v>1770</v>
      </c>
      <c r="O95" s="30" t="s">
        <v>1800</v>
      </c>
      <c r="P95" s="30" t="s">
        <v>1829</v>
      </c>
      <c r="Q95" s="1" t="str">
        <f t="shared" si="8"/>
        <v xml:space="preserve">d) d) He retreated into his own mental world. </v>
      </c>
    </row>
    <row r="96" spans="1:17" ht="45" customHeight="1" x14ac:dyDescent="0.25">
      <c r="A96" s="30"/>
      <c r="B96" s="30"/>
      <c r="C96" s="30"/>
      <c r="D96" s="30"/>
      <c r="E96" s="30">
        <v>14</v>
      </c>
      <c r="F96" s="30" t="s">
        <v>1707</v>
      </c>
      <c r="G96" s="30" t="s">
        <v>1708</v>
      </c>
      <c r="H96" s="30" t="s">
        <v>1726</v>
      </c>
      <c r="I96" s="30" t="s">
        <v>1756</v>
      </c>
      <c r="J96" s="30" t="s">
        <v>1785</v>
      </c>
      <c r="K96" s="30" t="s">
        <v>1816</v>
      </c>
      <c r="L96" s="30" t="s">
        <v>1709</v>
      </c>
      <c r="M96" s="30" t="s">
        <v>1741</v>
      </c>
      <c r="N96" s="30" t="s">
        <v>1771</v>
      </c>
      <c r="O96" s="30" t="s">
        <v>1801</v>
      </c>
      <c r="P96" s="30" t="s">
        <v>1830</v>
      </c>
      <c r="Q96" s="1" t="str">
        <f t="shared" si="8"/>
        <v>d) d) Arran will be required to do extra exams at the end of his course.</v>
      </c>
    </row>
    <row r="97" spans="1:17" ht="57.75" customHeight="1" x14ac:dyDescent="0.25">
      <c r="A97" s="30"/>
      <c r="B97" s="30"/>
      <c r="C97" s="30"/>
      <c r="D97" s="30"/>
      <c r="E97" s="30">
        <v>15</v>
      </c>
      <c r="F97" s="30" t="s">
        <v>1710</v>
      </c>
      <c r="G97" s="30" t="s">
        <v>1711</v>
      </c>
      <c r="H97" s="30" t="s">
        <v>1727</v>
      </c>
      <c r="I97" s="30" t="s">
        <v>1757</v>
      </c>
      <c r="J97" s="30" t="s">
        <v>1786</v>
      </c>
      <c r="K97" s="30" t="s">
        <v>1817</v>
      </c>
      <c r="L97" s="30" t="s">
        <v>1712</v>
      </c>
      <c r="M97" s="30" t="s">
        <v>1742</v>
      </c>
      <c r="N97" s="30" t="s">
        <v>1772</v>
      </c>
      <c r="O97" s="30" t="s">
        <v>1802</v>
      </c>
      <c r="P97" s="30" t="s">
        <v>1831</v>
      </c>
      <c r="Q97" s="1" t="str">
        <f t="shared" si="8"/>
        <v>d) d) Would not survive as a role model in Burma’s future.</v>
      </c>
    </row>
  </sheetData>
  <pageMargins left="0.7" right="0.7" top="0.75" bottom="0.75" header="0.3" footer="0.3"/>
  <pageSetup paperSize="9" orientation="portrait" horizontalDpi="200" verticalDpi="2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63"/>
  <sheetViews>
    <sheetView workbookViewId="0">
      <selection activeCell="B11" sqref="B11"/>
    </sheetView>
  </sheetViews>
  <sheetFormatPr baseColWidth="10" defaultRowHeight="15" x14ac:dyDescent="0.25"/>
  <cols>
    <col min="1" max="1" width="42.42578125" customWidth="1"/>
    <col min="2" max="2" width="17.85546875" customWidth="1"/>
    <col min="3" max="3" width="5.28515625" customWidth="1"/>
    <col min="4" max="4" width="14.7109375" customWidth="1"/>
  </cols>
  <sheetData>
    <row r="1" spans="1:5" x14ac:dyDescent="0.25">
      <c r="A1" s="6" t="s">
        <v>321</v>
      </c>
      <c r="B1" s="7" t="s">
        <v>322</v>
      </c>
      <c r="D1" s="6" t="s">
        <v>319</v>
      </c>
    </row>
    <row r="2" spans="1:5" x14ac:dyDescent="0.25">
      <c r="A2" t="s">
        <v>682</v>
      </c>
      <c r="B2" s="8">
        <v>51358887</v>
      </c>
      <c r="D2" s="5" t="s">
        <v>12</v>
      </c>
    </row>
    <row r="3" spans="1:5" x14ac:dyDescent="0.25">
      <c r="A3" t="s">
        <v>1477</v>
      </c>
      <c r="B3" s="8">
        <v>51652408</v>
      </c>
      <c r="D3" s="5" t="s">
        <v>13</v>
      </c>
    </row>
    <row r="4" spans="1:5" x14ac:dyDescent="0.25">
      <c r="A4" s="3" t="s">
        <v>1983</v>
      </c>
      <c r="B4" s="8" t="s">
        <v>1984</v>
      </c>
      <c r="D4" s="5" t="s">
        <v>14</v>
      </c>
    </row>
    <row r="5" spans="1:5" x14ac:dyDescent="0.25">
      <c r="A5" t="s">
        <v>1859</v>
      </c>
      <c r="B5" s="8">
        <v>52104944</v>
      </c>
      <c r="D5" s="5" t="s">
        <v>422</v>
      </c>
    </row>
    <row r="6" spans="1:5" x14ac:dyDescent="0.25">
      <c r="A6" t="s">
        <v>1860</v>
      </c>
      <c r="B6" s="8">
        <v>43012165</v>
      </c>
      <c r="D6" s="6" t="s">
        <v>584</v>
      </c>
      <c r="E6">
        <v>75</v>
      </c>
    </row>
    <row r="7" spans="1:5" x14ac:dyDescent="0.25">
      <c r="A7" s="3" t="s">
        <v>1985</v>
      </c>
      <c r="B7" s="8" t="s">
        <v>1986</v>
      </c>
      <c r="D7" s="6" t="s">
        <v>585</v>
      </c>
      <c r="E7" t="s">
        <v>586</v>
      </c>
    </row>
    <row r="8" spans="1:5" x14ac:dyDescent="0.25">
      <c r="A8" s="4" t="s">
        <v>2031</v>
      </c>
      <c r="B8" s="8" t="s">
        <v>2036</v>
      </c>
    </row>
    <row r="9" spans="1:5" x14ac:dyDescent="0.25">
      <c r="A9" s="3" t="s">
        <v>2032</v>
      </c>
      <c r="B9" s="8" t="s">
        <v>2037</v>
      </c>
    </row>
    <row r="10" spans="1:5" x14ac:dyDescent="0.25">
      <c r="A10" s="4" t="s">
        <v>2033</v>
      </c>
      <c r="B10" s="8" t="s">
        <v>2038</v>
      </c>
    </row>
    <row r="11" spans="1:5" x14ac:dyDescent="0.25">
      <c r="A11" s="3" t="s">
        <v>2034</v>
      </c>
      <c r="B11" s="8" t="s">
        <v>2039</v>
      </c>
      <c r="D11" s="6" t="s">
        <v>320</v>
      </c>
    </row>
    <row r="12" spans="1:5" x14ac:dyDescent="0.25">
      <c r="A12" s="4" t="s">
        <v>2035</v>
      </c>
      <c r="B12" s="8" t="s">
        <v>2040</v>
      </c>
      <c r="D12" s="5" t="s">
        <v>317</v>
      </c>
    </row>
    <row r="13" spans="1:5" x14ac:dyDescent="0.25">
      <c r="A13" s="3" t="s">
        <v>2041</v>
      </c>
      <c r="B13" s="8" t="s">
        <v>2042</v>
      </c>
      <c r="D13" s="5" t="s">
        <v>318</v>
      </c>
    </row>
    <row r="14" spans="1:5" x14ac:dyDescent="0.25">
      <c r="A14" s="4" t="s">
        <v>2043</v>
      </c>
      <c r="B14" s="8" t="s">
        <v>2044</v>
      </c>
      <c r="D14" s="5" t="s">
        <v>14</v>
      </c>
    </row>
    <row r="15" spans="1:5" x14ac:dyDescent="0.25">
      <c r="A15" t="s">
        <v>2045</v>
      </c>
      <c r="B15" s="8">
        <v>19090938</v>
      </c>
      <c r="D15" s="5" t="s">
        <v>422</v>
      </c>
    </row>
    <row r="16" spans="1:5" x14ac:dyDescent="0.25">
      <c r="A16" t="s">
        <v>2046</v>
      </c>
      <c r="B16" s="8" t="s">
        <v>2093</v>
      </c>
      <c r="D16" s="6" t="s">
        <v>584</v>
      </c>
      <c r="E16">
        <v>75</v>
      </c>
    </row>
    <row r="17" spans="1:5" x14ac:dyDescent="0.25">
      <c r="A17" t="s">
        <v>2047</v>
      </c>
      <c r="B17" s="8" t="s">
        <v>2094</v>
      </c>
      <c r="D17" s="6" t="s">
        <v>585</v>
      </c>
      <c r="E17" t="s">
        <v>586</v>
      </c>
    </row>
    <row r="18" spans="1:5" x14ac:dyDescent="0.25">
      <c r="A18" t="s">
        <v>2048</v>
      </c>
      <c r="B18" s="8">
        <v>76934236</v>
      </c>
    </row>
    <row r="19" spans="1:5" x14ac:dyDescent="0.25">
      <c r="A19" t="s">
        <v>2049</v>
      </c>
      <c r="B19" s="8">
        <v>51348511</v>
      </c>
    </row>
    <row r="20" spans="1:5" x14ac:dyDescent="0.25">
      <c r="A20" t="s">
        <v>2050</v>
      </c>
      <c r="B20" s="8">
        <v>23035598</v>
      </c>
    </row>
    <row r="21" spans="1:5" x14ac:dyDescent="0.25">
      <c r="A21" t="s">
        <v>2051</v>
      </c>
      <c r="B21" s="8">
        <v>13137420</v>
      </c>
    </row>
    <row r="22" spans="1:5" x14ac:dyDescent="0.25">
      <c r="A22" t="s">
        <v>2052</v>
      </c>
      <c r="B22" s="8">
        <v>70239864</v>
      </c>
    </row>
    <row r="23" spans="1:5" x14ac:dyDescent="0.25">
      <c r="A23" t="s">
        <v>2053</v>
      </c>
      <c r="B23" s="8">
        <v>17439766</v>
      </c>
    </row>
    <row r="24" spans="1:5" x14ac:dyDescent="0.25">
      <c r="A24" t="s">
        <v>2054</v>
      </c>
      <c r="B24" s="8">
        <v>74825845</v>
      </c>
    </row>
    <row r="25" spans="1:5" x14ac:dyDescent="0.25">
      <c r="A25" t="s">
        <v>2055</v>
      </c>
      <c r="B25" s="8">
        <v>25462592</v>
      </c>
    </row>
    <row r="26" spans="1:5" x14ac:dyDescent="0.25">
      <c r="A26" t="s">
        <v>2056</v>
      </c>
      <c r="B26" s="8">
        <v>13106658</v>
      </c>
    </row>
    <row r="27" spans="1:5" x14ac:dyDescent="0.25">
      <c r="A27" t="s">
        <v>2057</v>
      </c>
      <c r="B27" s="8">
        <v>46869464</v>
      </c>
    </row>
    <row r="28" spans="1:5" x14ac:dyDescent="0.25">
      <c r="A28" t="s">
        <v>2058</v>
      </c>
      <c r="B28" s="8">
        <v>71127442</v>
      </c>
    </row>
    <row r="29" spans="1:5" x14ac:dyDescent="0.25">
      <c r="A29" t="s">
        <v>2059</v>
      </c>
      <c r="B29" s="8" t="s">
        <v>2095</v>
      </c>
    </row>
    <row r="30" spans="1:5" x14ac:dyDescent="0.25">
      <c r="A30" t="s">
        <v>2060</v>
      </c>
      <c r="B30" s="8">
        <v>16296374</v>
      </c>
    </row>
    <row r="31" spans="1:5" x14ac:dyDescent="0.25">
      <c r="A31" t="s">
        <v>2061</v>
      </c>
      <c r="B31" s="8">
        <v>31672994</v>
      </c>
    </row>
    <row r="32" spans="1:5" x14ac:dyDescent="0.25">
      <c r="A32" t="s">
        <v>2062</v>
      </c>
      <c r="B32" s="8" t="s">
        <v>2096</v>
      </c>
    </row>
    <row r="33" spans="1:2" x14ac:dyDescent="0.25">
      <c r="A33" t="s">
        <v>2063</v>
      </c>
      <c r="B33" s="8">
        <v>25141477</v>
      </c>
    </row>
    <row r="34" spans="1:2" x14ac:dyDescent="0.25">
      <c r="A34" t="s">
        <v>2064</v>
      </c>
      <c r="B34" s="8" t="s">
        <v>2097</v>
      </c>
    </row>
    <row r="35" spans="1:2" x14ac:dyDescent="0.25">
      <c r="A35" t="s">
        <v>2065</v>
      </c>
      <c r="B35" s="8" t="s">
        <v>2098</v>
      </c>
    </row>
    <row r="36" spans="1:2" x14ac:dyDescent="0.25">
      <c r="A36" t="s">
        <v>2066</v>
      </c>
      <c r="B36" s="8">
        <v>25469127</v>
      </c>
    </row>
    <row r="37" spans="1:2" x14ac:dyDescent="0.25">
      <c r="A37" t="s">
        <v>2067</v>
      </c>
      <c r="B37" s="8">
        <v>10902074</v>
      </c>
    </row>
    <row r="38" spans="1:2" x14ac:dyDescent="0.25">
      <c r="A38" t="s">
        <v>2068</v>
      </c>
      <c r="B38" s="8">
        <v>52694160</v>
      </c>
    </row>
    <row r="39" spans="1:2" x14ac:dyDescent="0.25">
      <c r="A39" t="s">
        <v>2069</v>
      </c>
      <c r="B39" s="8">
        <v>53206557</v>
      </c>
    </row>
    <row r="40" spans="1:2" x14ac:dyDescent="0.25">
      <c r="A40" t="s">
        <v>2070</v>
      </c>
      <c r="B40" s="8" t="s">
        <v>2099</v>
      </c>
    </row>
    <row r="41" spans="1:2" x14ac:dyDescent="0.25">
      <c r="A41" t="s">
        <v>2071</v>
      </c>
      <c r="B41" s="8" t="s">
        <v>2100</v>
      </c>
    </row>
    <row r="42" spans="1:2" x14ac:dyDescent="0.25">
      <c r="A42" t="s">
        <v>2072</v>
      </c>
      <c r="B42" s="8">
        <v>50211908</v>
      </c>
    </row>
    <row r="43" spans="1:2" x14ac:dyDescent="0.25">
      <c r="A43" t="s">
        <v>2073</v>
      </c>
      <c r="B43" s="8">
        <v>50114089</v>
      </c>
    </row>
    <row r="44" spans="1:2" x14ac:dyDescent="0.25">
      <c r="A44" t="s">
        <v>2074</v>
      </c>
      <c r="B44" s="8">
        <v>30533340</v>
      </c>
    </row>
    <row r="45" spans="1:2" x14ac:dyDescent="0.25">
      <c r="A45" t="s">
        <v>2075</v>
      </c>
      <c r="B45" s="8">
        <v>51940323</v>
      </c>
    </row>
    <row r="46" spans="1:2" x14ac:dyDescent="0.25">
      <c r="A46" t="s">
        <v>2076</v>
      </c>
      <c r="B46" s="8">
        <v>46927037</v>
      </c>
    </row>
    <row r="47" spans="1:2" x14ac:dyDescent="0.25">
      <c r="A47" t="s">
        <v>2077</v>
      </c>
      <c r="B47" s="8">
        <v>31703822</v>
      </c>
    </row>
    <row r="48" spans="1:2" x14ac:dyDescent="0.25">
      <c r="A48" t="s">
        <v>2078</v>
      </c>
      <c r="B48" s="8" t="s">
        <v>2101</v>
      </c>
    </row>
    <row r="49" spans="1:2" x14ac:dyDescent="0.25">
      <c r="A49" t="s">
        <v>2079</v>
      </c>
      <c r="B49" s="8">
        <v>33418745</v>
      </c>
    </row>
    <row r="50" spans="1:2" x14ac:dyDescent="0.25">
      <c r="A50" t="s">
        <v>2080</v>
      </c>
      <c r="B50" s="8">
        <v>52188023</v>
      </c>
    </row>
    <row r="51" spans="1:2" x14ac:dyDescent="0.25">
      <c r="A51" t="s">
        <v>2081</v>
      </c>
      <c r="B51" s="8">
        <v>51450744</v>
      </c>
    </row>
    <row r="52" spans="1:2" x14ac:dyDescent="0.25">
      <c r="A52" t="s">
        <v>2082</v>
      </c>
      <c r="B52" s="8">
        <v>44385315</v>
      </c>
    </row>
    <row r="53" spans="1:2" x14ac:dyDescent="0.25">
      <c r="A53" t="s">
        <v>2083</v>
      </c>
      <c r="B53" s="8">
        <v>43376625</v>
      </c>
    </row>
    <row r="54" spans="1:2" x14ac:dyDescent="0.25">
      <c r="A54" t="s">
        <v>2084</v>
      </c>
      <c r="B54" s="8">
        <v>72981866</v>
      </c>
    </row>
    <row r="55" spans="1:2" x14ac:dyDescent="0.25">
      <c r="A55" t="s">
        <v>2085</v>
      </c>
      <c r="B55" s="8">
        <v>48358143</v>
      </c>
    </row>
    <row r="56" spans="1:2" x14ac:dyDescent="0.25">
      <c r="A56" t="s">
        <v>2086</v>
      </c>
      <c r="B56" s="8" t="s">
        <v>2102</v>
      </c>
    </row>
    <row r="57" spans="1:2" x14ac:dyDescent="0.25">
      <c r="A57" t="s">
        <v>2087</v>
      </c>
      <c r="B57" s="8">
        <v>72987092</v>
      </c>
    </row>
    <row r="58" spans="1:2" x14ac:dyDescent="0.25">
      <c r="A58" t="s">
        <v>2088</v>
      </c>
      <c r="B58" s="8">
        <v>75554402</v>
      </c>
    </row>
    <row r="59" spans="1:2" x14ac:dyDescent="0.25">
      <c r="A59" t="s">
        <v>2089</v>
      </c>
      <c r="B59" s="8">
        <v>52375725</v>
      </c>
    </row>
    <row r="60" spans="1:2" x14ac:dyDescent="0.25">
      <c r="A60" t="s">
        <v>2090</v>
      </c>
      <c r="B60" s="8">
        <v>20164842</v>
      </c>
    </row>
    <row r="61" spans="1:2" x14ac:dyDescent="0.25">
      <c r="A61" t="s">
        <v>2091</v>
      </c>
      <c r="B61" s="8">
        <v>41493786</v>
      </c>
    </row>
    <row r="62" spans="1:2" x14ac:dyDescent="0.25">
      <c r="A62" t="s">
        <v>2092</v>
      </c>
      <c r="B62" s="8">
        <v>28955044</v>
      </c>
    </row>
    <row r="63" spans="1:2" x14ac:dyDescent="0.25">
      <c r="A63" t="s">
        <v>1858</v>
      </c>
    </row>
  </sheetData>
  <pageMargins left="0.7" right="0.7" top="0.75" bottom="0.75" header="0.3" footer="0.3"/>
  <pageSetup paperSize="9" orientation="portrait" horizontalDpi="200" verticalDpi="2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3:D22"/>
  <sheetViews>
    <sheetView workbookViewId="0">
      <selection activeCell="D3" sqref="D3:D22"/>
    </sheetView>
  </sheetViews>
  <sheetFormatPr baseColWidth="10" defaultRowHeight="15" x14ac:dyDescent="0.25"/>
  <sheetData>
    <row r="3" spans="1:4" x14ac:dyDescent="0.25">
      <c r="A3" s="31" t="s">
        <v>1836</v>
      </c>
      <c r="B3" s="32" t="s">
        <v>1837</v>
      </c>
      <c r="D3" t="str">
        <f>CONCATENATE(A3," D. ",B3)</f>
        <v xml:space="preserve">CTE D. ANTONIO GARCIA GARCIA                 </v>
      </c>
    </row>
    <row r="4" spans="1:4" x14ac:dyDescent="0.25">
      <c r="A4" s="31" t="s">
        <v>1838</v>
      </c>
      <c r="B4" s="32" t="s">
        <v>1839</v>
      </c>
      <c r="D4" t="str">
        <f t="shared" ref="D4:D22" si="0">CONCATENATE(A4," D. ",B4)</f>
        <v xml:space="preserve">CAP D. MANUEL GIMENEZ URIZ                   </v>
      </c>
    </row>
    <row r="5" spans="1:4" x14ac:dyDescent="0.25">
      <c r="A5" s="31" t="s">
        <v>1838</v>
      </c>
      <c r="B5" s="32" t="s">
        <v>1840</v>
      </c>
      <c r="D5" t="str">
        <f t="shared" si="0"/>
        <v xml:space="preserve">CAP D. BONIFACIO DE LA VIUDA LOZANO  </v>
      </c>
    </row>
    <row r="6" spans="1:4" x14ac:dyDescent="0.25">
      <c r="A6" s="31" t="s">
        <v>1836</v>
      </c>
      <c r="B6" s="32" t="s">
        <v>1841</v>
      </c>
      <c r="D6" t="str">
        <f t="shared" si="0"/>
        <v xml:space="preserve">CTE D. ANGEL CARRICONDO MOGUEL               </v>
      </c>
    </row>
    <row r="7" spans="1:4" x14ac:dyDescent="0.25">
      <c r="A7" s="31" t="s">
        <v>1836</v>
      </c>
      <c r="B7" s="32" t="s">
        <v>1842</v>
      </c>
      <c r="D7" t="str">
        <f t="shared" si="0"/>
        <v xml:space="preserve">CTE D. RAUL MARTIN HERRERA                   </v>
      </c>
    </row>
    <row r="8" spans="1:4" x14ac:dyDescent="0.25">
      <c r="A8" s="31" t="s">
        <v>1838</v>
      </c>
      <c r="B8" s="32" t="s">
        <v>1843</v>
      </c>
      <c r="D8" t="str">
        <f t="shared" si="0"/>
        <v xml:space="preserve">CAP D. ANGEL SANCHEZ ALVAREZ         </v>
      </c>
    </row>
    <row r="9" spans="1:4" x14ac:dyDescent="0.25">
      <c r="A9" s="31" t="s">
        <v>1838</v>
      </c>
      <c r="B9" s="32" t="s">
        <v>1844</v>
      </c>
      <c r="D9" t="str">
        <f t="shared" si="0"/>
        <v xml:space="preserve">CAP D. SERGIO GARCIA RUIZ            </v>
      </c>
    </row>
    <row r="10" spans="1:4" x14ac:dyDescent="0.25">
      <c r="A10" s="31" t="s">
        <v>1838</v>
      </c>
      <c r="B10" s="32" t="s">
        <v>1845</v>
      </c>
      <c r="D10" t="str">
        <f t="shared" si="0"/>
        <v xml:space="preserve">CAP D. JUAN PABLO RODRIGUEZ SANTANA  </v>
      </c>
    </row>
    <row r="11" spans="1:4" x14ac:dyDescent="0.25">
      <c r="A11" s="31" t="s">
        <v>1838</v>
      </c>
      <c r="B11" s="32" t="s">
        <v>1846</v>
      </c>
      <c r="D11" t="str">
        <f t="shared" si="0"/>
        <v xml:space="preserve">CAP D. MIGUEL ANGEL SANCHO HERRANZ   </v>
      </c>
    </row>
    <row r="12" spans="1:4" x14ac:dyDescent="0.25">
      <c r="A12" s="31" t="s">
        <v>1838</v>
      </c>
      <c r="B12" s="32" t="s">
        <v>1847</v>
      </c>
      <c r="D12" t="str">
        <f t="shared" si="0"/>
        <v xml:space="preserve">CAP D. FERNANDO REDONDO PEREZ        </v>
      </c>
    </row>
    <row r="13" spans="1:4" x14ac:dyDescent="0.25">
      <c r="A13" s="31" t="s">
        <v>1836</v>
      </c>
      <c r="B13" s="32" t="s">
        <v>1848</v>
      </c>
      <c r="D13" t="str">
        <f t="shared" si="0"/>
        <v xml:space="preserve">CTE D. RAUL SANCHEZ HARO                     </v>
      </c>
    </row>
    <row r="14" spans="1:4" x14ac:dyDescent="0.25">
      <c r="A14" s="31" t="s">
        <v>1836</v>
      </c>
      <c r="B14" s="32" t="s">
        <v>1849</v>
      </c>
      <c r="D14" t="str">
        <f t="shared" si="0"/>
        <v xml:space="preserve">CTE D. JUAN CIDONCHA DOMINGUEZ               </v>
      </c>
    </row>
    <row r="15" spans="1:4" x14ac:dyDescent="0.25">
      <c r="A15" s="31" t="s">
        <v>1836</v>
      </c>
      <c r="B15" s="32" t="s">
        <v>1850</v>
      </c>
      <c r="D15" t="str">
        <f t="shared" si="0"/>
        <v xml:space="preserve">CTE D. ANGEL MANUEL BORAO BASTARDO           </v>
      </c>
    </row>
    <row r="16" spans="1:4" x14ac:dyDescent="0.25">
      <c r="A16" s="31" t="s">
        <v>1838</v>
      </c>
      <c r="B16" s="32" t="s">
        <v>1851</v>
      </c>
      <c r="D16" t="str">
        <f t="shared" si="0"/>
        <v>CAP D. SANTIAGO VEGA ÁLVAREZ</v>
      </c>
    </row>
    <row r="17" spans="1:4" x14ac:dyDescent="0.25">
      <c r="A17" s="31" t="s">
        <v>1836</v>
      </c>
      <c r="B17" s="32" t="s">
        <v>1852</v>
      </c>
      <c r="D17" t="str">
        <f t="shared" si="0"/>
        <v xml:space="preserve">CTE D. MIGUEL BARANDA ALVAREZ                </v>
      </c>
    </row>
    <row r="18" spans="1:4" x14ac:dyDescent="0.25">
      <c r="A18" s="31" t="s">
        <v>1836</v>
      </c>
      <c r="B18" s="32" t="s">
        <v>1853</v>
      </c>
      <c r="D18" t="str">
        <f t="shared" si="0"/>
        <v xml:space="preserve">CTE D. FRANCISCO BASTARRECHE GRAVALOS  </v>
      </c>
    </row>
    <row r="19" spans="1:4" x14ac:dyDescent="0.25">
      <c r="A19" s="31" t="s">
        <v>1836</v>
      </c>
      <c r="B19" s="32" t="s">
        <v>1854</v>
      </c>
      <c r="D19" t="str">
        <f t="shared" si="0"/>
        <v xml:space="preserve">CTE D. MAXIMO LACASTA CAMPO                  </v>
      </c>
    </row>
    <row r="20" spans="1:4" x14ac:dyDescent="0.25">
      <c r="A20" s="31" t="s">
        <v>1838</v>
      </c>
      <c r="B20" s="32" t="s">
        <v>1855</v>
      </c>
      <c r="D20" t="str">
        <f t="shared" si="0"/>
        <v xml:space="preserve">CAP D. FERNANDO MANZANARES SANCHEZ-HORNEROS  </v>
      </c>
    </row>
    <row r="21" spans="1:4" x14ac:dyDescent="0.25">
      <c r="A21" s="31" t="s">
        <v>1838</v>
      </c>
      <c r="B21" s="32" t="s">
        <v>1857</v>
      </c>
      <c r="D21" t="str">
        <f t="shared" si="0"/>
        <v xml:space="preserve">CAP D. FERNANDO GUILLERMO SANCHEZ ARRIBAS </v>
      </c>
    </row>
    <row r="22" spans="1:4" x14ac:dyDescent="0.25">
      <c r="A22" s="33" t="s">
        <v>1838</v>
      </c>
      <c r="B22" s="32" t="s">
        <v>1856</v>
      </c>
      <c r="D22" t="str">
        <f t="shared" si="0"/>
        <v xml:space="preserve">CAP D. VICTOR LOPEZ ANTOLIN          </v>
      </c>
    </row>
  </sheetData>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Listening</vt:lpstr>
      <vt:lpstr>Normal</vt:lpstr>
      <vt:lpstr>Data</vt:lpstr>
      <vt:lpstr>Hoja3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2006-09-12T12:46:56Z</dcterms:created>
  <dcterms:modified xsi:type="dcterms:W3CDTF">2011-05-10T17:54:24Z</dcterms:modified>
</cp:coreProperties>
</file>